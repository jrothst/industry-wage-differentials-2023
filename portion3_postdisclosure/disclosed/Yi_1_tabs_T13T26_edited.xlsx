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sesyi/Library/CloudStorage/Dropbox/projects/puerto rico/industry-effects/replication/v2/postdisclosure/disclosed/"/>
    </mc:Choice>
  </mc:AlternateContent>
  <xr:revisionPtr revIDLastSave="0" documentId="13_ncr:1_{9B254FF1-FD22-E644-838D-98EEE40CE35B}" xr6:coauthVersionLast="47" xr6:coauthVersionMax="47" xr10:uidLastSave="{00000000-0000-0000-0000-000000000000}"/>
  <bookViews>
    <workbookView xWindow="12140" yWindow="1920" windowWidth="16060" windowHeight="17020" tabRatio="986" activeTab="5" xr2:uid="{00000000-000D-0000-FFFF-FFFF00000000}"/>
  </bookViews>
  <sheets>
    <sheet name="1" sheetId="19" r:id="rId1"/>
    <sheet name="2" sheetId="11" r:id="rId2"/>
    <sheet name="3" sheetId="12" r:id="rId3"/>
    <sheet name="4" sheetId="13" r:id="rId4"/>
    <sheet name="5" sheetId="14" r:id="rId5"/>
    <sheet name="8" sheetId="17" r:id="rId6"/>
    <sheet name="9a" sheetId="3" r:id="rId7"/>
    <sheet name="9b" sheetId="9" r:id="rId8"/>
    <sheet name="10a" sheetId="5" r:id="rId9"/>
    <sheet name="10b" sheetId="10" r:id="rId10"/>
    <sheet name="11" sheetId="18" r:id="rId11"/>
    <sheet name="12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0" l="1"/>
  <c r="D16" i="20"/>
  <c r="D15" i="20"/>
  <c r="D14" i="20"/>
  <c r="D13" i="20"/>
  <c r="B16" i="20"/>
  <c r="B15" i="20"/>
  <c r="B14" i="20"/>
  <c r="B13" i="20"/>
  <c r="A32" i="19" l="1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E6" i="19"/>
  <c r="D6" i="19"/>
  <c r="C6" i="19"/>
  <c r="B6" i="19"/>
  <c r="A6" i="19"/>
  <c r="A5" i="19"/>
  <c r="E3" i="19"/>
  <c r="D3" i="19"/>
  <c r="C3" i="19"/>
  <c r="B3" i="19"/>
  <c r="A3" i="19"/>
  <c r="A18" i="20" l="1"/>
  <c r="E4" i="20"/>
  <c r="D4" i="20"/>
  <c r="C4" i="20"/>
  <c r="B4" i="20"/>
  <c r="A4" i="20"/>
  <c r="B9" i="18" l="1"/>
  <c r="A9" i="18"/>
  <c r="D8" i="18"/>
  <c r="C8" i="18"/>
  <c r="B8" i="18"/>
  <c r="D7" i="18"/>
  <c r="C7" i="18"/>
  <c r="B7" i="18"/>
  <c r="D6" i="18"/>
  <c r="C6" i="18"/>
  <c r="B6" i="18"/>
  <c r="D5" i="18"/>
  <c r="C5" i="18"/>
  <c r="B5" i="18"/>
  <c r="D4" i="18"/>
  <c r="C4" i="18"/>
  <c r="B4" i="18"/>
  <c r="A4" i="18"/>
  <c r="A35" i="10"/>
  <c r="A1" i="10"/>
  <c r="A1" i="5"/>
  <c r="A65" i="9"/>
  <c r="A34" i="9"/>
  <c r="A1" i="9"/>
  <c r="A1" i="3"/>
  <c r="B12" i="14"/>
  <c r="G11" i="14"/>
  <c r="F11" i="14"/>
  <c r="E11" i="14"/>
  <c r="D11" i="14"/>
  <c r="C11" i="14"/>
  <c r="B11" i="14"/>
  <c r="G10" i="14"/>
  <c r="F10" i="14"/>
  <c r="E10" i="14"/>
  <c r="D10" i="14"/>
  <c r="C10" i="14"/>
  <c r="B10" i="14"/>
  <c r="B9" i="14"/>
  <c r="A9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A1" i="14"/>
  <c r="O2" i="5" l="1"/>
  <c r="M68" i="5" l="1"/>
  <c r="N68" i="5"/>
  <c r="O68" i="5"/>
  <c r="M69" i="5"/>
  <c r="N69" i="5"/>
  <c r="O69" i="5"/>
  <c r="M66" i="5"/>
  <c r="N66" i="5"/>
  <c r="O66" i="5"/>
  <c r="M67" i="5"/>
  <c r="N67" i="5"/>
  <c r="O67" i="5"/>
  <c r="M64" i="5"/>
  <c r="N64" i="5"/>
  <c r="O64" i="5"/>
  <c r="M65" i="5"/>
  <c r="N65" i="5"/>
  <c r="O65" i="5"/>
  <c r="M62" i="5"/>
  <c r="N62" i="5"/>
  <c r="O62" i="5"/>
  <c r="M63" i="5"/>
  <c r="N63" i="5"/>
  <c r="O63" i="5"/>
  <c r="M60" i="5"/>
  <c r="N60" i="5"/>
  <c r="O60" i="5"/>
  <c r="M61" i="5"/>
  <c r="N61" i="5"/>
  <c r="O61" i="5"/>
  <c r="M58" i="5"/>
  <c r="N58" i="5"/>
  <c r="O58" i="5"/>
  <c r="M59" i="5"/>
  <c r="N59" i="5"/>
  <c r="O59" i="5"/>
  <c r="F72" i="5"/>
  <c r="G72" i="5"/>
  <c r="H72" i="5"/>
  <c r="F73" i="5"/>
  <c r="G73" i="5"/>
  <c r="H73" i="5"/>
  <c r="F70" i="5"/>
  <c r="G70" i="5"/>
  <c r="H70" i="5"/>
  <c r="F71" i="5"/>
  <c r="G71" i="5"/>
  <c r="H71" i="5"/>
  <c r="F64" i="5"/>
  <c r="G64" i="5"/>
  <c r="H64" i="5"/>
  <c r="F65" i="5"/>
  <c r="G65" i="5"/>
  <c r="H65" i="5"/>
  <c r="F62" i="5"/>
  <c r="G62" i="5"/>
  <c r="H62" i="5"/>
  <c r="F63" i="5"/>
  <c r="G63" i="5"/>
  <c r="H63" i="5"/>
  <c r="F60" i="5"/>
  <c r="G60" i="5"/>
  <c r="H60" i="5"/>
  <c r="F61" i="5"/>
  <c r="G61" i="5"/>
  <c r="H61" i="5"/>
  <c r="F58" i="5"/>
  <c r="G58" i="5"/>
  <c r="H58" i="5"/>
  <c r="F59" i="5"/>
  <c r="G59" i="5"/>
  <c r="H59" i="5"/>
  <c r="C72" i="5"/>
  <c r="D72" i="5"/>
  <c r="E72" i="5"/>
  <c r="C73" i="5"/>
  <c r="D73" i="5"/>
  <c r="E73" i="5"/>
  <c r="C70" i="5"/>
  <c r="D70" i="5"/>
  <c r="E70" i="5"/>
  <c r="C71" i="5"/>
  <c r="D71" i="5"/>
  <c r="E71" i="5"/>
  <c r="C68" i="5"/>
  <c r="D68" i="5"/>
  <c r="E68" i="5"/>
  <c r="C69" i="5"/>
  <c r="D69" i="5"/>
  <c r="E69" i="5"/>
  <c r="C66" i="5"/>
  <c r="D66" i="5"/>
  <c r="E66" i="5"/>
  <c r="C67" i="5"/>
  <c r="D67" i="5"/>
  <c r="E67" i="5"/>
  <c r="E65" i="5"/>
  <c r="D65" i="5"/>
  <c r="C65" i="5"/>
  <c r="E64" i="5"/>
  <c r="D64" i="5"/>
  <c r="C64" i="5"/>
  <c r="E63" i="5"/>
  <c r="D63" i="5"/>
  <c r="C63" i="5"/>
  <c r="E62" i="5"/>
  <c r="D62" i="5"/>
  <c r="C62" i="5"/>
  <c r="J72" i="5"/>
  <c r="K72" i="5"/>
  <c r="L72" i="5"/>
  <c r="J73" i="5"/>
  <c r="K73" i="5"/>
  <c r="L73" i="5"/>
  <c r="J70" i="5"/>
  <c r="K70" i="5"/>
  <c r="L70" i="5"/>
  <c r="J71" i="5"/>
  <c r="K71" i="5"/>
  <c r="L71" i="5"/>
  <c r="J68" i="5"/>
  <c r="K68" i="5"/>
  <c r="L68" i="5"/>
  <c r="J69" i="5"/>
  <c r="K69" i="5"/>
  <c r="L69" i="5"/>
  <c r="J66" i="5"/>
  <c r="K66" i="5"/>
  <c r="L66" i="5"/>
  <c r="J67" i="5"/>
  <c r="K67" i="5"/>
  <c r="L67" i="5"/>
  <c r="J60" i="5"/>
  <c r="K60" i="5"/>
  <c r="L60" i="5"/>
  <c r="J61" i="5"/>
  <c r="K61" i="5"/>
  <c r="L61" i="5"/>
  <c r="J58" i="5"/>
  <c r="K58" i="5"/>
  <c r="L58" i="5"/>
  <c r="J59" i="5"/>
  <c r="K59" i="5"/>
  <c r="L59" i="5"/>
  <c r="A70" i="5"/>
  <c r="A66" i="5"/>
  <c r="CA2" i="10"/>
  <c r="BZ2" i="10"/>
  <c r="BY2" i="10"/>
  <c r="BX2" i="10"/>
  <c r="BW2" i="10"/>
  <c r="BV2" i="10"/>
  <c r="BU2" i="10"/>
  <c r="BT2" i="10"/>
  <c r="BS2" i="10"/>
  <c r="BR2" i="10"/>
  <c r="BQ2" i="10"/>
  <c r="BP2" i="10"/>
  <c r="BO2" i="10"/>
  <c r="BN2" i="10"/>
  <c r="BM2" i="10"/>
  <c r="BL2" i="10"/>
  <c r="BK2" i="10"/>
  <c r="BJ2" i="10"/>
  <c r="BI2" i="10"/>
  <c r="BH2" i="10"/>
  <c r="BG2" i="10"/>
  <c r="BF2" i="10"/>
  <c r="BE2" i="10"/>
  <c r="BD2" i="10"/>
  <c r="BC2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A2" i="10"/>
  <c r="K60" i="3"/>
  <c r="J60" i="3"/>
  <c r="I60" i="3"/>
  <c r="K59" i="3"/>
  <c r="J59" i="3"/>
  <c r="I59" i="3"/>
  <c r="K58" i="3"/>
  <c r="J58" i="3"/>
  <c r="I58" i="3"/>
  <c r="K57" i="3"/>
  <c r="J57" i="3"/>
  <c r="I57" i="3"/>
  <c r="H68" i="3"/>
  <c r="G68" i="3"/>
  <c r="F68" i="3"/>
  <c r="H67" i="3"/>
  <c r="G67" i="3"/>
  <c r="F67" i="3"/>
  <c r="H66" i="3"/>
  <c r="G66" i="3"/>
  <c r="F66" i="3"/>
  <c r="H65" i="3"/>
  <c r="G65" i="3"/>
  <c r="F65" i="3"/>
  <c r="H60" i="3"/>
  <c r="G60" i="3"/>
  <c r="F60" i="3"/>
  <c r="H59" i="3"/>
  <c r="G59" i="3"/>
  <c r="F59" i="3"/>
  <c r="H58" i="3"/>
  <c r="G58" i="3"/>
  <c r="F58" i="3"/>
  <c r="H57" i="3"/>
  <c r="G57" i="3"/>
  <c r="F57" i="3"/>
  <c r="B66" i="3"/>
  <c r="B65" i="3"/>
  <c r="E68" i="3"/>
  <c r="D68" i="3"/>
  <c r="C68" i="3"/>
  <c r="E67" i="3"/>
  <c r="D67" i="3"/>
  <c r="C67" i="3"/>
  <c r="E66" i="3"/>
  <c r="D66" i="3"/>
  <c r="C66" i="3"/>
  <c r="E65" i="3"/>
  <c r="D65" i="3"/>
  <c r="C65" i="3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BO64" i="10"/>
  <c r="BN64" i="10"/>
  <c r="BM64" i="10"/>
  <c r="BL64" i="10"/>
  <c r="BK64" i="10"/>
  <c r="BJ64" i="10"/>
  <c r="BI64" i="10"/>
  <c r="BH64" i="10"/>
  <c r="BG64" i="10"/>
  <c r="BF64" i="10"/>
  <c r="BE64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CA63" i="10"/>
  <c r="BZ63" i="10"/>
  <c r="BY63" i="10"/>
  <c r="BX63" i="10"/>
  <c r="BW63" i="10"/>
  <c r="BV63" i="10"/>
  <c r="BU63" i="10"/>
  <c r="BT63" i="10"/>
  <c r="BS63" i="10"/>
  <c r="BR63" i="10"/>
  <c r="BQ63" i="10"/>
  <c r="BP63" i="10"/>
  <c r="BO63" i="10"/>
  <c r="BN63" i="10"/>
  <c r="BM63" i="10"/>
  <c r="BL63" i="10"/>
  <c r="BK63" i="10"/>
  <c r="BJ63" i="10"/>
  <c r="BI63" i="10"/>
  <c r="BH63" i="10"/>
  <c r="BG63" i="10"/>
  <c r="BF63" i="10"/>
  <c r="BE63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O62" i="10"/>
  <c r="B62" i="10"/>
  <c r="A62" i="10"/>
  <c r="CA61" i="10"/>
  <c r="BZ61" i="10"/>
  <c r="BY61" i="10"/>
  <c r="BX61" i="10"/>
  <c r="BW61" i="10"/>
  <c r="BV61" i="10"/>
  <c r="BU61" i="10"/>
  <c r="BT61" i="10"/>
  <c r="BS61" i="10"/>
  <c r="BR61" i="10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CA60" i="10"/>
  <c r="BZ60" i="10"/>
  <c r="BY60" i="10"/>
  <c r="BX60" i="10"/>
  <c r="BW60" i="10"/>
  <c r="BV60" i="10"/>
  <c r="BU60" i="10"/>
  <c r="BT60" i="10"/>
  <c r="BS60" i="10"/>
  <c r="BR60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CA58" i="10"/>
  <c r="BZ58" i="10"/>
  <c r="BY58" i="10"/>
  <c r="BX58" i="10"/>
  <c r="BW58" i="10"/>
  <c r="BV58" i="10"/>
  <c r="BU58" i="10"/>
  <c r="BT58" i="10"/>
  <c r="BS58" i="10"/>
  <c r="BR58" i="10"/>
  <c r="BQ58" i="10"/>
  <c r="BP58" i="10"/>
  <c r="BO58" i="10"/>
  <c r="BN58" i="10"/>
  <c r="BM58" i="10"/>
  <c r="BL58" i="10"/>
  <c r="BK58" i="10"/>
  <c r="BJ58" i="10"/>
  <c r="BI58" i="10"/>
  <c r="BH58" i="10"/>
  <c r="BG58" i="10"/>
  <c r="BF58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CA57" i="10"/>
  <c r="BZ57" i="10"/>
  <c r="BY57" i="10"/>
  <c r="BX57" i="10"/>
  <c r="BW57" i="10"/>
  <c r="BV57" i="10"/>
  <c r="BU57" i="10"/>
  <c r="BT57" i="10"/>
  <c r="BS57" i="10"/>
  <c r="BR57" i="10"/>
  <c r="BQ57" i="10"/>
  <c r="BP57" i="10"/>
  <c r="BO57" i="10"/>
  <c r="BN57" i="10"/>
  <c r="BM57" i="10"/>
  <c r="BL57" i="10"/>
  <c r="BK57" i="10"/>
  <c r="BJ57" i="10"/>
  <c r="BI57" i="10"/>
  <c r="BH57" i="10"/>
  <c r="BG57" i="10"/>
  <c r="BF57" i="10"/>
  <c r="BE57" i="10"/>
  <c r="BD57" i="10"/>
  <c r="BC57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CA56" i="10"/>
  <c r="BZ56" i="10"/>
  <c r="BY56" i="10"/>
  <c r="BX56" i="10"/>
  <c r="BW56" i="10"/>
  <c r="BV56" i="10"/>
  <c r="BU56" i="10"/>
  <c r="BT56" i="10"/>
  <c r="BS56" i="10"/>
  <c r="BR56" i="10"/>
  <c r="BQ56" i="10"/>
  <c r="BP56" i="10"/>
  <c r="BO56" i="10"/>
  <c r="BN56" i="10"/>
  <c r="BM56" i="10"/>
  <c r="BL56" i="10"/>
  <c r="BK56" i="10"/>
  <c r="BJ56" i="10"/>
  <c r="BI56" i="10"/>
  <c r="BH56" i="10"/>
  <c r="BG56" i="10"/>
  <c r="BF56" i="10"/>
  <c r="BE56" i="10"/>
  <c r="BD56" i="10"/>
  <c r="BC56" i="10"/>
  <c r="BB56" i="10"/>
  <c r="BA56" i="10"/>
  <c r="AZ56" i="10"/>
  <c r="AY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CA55" i="10"/>
  <c r="BZ55" i="10"/>
  <c r="BY55" i="10"/>
  <c r="BX55" i="10"/>
  <c r="BW55" i="10"/>
  <c r="BV55" i="10"/>
  <c r="BU55" i="10"/>
  <c r="BT55" i="10"/>
  <c r="BS55" i="10"/>
  <c r="BR55" i="10"/>
  <c r="BQ55" i="10"/>
  <c r="BP55" i="10"/>
  <c r="BO55" i="10"/>
  <c r="BN55" i="10"/>
  <c r="BM55" i="10"/>
  <c r="BL55" i="10"/>
  <c r="BK55" i="10"/>
  <c r="BJ55" i="10"/>
  <c r="BI55" i="10"/>
  <c r="BH55" i="10"/>
  <c r="BG55" i="10"/>
  <c r="BF55" i="10"/>
  <c r="BE55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CA54" i="10"/>
  <c r="BZ54" i="10"/>
  <c r="BY54" i="10"/>
  <c r="BX54" i="10"/>
  <c r="BW54" i="10"/>
  <c r="BV54" i="10"/>
  <c r="BU54" i="10"/>
  <c r="BT54" i="10"/>
  <c r="BS54" i="10"/>
  <c r="BR54" i="10"/>
  <c r="BQ54" i="10"/>
  <c r="BP54" i="10"/>
  <c r="BO54" i="10"/>
  <c r="BN54" i="10"/>
  <c r="BM54" i="10"/>
  <c r="BL54" i="10"/>
  <c r="BK54" i="10"/>
  <c r="BJ54" i="10"/>
  <c r="BI54" i="10"/>
  <c r="BH54" i="10"/>
  <c r="BG54" i="10"/>
  <c r="BF54" i="10"/>
  <c r="BE54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CA53" i="10"/>
  <c r="BZ53" i="10"/>
  <c r="BY53" i="10"/>
  <c r="BX53" i="10"/>
  <c r="BW53" i="10"/>
  <c r="BV53" i="10"/>
  <c r="BU53" i="10"/>
  <c r="BT53" i="10"/>
  <c r="BS53" i="10"/>
  <c r="BR53" i="10"/>
  <c r="BQ53" i="10"/>
  <c r="BP53" i="10"/>
  <c r="BO53" i="10"/>
  <c r="BN53" i="10"/>
  <c r="BM53" i="10"/>
  <c r="BL53" i="10"/>
  <c r="BK53" i="10"/>
  <c r="BJ53" i="10"/>
  <c r="BI53" i="10"/>
  <c r="BH53" i="10"/>
  <c r="BG53" i="10"/>
  <c r="BF53" i="10"/>
  <c r="BE53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CA52" i="10"/>
  <c r="BZ52" i="10"/>
  <c r="BY52" i="10"/>
  <c r="BX52" i="10"/>
  <c r="BW52" i="10"/>
  <c r="BV52" i="10"/>
  <c r="BU52" i="10"/>
  <c r="BT52" i="10"/>
  <c r="BS52" i="10"/>
  <c r="BR52" i="10"/>
  <c r="BQ52" i="10"/>
  <c r="BP52" i="10"/>
  <c r="BO52" i="10"/>
  <c r="BN52" i="10"/>
  <c r="BM52" i="10"/>
  <c r="BL52" i="10"/>
  <c r="BK52" i="10"/>
  <c r="BJ52" i="10"/>
  <c r="BI52" i="10"/>
  <c r="BH52" i="10"/>
  <c r="BG52" i="10"/>
  <c r="BF52" i="10"/>
  <c r="BE52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BO51" i="10"/>
  <c r="BN51" i="10"/>
  <c r="BM51" i="10"/>
  <c r="BL51" i="10"/>
  <c r="BK51" i="10"/>
  <c r="BJ51" i="10"/>
  <c r="BI51" i="10"/>
  <c r="BH51" i="10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CA50" i="10"/>
  <c r="BZ50" i="10"/>
  <c r="BY50" i="10"/>
  <c r="BX50" i="10"/>
  <c r="BW50" i="10"/>
  <c r="BV50" i="10"/>
  <c r="BU50" i="10"/>
  <c r="BT50" i="10"/>
  <c r="BS50" i="10"/>
  <c r="BR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CA49" i="10"/>
  <c r="BZ49" i="10"/>
  <c r="BY49" i="10"/>
  <c r="BX49" i="10"/>
  <c r="BW49" i="10"/>
  <c r="BV49" i="10"/>
  <c r="BU49" i="10"/>
  <c r="BT49" i="10"/>
  <c r="BS49" i="10"/>
  <c r="BR49" i="10"/>
  <c r="BQ49" i="10"/>
  <c r="BP49" i="10"/>
  <c r="BO49" i="10"/>
  <c r="BN49" i="10"/>
  <c r="BM49" i="10"/>
  <c r="BL49" i="10"/>
  <c r="BK49" i="10"/>
  <c r="BJ49" i="10"/>
  <c r="BI49" i="10"/>
  <c r="BH49" i="10"/>
  <c r="BG49" i="10"/>
  <c r="BF49" i="10"/>
  <c r="BE49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CA48" i="10"/>
  <c r="BZ48" i="10"/>
  <c r="BY48" i="10"/>
  <c r="BX48" i="10"/>
  <c r="BW48" i="10"/>
  <c r="BV48" i="10"/>
  <c r="BU48" i="10"/>
  <c r="BT48" i="10"/>
  <c r="BS48" i="10"/>
  <c r="BR48" i="10"/>
  <c r="BQ48" i="10"/>
  <c r="BP48" i="10"/>
  <c r="BO48" i="10"/>
  <c r="BN48" i="10"/>
  <c r="BM48" i="10"/>
  <c r="BL48" i="10"/>
  <c r="BK48" i="10"/>
  <c r="BJ48" i="10"/>
  <c r="BI48" i="10"/>
  <c r="BH48" i="10"/>
  <c r="BG48" i="10"/>
  <c r="BF48" i="10"/>
  <c r="BE48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CA47" i="10"/>
  <c r="BZ47" i="10"/>
  <c r="BY47" i="10"/>
  <c r="BX47" i="10"/>
  <c r="BW47" i="10"/>
  <c r="BV47" i="10"/>
  <c r="BU47" i="10"/>
  <c r="BT47" i="10"/>
  <c r="BS47" i="10"/>
  <c r="BR47" i="10"/>
  <c r="BQ47" i="10"/>
  <c r="BP47" i="10"/>
  <c r="BO47" i="10"/>
  <c r="BN47" i="10"/>
  <c r="BM47" i="10"/>
  <c r="BL47" i="10"/>
  <c r="BK47" i="10"/>
  <c r="BJ47" i="10"/>
  <c r="BI47" i="10"/>
  <c r="BH47" i="10"/>
  <c r="BG47" i="10"/>
  <c r="BF47" i="10"/>
  <c r="BE47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CA46" i="10"/>
  <c r="BZ46" i="10"/>
  <c r="BY46" i="10"/>
  <c r="BX46" i="10"/>
  <c r="BW46" i="10"/>
  <c r="BV46" i="10"/>
  <c r="BU46" i="10"/>
  <c r="BT46" i="10"/>
  <c r="BS46" i="10"/>
  <c r="BR46" i="10"/>
  <c r="BQ46" i="10"/>
  <c r="BP46" i="10"/>
  <c r="BO46" i="10"/>
  <c r="BN46" i="10"/>
  <c r="BM46" i="10"/>
  <c r="BL46" i="10"/>
  <c r="BK46" i="10"/>
  <c r="BJ46" i="10"/>
  <c r="BI46" i="10"/>
  <c r="BH46" i="10"/>
  <c r="BG46" i="10"/>
  <c r="BF46" i="10"/>
  <c r="BE46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CA45" i="10"/>
  <c r="BZ45" i="10"/>
  <c r="BY45" i="10"/>
  <c r="BX45" i="10"/>
  <c r="BW45" i="10"/>
  <c r="BV45" i="10"/>
  <c r="BU45" i="10"/>
  <c r="BT45" i="10"/>
  <c r="BS45" i="10"/>
  <c r="BR45" i="10"/>
  <c r="BQ45" i="10"/>
  <c r="BP45" i="10"/>
  <c r="BO45" i="10"/>
  <c r="BN45" i="10"/>
  <c r="BM45" i="10"/>
  <c r="BL45" i="10"/>
  <c r="BK45" i="10"/>
  <c r="BJ45" i="10"/>
  <c r="BI45" i="10"/>
  <c r="BH45" i="10"/>
  <c r="BG45" i="10"/>
  <c r="BF45" i="10"/>
  <c r="BE45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CA43" i="10"/>
  <c r="BZ43" i="10"/>
  <c r="BY43" i="10"/>
  <c r="BX43" i="10"/>
  <c r="BW43" i="10"/>
  <c r="BV43" i="10"/>
  <c r="BU43" i="10"/>
  <c r="BT43" i="10"/>
  <c r="BS43" i="10"/>
  <c r="BR43" i="10"/>
  <c r="BQ43" i="10"/>
  <c r="BP43" i="10"/>
  <c r="BO43" i="10"/>
  <c r="BN43" i="10"/>
  <c r="BM43" i="10"/>
  <c r="BL43" i="10"/>
  <c r="BK43" i="10"/>
  <c r="BJ43" i="10"/>
  <c r="BI43" i="10"/>
  <c r="BH43" i="10"/>
  <c r="BG43" i="10"/>
  <c r="BF43" i="10"/>
  <c r="BE43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CA42" i="10"/>
  <c r="BZ42" i="10"/>
  <c r="BY42" i="10"/>
  <c r="BX42" i="10"/>
  <c r="BW42" i="10"/>
  <c r="BV42" i="10"/>
  <c r="BU42" i="10"/>
  <c r="BT42" i="10"/>
  <c r="BS42" i="10"/>
  <c r="BR42" i="10"/>
  <c r="BQ42" i="10"/>
  <c r="BP42" i="10"/>
  <c r="BO42" i="10"/>
  <c r="BN42" i="10"/>
  <c r="BM42" i="10"/>
  <c r="BL42" i="10"/>
  <c r="BK42" i="10"/>
  <c r="BJ42" i="10"/>
  <c r="BI42" i="10"/>
  <c r="BH42" i="10"/>
  <c r="BG42" i="10"/>
  <c r="BF42" i="10"/>
  <c r="BE42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CA41" i="10"/>
  <c r="BZ41" i="10"/>
  <c r="BY41" i="10"/>
  <c r="BX41" i="10"/>
  <c r="BW41" i="10"/>
  <c r="BV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CA40" i="10"/>
  <c r="BZ40" i="10"/>
  <c r="BY40" i="10"/>
  <c r="BX40" i="10"/>
  <c r="BW40" i="10"/>
  <c r="BV40" i="10"/>
  <c r="BU40" i="10"/>
  <c r="BT40" i="10"/>
  <c r="BS40" i="10"/>
  <c r="BR40" i="10"/>
  <c r="BQ40" i="10"/>
  <c r="BP40" i="10"/>
  <c r="BO40" i="10"/>
  <c r="BN40" i="10"/>
  <c r="BM40" i="10"/>
  <c r="BL40" i="10"/>
  <c r="BK40" i="10"/>
  <c r="BJ40" i="10"/>
  <c r="BI40" i="10"/>
  <c r="BH40" i="10"/>
  <c r="BG40" i="10"/>
  <c r="BF40" i="10"/>
  <c r="BE40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CA39" i="10"/>
  <c r="BZ39" i="10"/>
  <c r="BY39" i="10"/>
  <c r="BX39" i="10"/>
  <c r="BW39" i="10"/>
  <c r="BV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37" i="10"/>
  <c r="A36" i="10"/>
  <c r="CA31" i="10"/>
  <c r="BZ31" i="10"/>
  <c r="BY31" i="10"/>
  <c r="BX31" i="10"/>
  <c r="BW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CA30" i="10"/>
  <c r="BZ30" i="10"/>
  <c r="BY30" i="10"/>
  <c r="BX30" i="10"/>
  <c r="BW30" i="10"/>
  <c r="BV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O29" i="10"/>
  <c r="B29" i="10"/>
  <c r="A29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CA22" i="10"/>
  <c r="BZ22" i="10"/>
  <c r="BY22" i="10"/>
  <c r="BX22" i="10"/>
  <c r="BW22" i="10"/>
  <c r="BV22" i="10"/>
  <c r="BU22" i="10"/>
  <c r="BT22" i="10"/>
  <c r="BS22" i="10"/>
  <c r="BR22" i="10"/>
  <c r="BQ22" i="10"/>
  <c r="BP22" i="10"/>
  <c r="BO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CA19" i="10"/>
  <c r="BZ19" i="10"/>
  <c r="BY19" i="10"/>
  <c r="BX19" i="10"/>
  <c r="BW19" i="10"/>
  <c r="BV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CA18" i="10"/>
  <c r="BZ18" i="10"/>
  <c r="BY18" i="10"/>
  <c r="BX18" i="10"/>
  <c r="BW18" i="10"/>
  <c r="BV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CA17" i="10"/>
  <c r="BZ17" i="10"/>
  <c r="BY17" i="10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CA15" i="10"/>
  <c r="BZ15" i="10"/>
  <c r="BY15" i="10"/>
  <c r="BX15" i="10"/>
  <c r="BW15" i="10"/>
  <c r="BV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CA13" i="10"/>
  <c r="BZ13" i="10"/>
  <c r="BY13" i="10"/>
  <c r="BX13" i="10"/>
  <c r="BW13" i="10"/>
  <c r="BV13" i="10"/>
  <c r="BU13" i="10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CA12" i="10"/>
  <c r="BZ12" i="10"/>
  <c r="BY12" i="10"/>
  <c r="BX12" i="10"/>
  <c r="BW12" i="10"/>
  <c r="BV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CA11" i="10"/>
  <c r="BZ11" i="10"/>
  <c r="BY11" i="10"/>
  <c r="BX11" i="10"/>
  <c r="BW11" i="10"/>
  <c r="BV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CA10" i="10"/>
  <c r="BZ10" i="10"/>
  <c r="BY10" i="10"/>
  <c r="BX10" i="10"/>
  <c r="BW10" i="10"/>
  <c r="BV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CA8" i="10"/>
  <c r="BZ8" i="10"/>
  <c r="BY8" i="10"/>
  <c r="BX8" i="10"/>
  <c r="BW8" i="10"/>
  <c r="BV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4" i="10"/>
  <c r="A3" i="10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65" i="3"/>
  <c r="AN94" i="9"/>
  <c r="AM94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AN93" i="9"/>
  <c r="AM93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B92" i="9"/>
  <c r="A92" i="9"/>
  <c r="AN91" i="9"/>
  <c r="AM91" i="9"/>
  <c r="AL91" i="9"/>
  <c r="AK91" i="9"/>
  <c r="AJ91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AN90" i="9"/>
  <c r="AM90" i="9"/>
  <c r="AL90" i="9"/>
  <c r="AK90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AN88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AN87" i="9"/>
  <c r="AM87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AN86" i="9"/>
  <c r="AM86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AN85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AN84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AN83" i="9"/>
  <c r="AM83" i="9"/>
  <c r="AL83" i="9"/>
  <c r="AK83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AN82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A67" i="9"/>
  <c r="A66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B59" i="9"/>
  <c r="A59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A36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B28" i="9"/>
  <c r="A28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3" i="9"/>
  <c r="O76" i="5"/>
  <c r="N76" i="5"/>
  <c r="M76" i="5"/>
  <c r="H76" i="5"/>
  <c r="G76" i="5"/>
  <c r="F76" i="5"/>
  <c r="O75" i="5"/>
  <c r="N75" i="5"/>
  <c r="M75" i="5"/>
  <c r="H75" i="5"/>
  <c r="G75" i="5"/>
  <c r="F75" i="5"/>
  <c r="O57" i="5"/>
  <c r="N57" i="5"/>
  <c r="M57" i="5"/>
  <c r="H57" i="5"/>
  <c r="G57" i="5"/>
  <c r="F57" i="5"/>
  <c r="O56" i="5"/>
  <c r="N56" i="5"/>
  <c r="M56" i="5"/>
  <c r="H56" i="5"/>
  <c r="G56" i="5"/>
  <c r="F56" i="5"/>
  <c r="O55" i="5"/>
  <c r="N55" i="5"/>
  <c r="M55" i="5"/>
  <c r="H55" i="5"/>
  <c r="G55" i="5"/>
  <c r="F55" i="5"/>
  <c r="O54" i="5"/>
  <c r="N54" i="5"/>
  <c r="M54" i="5"/>
  <c r="H54" i="5"/>
  <c r="G54" i="5"/>
  <c r="F54" i="5"/>
  <c r="O53" i="5"/>
  <c r="N53" i="5"/>
  <c r="M53" i="5"/>
  <c r="H53" i="5"/>
  <c r="G53" i="5"/>
  <c r="F53" i="5"/>
  <c r="O52" i="5"/>
  <c r="N52" i="5"/>
  <c r="M52" i="5"/>
  <c r="H52" i="5"/>
  <c r="G52" i="5"/>
  <c r="F52" i="5"/>
  <c r="O51" i="5"/>
  <c r="N51" i="5"/>
  <c r="M51" i="5"/>
  <c r="H51" i="5"/>
  <c r="G51" i="5"/>
  <c r="F51" i="5"/>
  <c r="O50" i="5"/>
  <c r="N50" i="5"/>
  <c r="M50" i="5"/>
  <c r="H50" i="5"/>
  <c r="G50" i="5"/>
  <c r="F50" i="5"/>
  <c r="O49" i="5"/>
  <c r="N49" i="5"/>
  <c r="M49" i="5"/>
  <c r="H49" i="5"/>
  <c r="G49" i="5"/>
  <c r="F49" i="5"/>
  <c r="O48" i="5"/>
  <c r="N48" i="5"/>
  <c r="M48" i="5"/>
  <c r="H48" i="5"/>
  <c r="G48" i="5"/>
  <c r="F48" i="5"/>
  <c r="O47" i="5"/>
  <c r="N47" i="5"/>
  <c r="M47" i="5"/>
  <c r="H47" i="5"/>
  <c r="G47" i="5"/>
  <c r="F47" i="5"/>
  <c r="O46" i="5"/>
  <c r="N46" i="5"/>
  <c r="M46" i="5"/>
  <c r="H46" i="5"/>
  <c r="G46" i="5"/>
  <c r="F46" i="5"/>
  <c r="O45" i="5"/>
  <c r="N45" i="5"/>
  <c r="M45" i="5"/>
  <c r="H45" i="5"/>
  <c r="G45" i="5"/>
  <c r="F45" i="5"/>
  <c r="O44" i="5"/>
  <c r="N44" i="5"/>
  <c r="M44" i="5"/>
  <c r="H44" i="5"/>
  <c r="G44" i="5"/>
  <c r="F44" i="5"/>
  <c r="O43" i="5"/>
  <c r="N43" i="5"/>
  <c r="M43" i="5"/>
  <c r="H43" i="5"/>
  <c r="G43" i="5"/>
  <c r="F43" i="5"/>
  <c r="O42" i="5"/>
  <c r="N42" i="5"/>
  <c r="M42" i="5"/>
  <c r="H42" i="5"/>
  <c r="G42" i="5"/>
  <c r="F42" i="5"/>
  <c r="O41" i="5"/>
  <c r="N41" i="5"/>
  <c r="M41" i="5"/>
  <c r="H41" i="5"/>
  <c r="G41" i="5"/>
  <c r="F41" i="5"/>
  <c r="O40" i="5"/>
  <c r="N40" i="5"/>
  <c r="M40" i="5"/>
  <c r="H40" i="5"/>
  <c r="G40" i="5"/>
  <c r="F40" i="5"/>
  <c r="O39" i="5"/>
  <c r="N39" i="5"/>
  <c r="M39" i="5"/>
  <c r="H39" i="5"/>
  <c r="G39" i="5"/>
  <c r="F39" i="5"/>
  <c r="O38" i="5"/>
  <c r="N38" i="5"/>
  <c r="M38" i="5"/>
  <c r="H38" i="5"/>
  <c r="G38" i="5"/>
  <c r="F38" i="5"/>
  <c r="O37" i="5"/>
  <c r="N37" i="5"/>
  <c r="M37" i="5"/>
  <c r="H37" i="5"/>
  <c r="G37" i="5"/>
  <c r="F37" i="5"/>
  <c r="O36" i="5"/>
  <c r="N36" i="5"/>
  <c r="M36" i="5"/>
  <c r="H36" i="5"/>
  <c r="G36" i="5"/>
  <c r="F36" i="5"/>
  <c r="O35" i="5"/>
  <c r="N35" i="5"/>
  <c r="M35" i="5"/>
  <c r="H35" i="5"/>
  <c r="G35" i="5"/>
  <c r="F35" i="5"/>
  <c r="O34" i="5"/>
  <c r="N34" i="5"/>
  <c r="M34" i="5"/>
  <c r="H34" i="5"/>
  <c r="G34" i="5"/>
  <c r="F34" i="5"/>
  <c r="O33" i="5"/>
  <c r="N33" i="5"/>
  <c r="M33" i="5"/>
  <c r="H33" i="5"/>
  <c r="G33" i="5"/>
  <c r="F33" i="5"/>
  <c r="O32" i="5"/>
  <c r="N32" i="5"/>
  <c r="M32" i="5"/>
  <c r="H32" i="5"/>
  <c r="G32" i="5"/>
  <c r="F32" i="5"/>
  <c r="O31" i="5"/>
  <c r="N31" i="5"/>
  <c r="M31" i="5"/>
  <c r="H31" i="5"/>
  <c r="G31" i="5"/>
  <c r="F31" i="5"/>
  <c r="O30" i="5"/>
  <c r="N30" i="5"/>
  <c r="M30" i="5"/>
  <c r="H30" i="5"/>
  <c r="G30" i="5"/>
  <c r="F30" i="5"/>
  <c r="O29" i="5"/>
  <c r="N29" i="5"/>
  <c r="M29" i="5"/>
  <c r="H29" i="5"/>
  <c r="G29" i="5"/>
  <c r="F29" i="5"/>
  <c r="O28" i="5"/>
  <c r="N28" i="5"/>
  <c r="M28" i="5"/>
  <c r="H28" i="5"/>
  <c r="G28" i="5"/>
  <c r="F28" i="5"/>
  <c r="O27" i="5"/>
  <c r="N27" i="5"/>
  <c r="M27" i="5"/>
  <c r="H27" i="5"/>
  <c r="G27" i="5"/>
  <c r="F27" i="5"/>
  <c r="O26" i="5"/>
  <c r="N26" i="5"/>
  <c r="M26" i="5"/>
  <c r="H26" i="5"/>
  <c r="G26" i="5"/>
  <c r="F26" i="5"/>
  <c r="O25" i="5"/>
  <c r="N25" i="5"/>
  <c r="M25" i="5"/>
  <c r="H25" i="5"/>
  <c r="G25" i="5"/>
  <c r="F25" i="5"/>
  <c r="O24" i="5"/>
  <c r="N24" i="5"/>
  <c r="M24" i="5"/>
  <c r="H24" i="5"/>
  <c r="G24" i="5"/>
  <c r="F24" i="5"/>
  <c r="O23" i="5"/>
  <c r="N23" i="5"/>
  <c r="M23" i="5"/>
  <c r="H23" i="5"/>
  <c r="G23" i="5"/>
  <c r="F23" i="5"/>
  <c r="O22" i="5"/>
  <c r="N22" i="5"/>
  <c r="M22" i="5"/>
  <c r="H22" i="5"/>
  <c r="G22" i="5"/>
  <c r="F22" i="5"/>
  <c r="O21" i="5"/>
  <c r="N21" i="5"/>
  <c r="M21" i="5"/>
  <c r="H21" i="5"/>
  <c r="G21" i="5"/>
  <c r="F21" i="5"/>
  <c r="O20" i="5"/>
  <c r="N20" i="5"/>
  <c r="M20" i="5"/>
  <c r="H20" i="5"/>
  <c r="G20" i="5"/>
  <c r="F20" i="5"/>
  <c r="O19" i="5"/>
  <c r="N19" i="5"/>
  <c r="M19" i="5"/>
  <c r="H19" i="5"/>
  <c r="G19" i="5"/>
  <c r="F19" i="5"/>
  <c r="O18" i="5"/>
  <c r="N18" i="5"/>
  <c r="M18" i="5"/>
  <c r="H18" i="5"/>
  <c r="G18" i="5"/>
  <c r="F18" i="5"/>
  <c r="O17" i="5"/>
  <c r="N17" i="5"/>
  <c r="M17" i="5"/>
  <c r="H17" i="5"/>
  <c r="G17" i="5"/>
  <c r="F17" i="5"/>
  <c r="O16" i="5"/>
  <c r="N16" i="5"/>
  <c r="M16" i="5"/>
  <c r="H16" i="5"/>
  <c r="G16" i="5"/>
  <c r="F16" i="5"/>
  <c r="O15" i="5"/>
  <c r="N15" i="5"/>
  <c r="M15" i="5"/>
  <c r="H15" i="5"/>
  <c r="G15" i="5"/>
  <c r="F15" i="5"/>
  <c r="O14" i="5"/>
  <c r="N14" i="5"/>
  <c r="M14" i="5"/>
  <c r="H14" i="5"/>
  <c r="G14" i="5"/>
  <c r="F14" i="5"/>
  <c r="O13" i="5"/>
  <c r="N13" i="5"/>
  <c r="M13" i="5"/>
  <c r="H13" i="5"/>
  <c r="G13" i="5"/>
  <c r="F13" i="5"/>
  <c r="O12" i="5"/>
  <c r="N12" i="5"/>
  <c r="M12" i="5"/>
  <c r="H12" i="5"/>
  <c r="G12" i="5"/>
  <c r="F12" i="5"/>
  <c r="O11" i="5"/>
  <c r="N11" i="5"/>
  <c r="M11" i="5"/>
  <c r="H11" i="5"/>
  <c r="G11" i="5"/>
  <c r="F11" i="5"/>
  <c r="O10" i="5"/>
  <c r="N10" i="5"/>
  <c r="M10" i="5"/>
  <c r="H10" i="5"/>
  <c r="G10" i="5"/>
  <c r="F10" i="5"/>
  <c r="O9" i="5"/>
  <c r="N9" i="5"/>
  <c r="M9" i="5"/>
  <c r="H9" i="5"/>
  <c r="G9" i="5"/>
  <c r="F9" i="5"/>
  <c r="O8" i="5"/>
  <c r="N8" i="5"/>
  <c r="M8" i="5"/>
  <c r="H8" i="5"/>
  <c r="G8" i="5"/>
  <c r="F8" i="5"/>
  <c r="O7" i="5"/>
  <c r="N7" i="5"/>
  <c r="M7" i="5"/>
  <c r="H7" i="5"/>
  <c r="G7" i="5"/>
  <c r="F7" i="5"/>
  <c r="O6" i="5"/>
  <c r="N6" i="5"/>
  <c r="M6" i="5"/>
  <c r="H6" i="5"/>
  <c r="G6" i="5"/>
  <c r="F6" i="5"/>
  <c r="I71" i="5"/>
  <c r="I70" i="5"/>
  <c r="B67" i="5"/>
  <c r="B66" i="5"/>
  <c r="K71" i="3"/>
  <c r="J71" i="3"/>
  <c r="I71" i="3"/>
  <c r="K70" i="3"/>
  <c r="J70" i="3"/>
  <c r="I70" i="3"/>
  <c r="K64" i="3"/>
  <c r="J64" i="3"/>
  <c r="I64" i="3"/>
  <c r="K63" i="3"/>
  <c r="J63" i="3"/>
  <c r="I63" i="3"/>
  <c r="K62" i="3"/>
  <c r="J62" i="3"/>
  <c r="I62" i="3"/>
  <c r="K61" i="3"/>
  <c r="J61" i="3"/>
  <c r="I61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H71" i="3"/>
  <c r="G71" i="3"/>
  <c r="F71" i="3"/>
  <c r="H70" i="3"/>
  <c r="G70" i="3"/>
  <c r="F70" i="3"/>
  <c r="H56" i="3"/>
  <c r="G56" i="3"/>
  <c r="F56" i="3"/>
  <c r="H55" i="3"/>
  <c r="G55" i="3"/>
  <c r="F55" i="3"/>
  <c r="H54" i="3"/>
  <c r="G54" i="3"/>
  <c r="F54" i="3"/>
  <c r="H53" i="3"/>
  <c r="G53" i="3"/>
  <c r="F53" i="3"/>
  <c r="H52" i="3"/>
  <c r="G52" i="3"/>
  <c r="F52" i="3"/>
  <c r="H51" i="3"/>
  <c r="G51" i="3"/>
  <c r="F51" i="3"/>
  <c r="H50" i="3"/>
  <c r="G50" i="3"/>
  <c r="F50" i="3"/>
  <c r="H49" i="3"/>
  <c r="G49" i="3"/>
  <c r="F49" i="3"/>
  <c r="H48" i="3"/>
  <c r="G48" i="3"/>
  <c r="F48" i="3"/>
  <c r="H47" i="3"/>
  <c r="G47" i="3"/>
  <c r="F47" i="3"/>
  <c r="H46" i="3"/>
  <c r="G46" i="3"/>
  <c r="F46" i="3"/>
  <c r="H45" i="3"/>
  <c r="G45" i="3"/>
  <c r="F45" i="3"/>
  <c r="H44" i="3"/>
  <c r="G44" i="3"/>
  <c r="F44" i="3"/>
  <c r="H43" i="3"/>
  <c r="G43" i="3"/>
  <c r="F43" i="3"/>
  <c r="H42" i="3"/>
  <c r="G42" i="3"/>
  <c r="F42" i="3"/>
  <c r="H41" i="3"/>
  <c r="G41" i="3"/>
  <c r="F41" i="3"/>
  <c r="H40" i="3"/>
  <c r="G40" i="3"/>
  <c r="F40" i="3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I63" i="5"/>
  <c r="I62" i="5"/>
  <c r="B59" i="5"/>
  <c r="B58" i="5"/>
  <c r="A62" i="5"/>
  <c r="A58" i="5"/>
  <c r="K2" i="3"/>
  <c r="J2" i="3"/>
  <c r="I2" i="3"/>
  <c r="H2" i="3"/>
  <c r="G2" i="3"/>
  <c r="F2" i="3"/>
  <c r="E2" i="3"/>
  <c r="D2" i="3"/>
  <c r="C2" i="3"/>
  <c r="B2" i="3"/>
  <c r="B5" i="3"/>
  <c r="B58" i="3"/>
  <c r="B57" i="3"/>
  <c r="A57" i="3"/>
  <c r="N2" i="5"/>
  <c r="M2" i="5"/>
  <c r="L2" i="5"/>
  <c r="K2" i="5"/>
  <c r="J2" i="5"/>
  <c r="I2" i="5"/>
  <c r="H2" i="5"/>
  <c r="G2" i="5"/>
  <c r="F2" i="5"/>
  <c r="E2" i="5"/>
  <c r="D2" i="5"/>
  <c r="C2" i="5"/>
  <c r="B2" i="5"/>
  <c r="L57" i="5"/>
  <c r="K57" i="5"/>
  <c r="J57" i="5"/>
  <c r="L53" i="5"/>
  <c r="K53" i="5"/>
  <c r="J53" i="5"/>
  <c r="L49" i="5"/>
  <c r="K49" i="5"/>
  <c r="J49" i="5"/>
  <c r="L45" i="5"/>
  <c r="K45" i="5"/>
  <c r="J45" i="5"/>
  <c r="L41" i="5"/>
  <c r="K41" i="5"/>
  <c r="J41" i="5"/>
  <c r="L37" i="5"/>
  <c r="K37" i="5"/>
  <c r="J37" i="5"/>
  <c r="L33" i="5"/>
  <c r="K33" i="5"/>
  <c r="J33" i="5"/>
  <c r="L29" i="5"/>
  <c r="K29" i="5"/>
  <c r="J29" i="5"/>
  <c r="L25" i="5"/>
  <c r="K25" i="5"/>
  <c r="J25" i="5"/>
  <c r="L21" i="5"/>
  <c r="K21" i="5"/>
  <c r="J21" i="5"/>
  <c r="L17" i="5"/>
  <c r="K17" i="5"/>
  <c r="J17" i="5"/>
  <c r="L13" i="5"/>
  <c r="K13" i="5"/>
  <c r="J13" i="5"/>
  <c r="L9" i="5"/>
  <c r="K9" i="5"/>
  <c r="J9" i="5"/>
  <c r="E57" i="5"/>
  <c r="D57" i="5"/>
  <c r="C57" i="5"/>
  <c r="E53" i="5"/>
  <c r="D53" i="5"/>
  <c r="C53" i="5"/>
  <c r="E49" i="5"/>
  <c r="D49" i="5"/>
  <c r="C49" i="5"/>
  <c r="E45" i="5"/>
  <c r="D45" i="5"/>
  <c r="C45" i="5"/>
  <c r="E41" i="5"/>
  <c r="D41" i="5"/>
  <c r="C41" i="5"/>
  <c r="E37" i="5"/>
  <c r="D37" i="5"/>
  <c r="C37" i="5"/>
  <c r="E33" i="5"/>
  <c r="D33" i="5"/>
  <c r="C33" i="5"/>
  <c r="E29" i="5"/>
  <c r="D29" i="5"/>
  <c r="C29" i="5"/>
  <c r="E25" i="5"/>
  <c r="D25" i="5"/>
  <c r="C25" i="5"/>
  <c r="E21" i="5"/>
  <c r="D21" i="5"/>
  <c r="C21" i="5"/>
  <c r="E17" i="5"/>
  <c r="D17" i="5"/>
  <c r="C17" i="5"/>
  <c r="E13" i="5"/>
  <c r="D13" i="5"/>
  <c r="C13" i="5"/>
  <c r="E9" i="5"/>
  <c r="D9" i="5"/>
  <c r="C9" i="5"/>
  <c r="L56" i="5"/>
  <c r="K56" i="5"/>
  <c r="J56" i="5"/>
  <c r="L52" i="5"/>
  <c r="K52" i="5"/>
  <c r="J52" i="5"/>
  <c r="L48" i="5"/>
  <c r="K48" i="5"/>
  <c r="J48" i="5"/>
  <c r="L44" i="5"/>
  <c r="K44" i="5"/>
  <c r="J44" i="5"/>
  <c r="L40" i="5"/>
  <c r="K40" i="5"/>
  <c r="J40" i="5"/>
  <c r="L36" i="5"/>
  <c r="K36" i="5"/>
  <c r="J36" i="5"/>
  <c r="L32" i="5"/>
  <c r="K32" i="5"/>
  <c r="J32" i="5"/>
  <c r="L28" i="5"/>
  <c r="K28" i="5"/>
  <c r="J28" i="5"/>
  <c r="L24" i="5"/>
  <c r="K24" i="5"/>
  <c r="J24" i="5"/>
  <c r="L20" i="5"/>
  <c r="K20" i="5"/>
  <c r="J20" i="5"/>
  <c r="L16" i="5"/>
  <c r="K16" i="5"/>
  <c r="J16" i="5"/>
  <c r="L12" i="5"/>
  <c r="K12" i="5"/>
  <c r="J12" i="5"/>
  <c r="L8" i="5"/>
  <c r="K8" i="5"/>
  <c r="J8" i="5"/>
  <c r="E56" i="5"/>
  <c r="D56" i="5"/>
  <c r="C56" i="5"/>
  <c r="E52" i="5"/>
  <c r="D52" i="5"/>
  <c r="C52" i="5"/>
  <c r="E48" i="5"/>
  <c r="D48" i="5"/>
  <c r="C48" i="5"/>
  <c r="E44" i="5"/>
  <c r="D44" i="5"/>
  <c r="C44" i="5"/>
  <c r="E40" i="5"/>
  <c r="D40" i="5"/>
  <c r="C40" i="5"/>
  <c r="E36" i="5"/>
  <c r="D36" i="5"/>
  <c r="C36" i="5"/>
  <c r="E32" i="5"/>
  <c r="D32" i="5"/>
  <c r="C32" i="5"/>
  <c r="E28" i="5"/>
  <c r="D28" i="5"/>
  <c r="C28" i="5"/>
  <c r="E24" i="5"/>
  <c r="D24" i="5"/>
  <c r="C24" i="5"/>
  <c r="E20" i="5"/>
  <c r="D20" i="5"/>
  <c r="C20" i="5"/>
  <c r="E16" i="5"/>
  <c r="D16" i="5"/>
  <c r="C16" i="5"/>
  <c r="E12" i="5"/>
  <c r="D12" i="5"/>
  <c r="C12" i="5"/>
  <c r="E8" i="5"/>
  <c r="D8" i="5"/>
  <c r="C8" i="5"/>
  <c r="A77" i="5"/>
  <c r="L76" i="5"/>
  <c r="K76" i="5"/>
  <c r="J76" i="5"/>
  <c r="E76" i="5"/>
  <c r="D76" i="5"/>
  <c r="C76" i="5"/>
  <c r="A76" i="5"/>
  <c r="L75" i="5"/>
  <c r="K75" i="5"/>
  <c r="J75" i="5"/>
  <c r="E75" i="5"/>
  <c r="D75" i="5"/>
  <c r="C75" i="5"/>
  <c r="A75" i="5"/>
  <c r="L55" i="5"/>
  <c r="K55" i="5"/>
  <c r="J55" i="5"/>
  <c r="E55" i="5"/>
  <c r="D55" i="5"/>
  <c r="C55" i="5"/>
  <c r="A55" i="5"/>
  <c r="L54" i="5"/>
  <c r="K54" i="5"/>
  <c r="J54" i="5"/>
  <c r="E54" i="5"/>
  <c r="D54" i="5"/>
  <c r="C54" i="5"/>
  <c r="A54" i="5"/>
  <c r="L51" i="5"/>
  <c r="K51" i="5"/>
  <c r="J51" i="5"/>
  <c r="E51" i="5"/>
  <c r="D51" i="5"/>
  <c r="C51" i="5"/>
  <c r="A51" i="5"/>
  <c r="L50" i="5"/>
  <c r="K50" i="5"/>
  <c r="J50" i="5"/>
  <c r="E50" i="5"/>
  <c r="D50" i="5"/>
  <c r="C50" i="5"/>
  <c r="A50" i="5"/>
  <c r="L47" i="5"/>
  <c r="K47" i="5"/>
  <c r="J47" i="5"/>
  <c r="E47" i="5"/>
  <c r="D47" i="5"/>
  <c r="C47" i="5"/>
  <c r="A47" i="5"/>
  <c r="L46" i="5"/>
  <c r="K46" i="5"/>
  <c r="J46" i="5"/>
  <c r="E46" i="5"/>
  <c r="D46" i="5"/>
  <c r="C46" i="5"/>
  <c r="A46" i="5"/>
  <c r="L43" i="5"/>
  <c r="K43" i="5"/>
  <c r="J43" i="5"/>
  <c r="E43" i="5"/>
  <c r="D43" i="5"/>
  <c r="C43" i="5"/>
  <c r="A43" i="5"/>
  <c r="L42" i="5"/>
  <c r="K42" i="5"/>
  <c r="J42" i="5"/>
  <c r="E42" i="5"/>
  <c r="D42" i="5"/>
  <c r="C42" i="5"/>
  <c r="A42" i="5"/>
  <c r="L39" i="5"/>
  <c r="K39" i="5"/>
  <c r="J39" i="5"/>
  <c r="E39" i="5"/>
  <c r="D39" i="5"/>
  <c r="C39" i="5"/>
  <c r="A39" i="5"/>
  <c r="L38" i="5"/>
  <c r="K38" i="5"/>
  <c r="J38" i="5"/>
  <c r="E38" i="5"/>
  <c r="D38" i="5"/>
  <c r="C38" i="5"/>
  <c r="A38" i="5"/>
  <c r="L35" i="5"/>
  <c r="K35" i="5"/>
  <c r="J35" i="5"/>
  <c r="E35" i="5"/>
  <c r="D35" i="5"/>
  <c r="C35" i="5"/>
  <c r="A35" i="5"/>
  <c r="L34" i="5"/>
  <c r="K34" i="5"/>
  <c r="J34" i="5"/>
  <c r="E34" i="5"/>
  <c r="D34" i="5"/>
  <c r="C34" i="5"/>
  <c r="A34" i="5"/>
  <c r="L31" i="5"/>
  <c r="K31" i="5"/>
  <c r="J31" i="5"/>
  <c r="E31" i="5"/>
  <c r="D31" i="5"/>
  <c r="C31" i="5"/>
  <c r="A31" i="5"/>
  <c r="L30" i="5"/>
  <c r="K30" i="5"/>
  <c r="J30" i="5"/>
  <c r="E30" i="5"/>
  <c r="D30" i="5"/>
  <c r="C30" i="5"/>
  <c r="A30" i="5"/>
  <c r="L27" i="5"/>
  <c r="K27" i="5"/>
  <c r="J27" i="5"/>
  <c r="E27" i="5"/>
  <c r="D27" i="5"/>
  <c r="C27" i="5"/>
  <c r="A27" i="5"/>
  <c r="L26" i="5"/>
  <c r="K26" i="5"/>
  <c r="J26" i="5"/>
  <c r="E26" i="5"/>
  <c r="D26" i="5"/>
  <c r="C26" i="5"/>
  <c r="A26" i="5"/>
  <c r="L23" i="5"/>
  <c r="K23" i="5"/>
  <c r="J23" i="5"/>
  <c r="E23" i="5"/>
  <c r="D23" i="5"/>
  <c r="C23" i="5"/>
  <c r="A23" i="5"/>
  <c r="L22" i="5"/>
  <c r="K22" i="5"/>
  <c r="J22" i="5"/>
  <c r="E22" i="5"/>
  <c r="D22" i="5"/>
  <c r="C22" i="5"/>
  <c r="A22" i="5"/>
  <c r="L19" i="5"/>
  <c r="K19" i="5"/>
  <c r="J19" i="5"/>
  <c r="E19" i="5"/>
  <c r="D19" i="5"/>
  <c r="C19" i="5"/>
  <c r="A19" i="5"/>
  <c r="L18" i="5"/>
  <c r="K18" i="5"/>
  <c r="J18" i="5"/>
  <c r="E18" i="5"/>
  <c r="D18" i="5"/>
  <c r="C18" i="5"/>
  <c r="A18" i="5"/>
  <c r="L15" i="5"/>
  <c r="K15" i="5"/>
  <c r="J15" i="5"/>
  <c r="E15" i="5"/>
  <c r="D15" i="5"/>
  <c r="C15" i="5"/>
  <c r="A15" i="5"/>
  <c r="L14" i="5"/>
  <c r="K14" i="5"/>
  <c r="J14" i="5"/>
  <c r="E14" i="5"/>
  <c r="D14" i="5"/>
  <c r="C14" i="5"/>
  <c r="A14" i="5"/>
  <c r="L11" i="5"/>
  <c r="K11" i="5"/>
  <c r="J11" i="5"/>
  <c r="E11" i="5"/>
  <c r="D11" i="5"/>
  <c r="C11" i="5"/>
  <c r="A11" i="5"/>
  <c r="L10" i="5"/>
  <c r="K10" i="5"/>
  <c r="J10" i="5"/>
  <c r="E10" i="5"/>
  <c r="D10" i="5"/>
  <c r="C10" i="5"/>
  <c r="A10" i="5"/>
  <c r="L7" i="5"/>
  <c r="K7" i="5"/>
  <c r="J7" i="5"/>
  <c r="E7" i="5"/>
  <c r="D7" i="5"/>
  <c r="C7" i="5"/>
  <c r="A7" i="5"/>
  <c r="L6" i="5"/>
  <c r="K6" i="5"/>
  <c r="J6" i="5"/>
  <c r="E6" i="5"/>
  <c r="D6" i="5"/>
  <c r="C6" i="5"/>
  <c r="A6" i="5"/>
  <c r="A4" i="5"/>
  <c r="A2" i="5"/>
  <c r="B62" i="3"/>
  <c r="B61" i="3"/>
  <c r="B54" i="3"/>
  <c r="B53" i="3"/>
  <c r="B50" i="3"/>
  <c r="B49" i="3"/>
  <c r="B46" i="3"/>
  <c r="B45" i="3"/>
  <c r="B42" i="3"/>
  <c r="B41" i="3"/>
  <c r="B38" i="3"/>
  <c r="B37" i="3"/>
  <c r="B34" i="3"/>
  <c r="B33" i="3"/>
  <c r="B30" i="3"/>
  <c r="B29" i="3"/>
  <c r="B26" i="3"/>
  <c r="B25" i="3"/>
  <c r="B22" i="3"/>
  <c r="B21" i="3"/>
  <c r="B18" i="3"/>
  <c r="B14" i="3"/>
  <c r="B10" i="3"/>
  <c r="B6" i="3"/>
  <c r="B17" i="3"/>
  <c r="B13" i="3"/>
  <c r="B9" i="3"/>
  <c r="E64" i="3"/>
  <c r="D64" i="3"/>
  <c r="C64" i="3"/>
  <c r="E56" i="3"/>
  <c r="D56" i="3"/>
  <c r="C56" i="3"/>
  <c r="E52" i="3"/>
  <c r="D52" i="3"/>
  <c r="C52" i="3"/>
  <c r="E48" i="3"/>
  <c r="D48" i="3"/>
  <c r="C48" i="3"/>
  <c r="E44" i="3"/>
  <c r="D44" i="3"/>
  <c r="C44" i="3"/>
  <c r="E40" i="3"/>
  <c r="D40" i="3"/>
  <c r="C40" i="3"/>
  <c r="E36" i="3"/>
  <c r="D36" i="3"/>
  <c r="C36" i="3"/>
  <c r="E32" i="3"/>
  <c r="D32" i="3"/>
  <c r="C32" i="3"/>
  <c r="E28" i="3"/>
  <c r="D28" i="3"/>
  <c r="C28" i="3"/>
  <c r="E24" i="3"/>
  <c r="D24" i="3"/>
  <c r="C24" i="3"/>
  <c r="E20" i="3"/>
  <c r="D20" i="3"/>
  <c r="C20" i="3"/>
  <c r="E16" i="3"/>
  <c r="D16" i="3"/>
  <c r="C16" i="3"/>
  <c r="E12" i="3"/>
  <c r="D12" i="3"/>
  <c r="C12" i="3"/>
  <c r="E8" i="3"/>
  <c r="D8" i="3"/>
  <c r="C8" i="3"/>
  <c r="E63" i="3"/>
  <c r="D63" i="3"/>
  <c r="C63" i="3"/>
  <c r="E55" i="3"/>
  <c r="D55" i="3"/>
  <c r="C55" i="3"/>
  <c r="E51" i="3"/>
  <c r="D51" i="3"/>
  <c r="C51" i="3"/>
  <c r="E47" i="3"/>
  <c r="D47" i="3"/>
  <c r="C47" i="3"/>
  <c r="E43" i="3"/>
  <c r="D43" i="3"/>
  <c r="C43" i="3"/>
  <c r="E39" i="3"/>
  <c r="D39" i="3"/>
  <c r="C39" i="3"/>
  <c r="E35" i="3"/>
  <c r="D35" i="3"/>
  <c r="C35" i="3"/>
  <c r="E31" i="3"/>
  <c r="D31" i="3"/>
  <c r="C31" i="3"/>
  <c r="E27" i="3"/>
  <c r="D27" i="3"/>
  <c r="C27" i="3"/>
  <c r="E23" i="3"/>
  <c r="D23" i="3"/>
  <c r="C23" i="3"/>
  <c r="E19" i="3"/>
  <c r="D19" i="3"/>
  <c r="C19" i="3"/>
  <c r="E15" i="3"/>
  <c r="D15" i="3"/>
  <c r="C15" i="3"/>
  <c r="E11" i="3"/>
  <c r="D11" i="3"/>
  <c r="C11" i="3"/>
  <c r="E7" i="3"/>
  <c r="D7" i="3"/>
  <c r="C7" i="3"/>
  <c r="A72" i="3"/>
  <c r="E71" i="3"/>
  <c r="D71" i="3"/>
  <c r="C71" i="3"/>
  <c r="A71" i="3"/>
  <c r="E70" i="3"/>
  <c r="D70" i="3"/>
  <c r="C70" i="3"/>
  <c r="A70" i="3"/>
  <c r="E62" i="3"/>
  <c r="D62" i="3"/>
  <c r="C62" i="3"/>
  <c r="A62" i="3"/>
  <c r="E61" i="3"/>
  <c r="D61" i="3"/>
  <c r="C61" i="3"/>
  <c r="A61" i="3"/>
  <c r="E54" i="3"/>
  <c r="D54" i="3"/>
  <c r="C54" i="3"/>
  <c r="A54" i="3"/>
  <c r="E53" i="3"/>
  <c r="D53" i="3"/>
  <c r="C53" i="3"/>
  <c r="A53" i="3"/>
  <c r="E50" i="3"/>
  <c r="D50" i="3"/>
  <c r="C50" i="3"/>
  <c r="A50" i="3"/>
  <c r="E49" i="3"/>
  <c r="D49" i="3"/>
  <c r="C49" i="3"/>
  <c r="A49" i="3"/>
  <c r="E46" i="3"/>
  <c r="D46" i="3"/>
  <c r="C46" i="3"/>
  <c r="A46" i="3"/>
  <c r="E45" i="3"/>
  <c r="D45" i="3"/>
  <c r="C45" i="3"/>
  <c r="A45" i="3"/>
  <c r="E42" i="3"/>
  <c r="D42" i="3"/>
  <c r="C42" i="3"/>
  <c r="A42" i="3"/>
  <c r="E41" i="3"/>
  <c r="D41" i="3"/>
  <c r="C41" i="3"/>
  <c r="A41" i="3"/>
  <c r="E38" i="3"/>
  <c r="D38" i="3"/>
  <c r="C38" i="3"/>
  <c r="A38" i="3"/>
  <c r="E37" i="3"/>
  <c r="D37" i="3"/>
  <c r="C37" i="3"/>
  <c r="A37" i="3"/>
  <c r="E34" i="3"/>
  <c r="D34" i="3"/>
  <c r="C34" i="3"/>
  <c r="A34" i="3"/>
  <c r="E33" i="3"/>
  <c r="D33" i="3"/>
  <c r="C33" i="3"/>
  <c r="A33" i="3"/>
  <c r="E30" i="3"/>
  <c r="D30" i="3"/>
  <c r="C30" i="3"/>
  <c r="A30" i="3"/>
  <c r="E29" i="3"/>
  <c r="D29" i="3"/>
  <c r="C29" i="3"/>
  <c r="A29" i="3"/>
  <c r="E26" i="3"/>
  <c r="D26" i="3"/>
  <c r="C26" i="3"/>
  <c r="A26" i="3"/>
  <c r="E25" i="3"/>
  <c r="D25" i="3"/>
  <c r="C25" i="3"/>
  <c r="A25" i="3"/>
  <c r="E22" i="3"/>
  <c r="D22" i="3"/>
  <c r="C22" i="3"/>
  <c r="A22" i="3"/>
  <c r="E21" i="3"/>
  <c r="D21" i="3"/>
  <c r="C21" i="3"/>
  <c r="A21" i="3"/>
  <c r="E18" i="3"/>
  <c r="D18" i="3"/>
  <c r="C18" i="3"/>
  <c r="A18" i="3"/>
  <c r="E17" i="3"/>
  <c r="D17" i="3"/>
  <c r="C17" i="3"/>
  <c r="A17" i="3"/>
  <c r="E14" i="3"/>
  <c r="D14" i="3"/>
  <c r="C14" i="3"/>
  <c r="A14" i="3"/>
  <c r="E13" i="3"/>
  <c r="D13" i="3"/>
  <c r="C13" i="3"/>
  <c r="A13" i="3"/>
  <c r="E10" i="3"/>
  <c r="D10" i="3"/>
  <c r="C10" i="3"/>
  <c r="A10" i="3"/>
  <c r="E9" i="3"/>
  <c r="D9" i="3"/>
  <c r="C9" i="3"/>
  <c r="A9" i="3"/>
  <c r="E6" i="3"/>
  <c r="D6" i="3"/>
  <c r="C6" i="3"/>
  <c r="A6" i="3"/>
  <c r="E5" i="3"/>
  <c r="D5" i="3"/>
  <c r="C5" i="3"/>
  <c r="A5" i="3"/>
  <c r="A3" i="3"/>
  <c r="A2" i="3"/>
</calcChain>
</file>

<file path=xl/sharedStrings.xml><?xml version="1.0" encoding="utf-8"?>
<sst xmlns="http://schemas.openxmlformats.org/spreadsheetml/2006/main" count="797" uniqueCount="149">
  <si>
    <t>Mean/SD</t>
  </si>
  <si>
    <t>Dependent Variable: "b_ajc_pj"</t>
  </si>
  <si>
    <t>Dependent Variable: "b_pjc_pj"</t>
  </si>
  <si>
    <t>Dependent Variable: "b_ajc_aj"</t>
  </si>
  <si>
    <t>Dependent Variable: "b_ajc_aj_hied"</t>
  </si>
  <si>
    <t>Dependent Variable: "b_ajc_aj_loed"</t>
  </si>
  <si>
    <t>Dependent Variable: "b_ajc_pj_loed"</t>
  </si>
  <si>
    <t>Dependent Variable: "b_ajc_pj_hied"</t>
  </si>
  <si>
    <t>High Education Subgroup</t>
  </si>
  <si>
    <t>Low Education Subgroup</t>
  </si>
  <si>
    <t>Output 2 - INDUSTRY LEVEL AVERAGES OF LOG EARNINGS AND AKM COMPONENTS</t>
  </si>
  <si>
    <t>Industry (4 digit NAICS)</t>
  </si>
  <si>
    <t>y_j</t>
  </si>
  <si>
    <t>alpha_j</t>
  </si>
  <si>
    <t>psi_j</t>
  </si>
  <si>
    <t>Number of person-quarters</t>
  </si>
  <si>
    <t>Education subgroup</t>
  </si>
  <si>
    <t>L</t>
  </si>
  <si>
    <t>H</t>
  </si>
  <si>
    <t>Adjusted R2</t>
  </si>
  <si>
    <t>SD of Dependent Variable</t>
  </si>
  <si>
    <t>SD of regressor (psi_j)</t>
  </si>
  <si>
    <t>Output 8 -  AVERAGES OF AKM COMPONENTS BY INDUSTRY AND 3-CZ GROUPS (BASED ON MODEL SLOPES)</t>
  </si>
  <si>
    <t>beta slope group</t>
  </si>
  <si>
    <t>alpha_jg</t>
  </si>
  <si>
    <t>psi_jg</t>
  </si>
  <si>
    <t>Output 11 -  DESCRIPTIVE STATISTICS FOR R2 OF DIFFERENT MODELS</t>
  </si>
  <si>
    <t>R2's of model:</t>
  </si>
  <si>
    <t>Mean</t>
  </si>
  <si>
    <t>SD</t>
  </si>
  <si>
    <t>Skewness</t>
  </si>
  <si>
    <t>Kurtosis</t>
  </si>
  <si>
    <t>Output 1: Descriptive Table</t>
  </si>
  <si>
    <t>Industry stayers subgroup</t>
  </si>
  <si>
    <t>Industry movers subgroup</t>
  </si>
  <si>
    <t>Event study sample</t>
  </si>
  <si>
    <t>Output 12: Regression coefficients of (psi_f-psi_j) on industry experience</t>
  </si>
  <si>
    <t>Young subgroup</t>
  </si>
  <si>
    <t>Old subgroup</t>
  </si>
  <si>
    <t>indexp</t>
  </si>
  <si>
    <t/>
  </si>
  <si>
    <t>indexp^2</t>
  </si>
  <si>
    <t>Mean of Dependent Variable</t>
  </si>
  <si>
    <t>Mean of regressor (indexp)</t>
  </si>
  <si>
    <t>SD of regressor (indexp)</t>
  </si>
  <si>
    <t>Sample 1</t>
  </si>
  <si>
    <t>15510</t>
  </si>
  <si>
    <t>16050</t>
  </si>
  <si>
    <t>14630</t>
  </si>
  <si>
    <t>16350</t>
  </si>
  <si>
    <t>(18020)</t>
  </si>
  <si>
    <t>(19710)</t>
  </si>
  <si>
    <t>(14860)</t>
  </si>
  <si>
    <t>(45670)</t>
  </si>
  <si>
    <t>42.43</t>
  </si>
  <si>
    <t>44.04</t>
  </si>
  <si>
    <t>39.85</t>
  </si>
  <si>
    <t>.001232</t>
  </si>
  <si>
    <t>(10.78)</t>
  </si>
  <si>
    <t>(10.71)</t>
  </si>
  <si>
    <t>(10.39)</t>
  </si>
  <si>
    <t>(.2631)</t>
  </si>
  <si>
    <t>.4734</t>
  </si>
  <si>
    <t>.4839</t>
  </si>
  <si>
    <t>.4565</t>
  </si>
  <si>
    <t>.4629</t>
  </si>
  <si>
    <t>(.4993)</t>
  </si>
  <si>
    <t>(.4997)</t>
  </si>
  <si>
    <t>(.4981)</t>
  </si>
  <si>
    <t>(.4986)</t>
  </si>
  <si>
    <t>.1607</t>
  </si>
  <si>
    <t>.1632</t>
  </si>
  <si>
    <t>.1566</t>
  </si>
  <si>
    <t>.143</t>
  </si>
  <si>
    <t>(.3672)</t>
  </si>
  <si>
    <t>(.3695)</t>
  </si>
  <si>
    <t>(.3634)</t>
  </si>
  <si>
    <t>(.3501)</t>
  </si>
  <si>
    <t>.1334</t>
  </si>
  <si>
    <t>.1295</t>
  </si>
  <si>
    <t>.1396</t>
  </si>
  <si>
    <t>.1228</t>
  </si>
  <si>
    <t>(.34)</t>
  </si>
  <si>
    <t>(.3358)</t>
  </si>
  <si>
    <t>(.3466)</t>
  </si>
  <si>
    <t>(.3282)</t>
  </si>
  <si>
    <t>.786</t>
  </si>
  <si>
    <t>.824</t>
  </si>
  <si>
    <t>.7248</t>
  </si>
  <si>
    <t>.9993</t>
  </si>
  <si>
    <t>(.4101)</t>
  </si>
  <si>
    <t>(.3808)</t>
  </si>
  <si>
    <t>(.4466)</t>
  </si>
  <si>
    <t>(.02634)</t>
  </si>
  <si>
    <t>.1734</t>
  </si>
  <si>
    <t>.1434</t>
  </si>
  <si>
    <t>.2218</t>
  </si>
  <si>
    <t>.0006942</t>
  </si>
  <si>
    <t>(.3786)</t>
  </si>
  <si>
    <t>(.3504)</t>
  </si>
  <si>
    <t>(.4154)</t>
  </si>
  <si>
    <t>.04057</t>
  </si>
  <si>
    <t>.03259</t>
  </si>
  <si>
    <t>.05341</t>
  </si>
  <si>
    <t>(.1973)</t>
  </si>
  <si>
    <t>(.1776)</t>
  </si>
  <si>
    <t>(.2248)</t>
  </si>
  <si>
    <t>.6166</t>
  </si>
  <si>
    <t>(.4862)</t>
  </si>
  <si>
    <t>.2607</t>
  </si>
  <si>
    <t>.68</t>
  </si>
  <si>
    <t>(.439)</t>
  </si>
  <si>
    <t>(.4665)</t>
  </si>
  <si>
    <t>.1227</t>
  </si>
  <si>
    <t>.32</t>
  </si>
  <si>
    <t>(.3281)</t>
  </si>
  <si>
    <t>25.85</t>
  </si>
  <si>
    <t>27.19</t>
  </si>
  <si>
    <t>23.7</t>
  </si>
  <si>
    <t>10.01</t>
  </si>
  <si>
    <t>(7.683)</t>
  </si>
  <si>
    <t>(7.757)</t>
  </si>
  <si>
    <t>(7.045)</t>
  </si>
  <si>
    <t>(.2634)</t>
  </si>
  <si>
    <t>0.00119***</t>
  </si>
  <si>
    <t>0.00101***</t>
  </si>
  <si>
    <t>0.000702***</t>
  </si>
  <si>
    <t>0.000587***</t>
  </si>
  <si>
    <t>(0.000191)</t>
  </si>
  <si>
    <t>(0.0000884)</t>
  </si>
  <si>
    <t>(0.000118)</t>
  </si>
  <si>
    <t>(0.0000579)</t>
  </si>
  <si>
    <t>-0.0000328***</t>
  </si>
  <si>
    <t>-0.0000293***</t>
  </si>
  <si>
    <t>-0.0000161***</t>
  </si>
  <si>
    <t>-0.0000160***</t>
  </si>
  <si>
    <t>(0.00000568)</t>
  </si>
  <si>
    <t>(0.00000265)</t>
  </si>
  <si>
    <t>(0.00000294)</t>
  </si>
  <si>
    <t>(0.00000162)</t>
  </si>
  <si>
    <t>0.000368</t>
  </si>
  <si>
    <t>0.734</t>
  </si>
  <si>
    <t>0.000173</t>
  </si>
  <si>
    <t>0.837</t>
  </si>
  <si>
    <t>lne</t>
  </si>
  <si>
    <t>Output 4 - INDUSTRY LEVEL AVERAGES OF AKM COMPONENTS (BY EDUCATION)</t>
  </si>
  <si>
    <t>alternative_psi_j_m2</t>
  </si>
  <si>
    <t>alternative_psi_j_m7</t>
  </si>
  <si>
    <t>Output 3 - Industry effects of simple models (no person effects) - Sample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</si>
</sst>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Normal" xfId="0" builtinId="0"/>
    <cellStyle name="Normal 2" xfId="1" xr:uid="{B76B3E0D-C726-4759-8667-4D67F97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C673-5F82-4528-8F4E-831FEE88AFA8}">
  <dimension ref="A1:E32"/>
  <sheetViews>
    <sheetView zoomScaleNormal="100" workbookViewId="0">
      <selection activeCell="E31" activeCellId="17" sqref="B7:E7 B9:E9 B11:E11 B13:E13 B15:E15 B17:E17 B19:E19 B21:D21 B23 B25 D25 D27 B27 B29 C29 D29 E29 B31:E32"/>
    </sheetView>
  </sheetViews>
  <sheetFormatPr baseColWidth="10" defaultColWidth="8.83203125" defaultRowHeight="15" x14ac:dyDescent="0.2"/>
  <cols>
    <col min="1" max="1" width="32" bestFit="1" customWidth="1"/>
    <col min="2" max="5" width="26.1640625" style="1" customWidth="1"/>
  </cols>
  <sheetData>
    <row r="1" spans="1:5" x14ac:dyDescent="0.2">
      <c r="A1" t="s">
        <v>32</v>
      </c>
    </row>
    <row r="3" spans="1:5" x14ac:dyDescent="0.2">
      <c r="A3" t="str">
        <f>""</f>
        <v/>
      </c>
      <c r="B3" s="1" t="str">
        <f>"(1)"</f>
        <v>(1)</v>
      </c>
      <c r="C3" s="1" t="str">
        <f>"(2)"</f>
        <v>(2)</v>
      </c>
      <c r="D3" s="1" t="str">
        <f>"(3)"</f>
        <v>(3)</v>
      </c>
      <c r="E3" s="1" t="str">
        <f>"(4)"</f>
        <v>(4)</v>
      </c>
    </row>
    <row r="4" spans="1:5" x14ac:dyDescent="0.2">
      <c r="C4" s="7" t="s">
        <v>45</v>
      </c>
      <c r="D4" s="7"/>
    </row>
    <row r="5" spans="1:5" x14ac:dyDescent="0.2">
      <c r="A5" t="str">
        <f>""</f>
        <v/>
      </c>
      <c r="B5" s="1" t="s">
        <v>45</v>
      </c>
      <c r="C5" s="1" t="s">
        <v>33</v>
      </c>
      <c r="D5" s="1" t="s">
        <v>34</v>
      </c>
      <c r="E5" s="1" t="s">
        <v>35</v>
      </c>
    </row>
    <row r="6" spans="1:5" x14ac:dyDescent="0.2">
      <c r="A6" t="str">
        <f>""</f>
        <v/>
      </c>
      <c r="B6" s="1" t="str">
        <f>"mean/sd"</f>
        <v>mean/sd</v>
      </c>
      <c r="C6" s="1" t="str">
        <f>"mean/sd"</f>
        <v>mean/sd</v>
      </c>
      <c r="D6" s="1" t="str">
        <f>"mean/sd"</f>
        <v>mean/sd</v>
      </c>
      <c r="E6" s="1" t="str">
        <f>"mean/sd"</f>
        <v>mean/sd</v>
      </c>
    </row>
    <row r="7" spans="1:5" x14ac:dyDescent="0.2">
      <c r="A7" t="s">
        <v>144</v>
      </c>
      <c r="B7" s="1" t="s">
        <v>46</v>
      </c>
      <c r="C7" s="1" t="s">
        <v>47</v>
      </c>
      <c r="D7" s="1" t="s">
        <v>48</v>
      </c>
      <c r="E7" s="1" t="s">
        <v>49</v>
      </c>
    </row>
    <row r="8" spans="1:5" x14ac:dyDescent="0.2">
      <c r="A8" t="str">
        <f>""</f>
        <v/>
      </c>
      <c r="B8" s="1" t="s">
        <v>50</v>
      </c>
      <c r="C8" s="1" t="s">
        <v>51</v>
      </c>
      <c r="D8" s="1" t="s">
        <v>52</v>
      </c>
      <c r="E8" s="1" t="s">
        <v>53</v>
      </c>
    </row>
    <row r="9" spans="1:5" x14ac:dyDescent="0.2">
      <c r="A9" t="str">
        <f>"age"</f>
        <v>age</v>
      </c>
      <c r="B9" s="1" t="s">
        <v>54</v>
      </c>
      <c r="C9" s="1" t="s">
        <v>55</v>
      </c>
      <c r="D9" s="1" t="s">
        <v>56</v>
      </c>
      <c r="E9" s="1" t="s">
        <v>57</v>
      </c>
    </row>
    <row r="10" spans="1:5" x14ac:dyDescent="0.2">
      <c r="A10" t="str">
        <f>""</f>
        <v/>
      </c>
      <c r="B10" s="1" t="s">
        <v>58</v>
      </c>
      <c r="C10" s="1" t="s">
        <v>59</v>
      </c>
      <c r="D10" s="1" t="s">
        <v>60</v>
      </c>
      <c r="E10" s="1" t="s">
        <v>61</v>
      </c>
    </row>
    <row r="11" spans="1:5" x14ac:dyDescent="0.2">
      <c r="A11" t="str">
        <f>"Gender"</f>
        <v>Gender</v>
      </c>
      <c r="B11" s="1" t="s">
        <v>62</v>
      </c>
      <c r="C11" s="1" t="s">
        <v>63</v>
      </c>
      <c r="D11" s="1" t="s">
        <v>64</v>
      </c>
      <c r="E11" s="1" t="s">
        <v>65</v>
      </c>
    </row>
    <row r="12" spans="1:5" x14ac:dyDescent="0.2">
      <c r="A12" t="str">
        <f>""</f>
        <v/>
      </c>
      <c r="B12" s="1" t="s">
        <v>66</v>
      </c>
      <c r="C12" s="1" t="s">
        <v>67</v>
      </c>
      <c r="D12" s="1" t="s">
        <v>68</v>
      </c>
      <c r="E12" s="1" t="s">
        <v>69</v>
      </c>
    </row>
    <row r="13" spans="1:5" x14ac:dyDescent="0.2">
      <c r="A13" t="str">
        <f>"forborn"</f>
        <v>forborn</v>
      </c>
      <c r="B13" s="1" t="s">
        <v>70</v>
      </c>
      <c r="C13" s="1" t="s">
        <v>71</v>
      </c>
      <c r="D13" s="1" t="s">
        <v>72</v>
      </c>
      <c r="E13" s="1" t="s">
        <v>73</v>
      </c>
    </row>
    <row r="14" spans="1:5" x14ac:dyDescent="0.2">
      <c r="A14" t="str">
        <f>""</f>
        <v/>
      </c>
      <c r="B14" s="1" t="s">
        <v>74</v>
      </c>
      <c r="C14" s="1" t="s">
        <v>75</v>
      </c>
      <c r="D14" s="1" t="s">
        <v>76</v>
      </c>
      <c r="E14" s="1" t="s">
        <v>77</v>
      </c>
    </row>
    <row r="15" spans="1:5" x14ac:dyDescent="0.2">
      <c r="A15" t="str">
        <f>"hisp"</f>
        <v>hisp</v>
      </c>
      <c r="B15" s="1" t="s">
        <v>78</v>
      </c>
      <c r="C15" s="1" t="s">
        <v>79</v>
      </c>
      <c r="D15" s="1" t="s">
        <v>80</v>
      </c>
      <c r="E15" s="1" t="s">
        <v>81</v>
      </c>
    </row>
    <row r="16" spans="1:5" x14ac:dyDescent="0.2">
      <c r="A16" t="str">
        <f>""</f>
        <v/>
      </c>
      <c r="B16" s="1" t="s">
        <v>82</v>
      </c>
      <c r="C16" s="1" t="s">
        <v>83</v>
      </c>
      <c r="D16" s="1" t="s">
        <v>84</v>
      </c>
      <c r="E16" s="1" t="s">
        <v>85</v>
      </c>
    </row>
    <row r="17" spans="1:5" x14ac:dyDescent="0.2">
      <c r="A17" t="str">
        <f>"czcnt1"</f>
        <v>czcnt1</v>
      </c>
      <c r="B17" s="1" t="s">
        <v>86</v>
      </c>
      <c r="C17" s="1" t="s">
        <v>87</v>
      </c>
      <c r="D17" s="1" t="s">
        <v>88</v>
      </c>
      <c r="E17" s="1" t="s">
        <v>89</v>
      </c>
    </row>
    <row r="18" spans="1:5" x14ac:dyDescent="0.2">
      <c r="A18" t="str">
        <f>""</f>
        <v/>
      </c>
      <c r="B18" s="1" t="s">
        <v>90</v>
      </c>
      <c r="C18" s="1" t="s">
        <v>91</v>
      </c>
      <c r="D18" s="1" t="s">
        <v>92</v>
      </c>
      <c r="E18" s="1" t="s">
        <v>93</v>
      </c>
    </row>
    <row r="19" spans="1:5" x14ac:dyDescent="0.2">
      <c r="A19" t="str">
        <f>"czcnt2"</f>
        <v>czcnt2</v>
      </c>
      <c r="B19" s="1" t="s">
        <v>94</v>
      </c>
      <c r="C19" s="1" t="s">
        <v>95</v>
      </c>
      <c r="D19" s="1" t="s">
        <v>96</v>
      </c>
      <c r="E19" s="1" t="s">
        <v>97</v>
      </c>
    </row>
    <row r="20" spans="1:5" x14ac:dyDescent="0.2">
      <c r="A20" t="str">
        <f>""</f>
        <v/>
      </c>
      <c r="B20" s="1" t="s">
        <v>98</v>
      </c>
      <c r="C20" s="1" t="s">
        <v>99</v>
      </c>
      <c r="D20" s="1" t="s">
        <v>100</v>
      </c>
      <c r="E20" s="1" t="s">
        <v>93</v>
      </c>
    </row>
    <row r="21" spans="1:5" x14ac:dyDescent="0.2">
      <c r="A21" t="str">
        <f>"czcnt3"</f>
        <v>czcnt3</v>
      </c>
      <c r="B21" s="1" t="s">
        <v>101</v>
      </c>
      <c r="C21" s="1" t="s">
        <v>102</v>
      </c>
      <c r="D21" s="1" t="s">
        <v>103</v>
      </c>
    </row>
    <row r="22" spans="1:5" x14ac:dyDescent="0.2">
      <c r="A22" t="str">
        <f>""</f>
        <v/>
      </c>
      <c r="B22" s="1" t="s">
        <v>104</v>
      </c>
      <c r="C22" s="1" t="s">
        <v>105</v>
      </c>
      <c r="D22" s="1" t="s">
        <v>106</v>
      </c>
    </row>
    <row r="23" spans="1:5" x14ac:dyDescent="0.2">
      <c r="A23" t="str">
        <f>"naics4dswitch0"</f>
        <v>naics4dswitch0</v>
      </c>
      <c r="B23" s="1" t="s">
        <v>107</v>
      </c>
    </row>
    <row r="24" spans="1:5" x14ac:dyDescent="0.2">
      <c r="A24" t="str">
        <f>""</f>
        <v/>
      </c>
      <c r="B24" s="1" t="s">
        <v>108</v>
      </c>
    </row>
    <row r="25" spans="1:5" x14ac:dyDescent="0.2">
      <c r="A25" t="str">
        <f>"naics4dswitch1"</f>
        <v>naics4dswitch1</v>
      </c>
      <c r="B25" s="1" t="s">
        <v>109</v>
      </c>
      <c r="D25" s="1" t="s">
        <v>110</v>
      </c>
    </row>
    <row r="26" spans="1:5" x14ac:dyDescent="0.2">
      <c r="A26" t="str">
        <f>""</f>
        <v/>
      </c>
      <c r="B26" s="1" t="s">
        <v>111</v>
      </c>
      <c r="D26" s="1" t="s">
        <v>112</v>
      </c>
    </row>
    <row r="27" spans="1:5" x14ac:dyDescent="0.2">
      <c r="A27" t="str">
        <f>"naics4dswitch2"</f>
        <v>naics4dswitch2</v>
      </c>
      <c r="B27" s="1" t="s">
        <v>113</v>
      </c>
      <c r="D27" s="1" t="s">
        <v>114</v>
      </c>
    </row>
    <row r="28" spans="1:5" x14ac:dyDescent="0.2">
      <c r="A28" t="str">
        <f>""</f>
        <v/>
      </c>
      <c r="B28" s="1" t="s">
        <v>115</v>
      </c>
      <c r="D28" s="1" t="s">
        <v>112</v>
      </c>
    </row>
    <row r="29" spans="1:5" x14ac:dyDescent="0.2">
      <c r="A29" t="str">
        <f>"qobserved"</f>
        <v>qobserved</v>
      </c>
      <c r="B29" s="1" t="s">
        <v>116</v>
      </c>
      <c r="C29" s="1" t="s">
        <v>117</v>
      </c>
      <c r="D29" s="1" t="s">
        <v>118</v>
      </c>
      <c r="E29" s="1" t="s">
        <v>119</v>
      </c>
    </row>
    <row r="30" spans="1:5" x14ac:dyDescent="0.2">
      <c r="A30" t="str">
        <f>""</f>
        <v/>
      </c>
      <c r="B30" s="1" t="s">
        <v>120</v>
      </c>
      <c r="C30" s="1" t="s">
        <v>121</v>
      </c>
      <c r="D30" s="1" t="s">
        <v>122</v>
      </c>
      <c r="E30" s="1" t="s">
        <v>123</v>
      </c>
    </row>
    <row r="31" spans="1:5" x14ac:dyDescent="0.2">
      <c r="A31" t="str">
        <f>"Observations"</f>
        <v>Observations</v>
      </c>
      <c r="B31" s="3">
        <v>2505000000</v>
      </c>
      <c r="C31" s="3">
        <v>1544000000</v>
      </c>
      <c r="D31" s="3">
        <v>960400000</v>
      </c>
      <c r="E31" s="3">
        <v>87390000</v>
      </c>
    </row>
    <row r="32" spans="1:5" x14ac:dyDescent="0.2">
      <c r="A32" t="str">
        <f>"Unique PIKs"</f>
        <v>Unique PIKs</v>
      </c>
      <c r="B32" s="3">
        <v>111700000</v>
      </c>
      <c r="C32" s="3">
        <v>65670000</v>
      </c>
      <c r="D32" s="3">
        <v>46050000</v>
      </c>
      <c r="E32" s="3">
        <v>8736000</v>
      </c>
    </row>
  </sheetData>
  <mergeCells count="1">
    <mergeCell ref="C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4940-30C5-4D69-A9B8-095EA1CF4ED8}">
  <dimension ref="A1:E314"/>
  <sheetViews>
    <sheetView zoomScale="85" zoomScaleNormal="85" workbookViewId="0">
      <selection activeCell="E314" sqref="B4:E314"/>
    </sheetView>
  </sheetViews>
  <sheetFormatPr baseColWidth="10" defaultColWidth="8.83203125" defaultRowHeight="15" x14ac:dyDescent="0.2"/>
  <cols>
    <col min="1" max="1" width="22.33203125" bestFit="1" customWidth="1"/>
    <col min="5" max="5" width="32.33203125" style="3" customWidth="1"/>
  </cols>
  <sheetData>
    <row r="1" spans="1:5" x14ac:dyDescent="0.2">
      <c r="A1" s="2" t="s">
        <v>10</v>
      </c>
    </row>
    <row r="3" spans="1:5" x14ac:dyDescent="0.2">
      <c r="A3" s="4" t="s">
        <v>11</v>
      </c>
      <c r="B3" t="s">
        <v>12</v>
      </c>
      <c r="C3" t="s">
        <v>13</v>
      </c>
      <c r="D3" t="s">
        <v>14</v>
      </c>
      <c r="E3" s="5" t="s">
        <v>15</v>
      </c>
    </row>
    <row r="4" spans="1:5" x14ac:dyDescent="0.2">
      <c r="A4">
        <v>1111</v>
      </c>
      <c r="B4">
        <v>9.2160000000000029</v>
      </c>
      <c r="C4">
        <v>9.3110000000000017</v>
      </c>
      <c r="D4">
        <v>0.15240000000000004</v>
      </c>
      <c r="E4" s="3">
        <v>755000</v>
      </c>
    </row>
    <row r="5" spans="1:5" x14ac:dyDescent="0.2">
      <c r="A5">
        <v>1112</v>
      </c>
      <c r="B5">
        <v>9.1200000000000028</v>
      </c>
      <c r="C5">
        <v>9.2430000000000021</v>
      </c>
      <c r="D5">
        <v>0.15450000000000005</v>
      </c>
      <c r="E5" s="3">
        <v>1064000</v>
      </c>
    </row>
    <row r="6" spans="1:5" x14ac:dyDescent="0.2">
      <c r="A6">
        <v>1113</v>
      </c>
      <c r="B6">
        <v>9.0130000000000017</v>
      </c>
      <c r="C6">
        <v>9.1860000000000017</v>
      </c>
      <c r="D6">
        <v>0.10430000000000003</v>
      </c>
      <c r="E6" s="3">
        <v>1525000</v>
      </c>
    </row>
    <row r="7" spans="1:5" x14ac:dyDescent="0.2">
      <c r="A7">
        <v>1114</v>
      </c>
      <c r="B7">
        <v>9.0320000000000018</v>
      </c>
      <c r="C7">
        <v>9.1930000000000014</v>
      </c>
      <c r="D7">
        <v>0.10210000000000004</v>
      </c>
      <c r="E7" s="3">
        <v>2028000</v>
      </c>
    </row>
    <row r="8" spans="1:5" x14ac:dyDescent="0.2">
      <c r="A8">
        <v>1119</v>
      </c>
      <c r="B8">
        <v>9.1130000000000013</v>
      </c>
      <c r="C8">
        <v>9.2410000000000014</v>
      </c>
      <c r="D8">
        <v>0.13060000000000005</v>
      </c>
      <c r="E8" s="3">
        <v>845000</v>
      </c>
    </row>
    <row r="9" spans="1:5" x14ac:dyDescent="0.2">
      <c r="A9">
        <v>1121</v>
      </c>
      <c r="B9">
        <v>9.1080000000000023</v>
      </c>
      <c r="C9">
        <v>9.1850000000000023</v>
      </c>
      <c r="D9">
        <v>0.17710000000000006</v>
      </c>
      <c r="E9" s="3">
        <v>1995000</v>
      </c>
    </row>
    <row r="10" spans="1:5" x14ac:dyDescent="0.2">
      <c r="A10">
        <v>1122</v>
      </c>
      <c r="B10">
        <v>9.1590000000000025</v>
      </c>
      <c r="C10">
        <v>9.1360000000000028</v>
      </c>
      <c r="D10">
        <v>0.25930000000000009</v>
      </c>
      <c r="E10" s="3">
        <v>564000</v>
      </c>
    </row>
    <row r="11" spans="1:5" x14ac:dyDescent="0.2">
      <c r="A11">
        <v>1123</v>
      </c>
      <c r="B11">
        <v>9.1430000000000025</v>
      </c>
      <c r="C11">
        <v>9.1490000000000027</v>
      </c>
      <c r="D11">
        <v>0.23550000000000007</v>
      </c>
      <c r="E11" s="3">
        <v>737000</v>
      </c>
    </row>
    <row r="12" spans="1:5" x14ac:dyDescent="0.2">
      <c r="A12">
        <v>1124</v>
      </c>
      <c r="B12">
        <v>9.0190000000000019</v>
      </c>
      <c r="C12">
        <v>9.2020000000000017</v>
      </c>
      <c r="D12">
        <v>8.3970000000000031E-2</v>
      </c>
      <c r="E12" s="3">
        <v>17500</v>
      </c>
    </row>
    <row r="13" spans="1:5" x14ac:dyDescent="0.2">
      <c r="A13">
        <v>1125</v>
      </c>
      <c r="B13">
        <v>9.1850000000000023</v>
      </c>
      <c r="C13">
        <v>9.304000000000002</v>
      </c>
      <c r="D13">
        <v>0.14080000000000004</v>
      </c>
      <c r="E13" s="3">
        <v>108000</v>
      </c>
    </row>
    <row r="14" spans="1:5" x14ac:dyDescent="0.2">
      <c r="A14">
        <v>1129</v>
      </c>
      <c r="B14">
        <v>9.1500000000000021</v>
      </c>
      <c r="C14">
        <v>9.2270000000000021</v>
      </c>
      <c r="D14">
        <v>0.17390000000000005</v>
      </c>
      <c r="E14" s="3">
        <v>291000</v>
      </c>
    </row>
    <row r="15" spans="1:5" x14ac:dyDescent="0.2">
      <c r="A15">
        <v>1131</v>
      </c>
      <c r="B15">
        <v>9.5550000000000015</v>
      </c>
      <c r="C15">
        <v>9.5320000000000018</v>
      </c>
      <c r="D15">
        <v>0.2839000000000001</v>
      </c>
      <c r="E15" s="3">
        <v>73500</v>
      </c>
    </row>
    <row r="16" spans="1:5" x14ac:dyDescent="0.2">
      <c r="A16">
        <v>1132</v>
      </c>
      <c r="B16">
        <v>9.1760000000000019</v>
      </c>
      <c r="C16">
        <v>9.2970000000000024</v>
      </c>
      <c r="D16">
        <v>0.12970000000000004</v>
      </c>
      <c r="E16" s="3">
        <v>31500</v>
      </c>
    </row>
    <row r="17" spans="1:5" x14ac:dyDescent="0.2">
      <c r="A17">
        <v>1133</v>
      </c>
      <c r="B17">
        <v>9.2540000000000013</v>
      </c>
      <c r="C17">
        <v>9.3060000000000027</v>
      </c>
      <c r="D17">
        <v>0.19520000000000007</v>
      </c>
      <c r="E17" s="3">
        <v>1027000</v>
      </c>
    </row>
    <row r="18" spans="1:5" x14ac:dyDescent="0.2">
      <c r="A18">
        <v>1141</v>
      </c>
      <c r="B18">
        <v>9.6430000000000025</v>
      </c>
      <c r="C18">
        <v>9.458000000000002</v>
      </c>
      <c r="D18">
        <v>0.46380000000000016</v>
      </c>
      <c r="E18" s="3">
        <v>93500</v>
      </c>
    </row>
    <row r="19" spans="1:5" x14ac:dyDescent="0.2">
      <c r="A19">
        <v>1142</v>
      </c>
      <c r="B19">
        <v>9.179000000000002</v>
      </c>
      <c r="C19">
        <v>9.2620000000000022</v>
      </c>
      <c r="D19">
        <v>0.18130000000000004</v>
      </c>
      <c r="E19" s="3">
        <v>27500</v>
      </c>
    </row>
    <row r="20" spans="1:5" x14ac:dyDescent="0.2">
      <c r="A20">
        <v>1151</v>
      </c>
      <c r="B20">
        <v>9.0980000000000025</v>
      </c>
      <c r="C20">
        <v>9.2010000000000023</v>
      </c>
      <c r="D20">
        <v>0.16400000000000006</v>
      </c>
      <c r="E20" s="3">
        <v>2676000</v>
      </c>
    </row>
    <row r="21" spans="1:5" x14ac:dyDescent="0.2">
      <c r="A21">
        <v>1152</v>
      </c>
      <c r="B21">
        <v>9.1780000000000026</v>
      </c>
      <c r="C21">
        <v>9.2730000000000015</v>
      </c>
      <c r="D21">
        <v>0.16220000000000004</v>
      </c>
      <c r="E21" s="3">
        <v>404000</v>
      </c>
    </row>
    <row r="22" spans="1:5" x14ac:dyDescent="0.2">
      <c r="A22">
        <v>1153</v>
      </c>
      <c r="B22">
        <v>9.3300000000000018</v>
      </c>
      <c r="C22">
        <v>9.3930000000000025</v>
      </c>
      <c r="D22">
        <v>0.19010000000000007</v>
      </c>
      <c r="E22" s="3">
        <v>259000</v>
      </c>
    </row>
    <row r="23" spans="1:5" x14ac:dyDescent="0.2">
      <c r="A23">
        <v>2111</v>
      </c>
      <c r="B23">
        <v>10.220000000000002</v>
      </c>
      <c r="C23">
        <v>9.8420000000000023</v>
      </c>
      <c r="D23">
        <v>0.62470000000000014</v>
      </c>
      <c r="E23" s="3">
        <v>4526000</v>
      </c>
    </row>
    <row r="24" spans="1:5" x14ac:dyDescent="0.2">
      <c r="A24">
        <v>2121</v>
      </c>
      <c r="B24">
        <v>9.8720000000000017</v>
      </c>
      <c r="C24">
        <v>9.3370000000000015</v>
      </c>
      <c r="D24">
        <v>0.79600000000000026</v>
      </c>
      <c r="E24" s="3">
        <v>1848000</v>
      </c>
    </row>
    <row r="25" spans="1:5" x14ac:dyDescent="0.2">
      <c r="A25">
        <v>2122</v>
      </c>
      <c r="B25">
        <v>9.8930000000000025</v>
      </c>
      <c r="C25">
        <v>9.429000000000002</v>
      </c>
      <c r="D25">
        <v>0.71660000000000024</v>
      </c>
      <c r="E25" s="3">
        <v>1158000</v>
      </c>
    </row>
    <row r="26" spans="1:5" x14ac:dyDescent="0.2">
      <c r="A26">
        <v>2123</v>
      </c>
      <c r="B26">
        <v>9.5360000000000031</v>
      </c>
      <c r="C26">
        <v>9.3790000000000031</v>
      </c>
      <c r="D26">
        <v>0.40730000000000011</v>
      </c>
      <c r="E26" s="3">
        <v>2214000</v>
      </c>
    </row>
    <row r="27" spans="1:5" x14ac:dyDescent="0.2">
      <c r="A27">
        <v>2131</v>
      </c>
      <c r="B27">
        <v>9.8410000000000029</v>
      </c>
      <c r="C27">
        <v>9.4610000000000021</v>
      </c>
      <c r="D27">
        <v>0.62530000000000019</v>
      </c>
      <c r="E27" s="3">
        <v>7611000</v>
      </c>
    </row>
    <row r="28" spans="1:5" x14ac:dyDescent="0.2">
      <c r="A28">
        <v>2211</v>
      </c>
      <c r="B28">
        <v>9.9860000000000024</v>
      </c>
      <c r="C28">
        <v>9.6970000000000027</v>
      </c>
      <c r="D28">
        <v>0.54440000000000022</v>
      </c>
      <c r="E28" s="3">
        <v>13830000</v>
      </c>
    </row>
    <row r="29" spans="1:5" x14ac:dyDescent="0.2">
      <c r="A29">
        <v>2212</v>
      </c>
      <c r="B29">
        <v>9.9400000000000031</v>
      </c>
      <c r="C29">
        <v>9.6810000000000027</v>
      </c>
      <c r="D29">
        <v>0.52450000000000019</v>
      </c>
      <c r="E29" s="3">
        <v>3360000</v>
      </c>
    </row>
    <row r="30" spans="1:5" x14ac:dyDescent="0.2">
      <c r="A30">
        <v>2213</v>
      </c>
      <c r="B30">
        <v>9.5750000000000028</v>
      </c>
      <c r="C30">
        <v>9.5140000000000029</v>
      </c>
      <c r="D30">
        <v>0.3156000000000001</v>
      </c>
      <c r="E30" s="3">
        <v>5207000</v>
      </c>
    </row>
    <row r="31" spans="1:5" x14ac:dyDescent="0.2">
      <c r="A31">
        <v>2361</v>
      </c>
      <c r="B31">
        <v>9.3990000000000027</v>
      </c>
      <c r="C31">
        <v>9.4670000000000023</v>
      </c>
      <c r="D31">
        <v>0.17620000000000005</v>
      </c>
      <c r="E31" s="3">
        <v>11450000</v>
      </c>
    </row>
    <row r="32" spans="1:5" x14ac:dyDescent="0.2">
      <c r="A32">
        <v>2362</v>
      </c>
      <c r="B32">
        <v>9.6520000000000028</v>
      </c>
      <c r="C32">
        <v>9.5730000000000022</v>
      </c>
      <c r="D32">
        <v>0.3292000000000001</v>
      </c>
      <c r="E32" s="3">
        <v>15620000</v>
      </c>
    </row>
    <row r="33" spans="1:5" x14ac:dyDescent="0.2">
      <c r="A33">
        <v>2371</v>
      </c>
      <c r="B33">
        <v>9.5960000000000019</v>
      </c>
      <c r="C33">
        <v>9.4750000000000014</v>
      </c>
      <c r="D33">
        <v>0.36490000000000011</v>
      </c>
      <c r="E33" s="3">
        <v>9318000</v>
      </c>
    </row>
    <row r="34" spans="1:5" x14ac:dyDescent="0.2">
      <c r="A34">
        <v>2372</v>
      </c>
      <c r="B34">
        <v>9.631000000000002</v>
      </c>
      <c r="C34">
        <v>9.6240000000000023</v>
      </c>
      <c r="D34">
        <v>0.26730000000000009</v>
      </c>
      <c r="E34" s="3">
        <v>838000</v>
      </c>
    </row>
    <row r="35" spans="1:5" x14ac:dyDescent="0.2">
      <c r="A35">
        <v>2373</v>
      </c>
      <c r="B35">
        <v>9.5040000000000031</v>
      </c>
      <c r="C35">
        <v>9.453000000000003</v>
      </c>
      <c r="D35">
        <v>0.30110000000000009</v>
      </c>
      <c r="E35" s="3">
        <v>11180000</v>
      </c>
    </row>
    <row r="36" spans="1:5" x14ac:dyDescent="0.2">
      <c r="A36">
        <v>2379</v>
      </c>
      <c r="B36">
        <v>9.6490000000000027</v>
      </c>
      <c r="C36">
        <v>9.5140000000000029</v>
      </c>
      <c r="D36">
        <v>0.38260000000000011</v>
      </c>
      <c r="E36" s="3">
        <v>2139000</v>
      </c>
    </row>
    <row r="37" spans="1:5" x14ac:dyDescent="0.2">
      <c r="A37">
        <v>2381</v>
      </c>
      <c r="B37">
        <v>9.3470000000000031</v>
      </c>
      <c r="C37">
        <v>9.392000000000003</v>
      </c>
      <c r="D37">
        <v>0.19890000000000008</v>
      </c>
      <c r="E37" s="3">
        <v>13210000</v>
      </c>
    </row>
    <row r="38" spans="1:5" x14ac:dyDescent="0.2">
      <c r="A38">
        <v>2382</v>
      </c>
      <c r="B38">
        <v>9.5030000000000019</v>
      </c>
      <c r="C38">
        <v>9.5120000000000022</v>
      </c>
      <c r="D38">
        <v>0.23720000000000008</v>
      </c>
      <c r="E38" s="3">
        <v>41050000</v>
      </c>
    </row>
    <row r="39" spans="1:5" x14ac:dyDescent="0.2">
      <c r="A39">
        <v>2383</v>
      </c>
      <c r="B39">
        <v>9.3240000000000016</v>
      </c>
      <c r="C39">
        <v>9.3890000000000029</v>
      </c>
      <c r="D39">
        <v>0.18250000000000005</v>
      </c>
      <c r="E39" s="3">
        <v>12390000</v>
      </c>
    </row>
    <row r="40" spans="1:5" x14ac:dyDescent="0.2">
      <c r="A40">
        <v>2389</v>
      </c>
      <c r="B40">
        <v>9.4090000000000025</v>
      </c>
      <c r="C40">
        <v>9.4070000000000018</v>
      </c>
      <c r="D40">
        <v>0.24630000000000007</v>
      </c>
      <c r="E40" s="3">
        <v>11160000</v>
      </c>
    </row>
    <row r="41" spans="1:5" x14ac:dyDescent="0.2">
      <c r="A41">
        <v>3111</v>
      </c>
      <c r="B41">
        <v>9.4540000000000024</v>
      </c>
      <c r="C41">
        <v>9.3340000000000014</v>
      </c>
      <c r="D41">
        <v>0.3645000000000001</v>
      </c>
      <c r="E41" s="3">
        <v>1319000</v>
      </c>
    </row>
    <row r="42" spans="1:5" x14ac:dyDescent="0.2">
      <c r="A42">
        <v>3112</v>
      </c>
      <c r="B42">
        <v>9.5820000000000025</v>
      </c>
      <c r="C42">
        <v>9.3830000000000027</v>
      </c>
      <c r="D42">
        <v>0.44920000000000015</v>
      </c>
      <c r="E42" s="3">
        <v>1668000</v>
      </c>
    </row>
    <row r="43" spans="1:5" x14ac:dyDescent="0.2">
      <c r="A43">
        <v>3113</v>
      </c>
      <c r="B43">
        <v>9.3950000000000014</v>
      </c>
      <c r="C43">
        <v>9.3070000000000022</v>
      </c>
      <c r="D43">
        <v>0.34780000000000011</v>
      </c>
      <c r="E43" s="3">
        <v>1489000</v>
      </c>
    </row>
    <row r="44" spans="1:5" x14ac:dyDescent="0.2">
      <c r="A44">
        <v>3114</v>
      </c>
      <c r="B44">
        <v>9.2780000000000022</v>
      </c>
      <c r="C44">
        <v>9.2140000000000022</v>
      </c>
      <c r="D44">
        <v>0.32560000000000011</v>
      </c>
      <c r="E44" s="3">
        <v>3943000</v>
      </c>
    </row>
    <row r="45" spans="1:5" x14ac:dyDescent="0.2">
      <c r="A45">
        <v>3115</v>
      </c>
      <c r="B45">
        <v>9.4570000000000025</v>
      </c>
      <c r="C45">
        <v>9.2970000000000024</v>
      </c>
      <c r="D45">
        <v>0.41170000000000012</v>
      </c>
      <c r="E45" s="3">
        <v>3549000</v>
      </c>
    </row>
    <row r="46" spans="1:5" x14ac:dyDescent="0.2">
      <c r="A46">
        <v>3116</v>
      </c>
      <c r="B46">
        <v>9.0690000000000026</v>
      </c>
      <c r="C46">
        <v>9.022000000000002</v>
      </c>
      <c r="D46">
        <v>0.29270000000000007</v>
      </c>
      <c r="E46" s="3">
        <v>11080000</v>
      </c>
    </row>
    <row r="47" spans="1:5" x14ac:dyDescent="0.2">
      <c r="A47">
        <v>3117</v>
      </c>
      <c r="B47">
        <v>9.2260000000000026</v>
      </c>
      <c r="C47">
        <v>9.2250000000000014</v>
      </c>
      <c r="D47">
        <v>0.28100000000000008</v>
      </c>
      <c r="E47" s="3">
        <v>604000</v>
      </c>
    </row>
    <row r="48" spans="1:5" x14ac:dyDescent="0.2">
      <c r="A48">
        <v>3118</v>
      </c>
      <c r="B48">
        <v>9.2170000000000023</v>
      </c>
      <c r="C48">
        <v>9.1980000000000022</v>
      </c>
      <c r="D48">
        <v>0.28160000000000007</v>
      </c>
      <c r="E48" s="3">
        <v>5359000</v>
      </c>
    </row>
    <row r="49" spans="1:5" x14ac:dyDescent="0.2">
      <c r="A49">
        <v>3119</v>
      </c>
      <c r="B49">
        <v>9.3730000000000029</v>
      </c>
      <c r="C49">
        <v>9.299000000000003</v>
      </c>
      <c r="D49">
        <v>0.32610000000000011</v>
      </c>
      <c r="E49" s="3">
        <v>4303000</v>
      </c>
    </row>
    <row r="50" spans="1:5" x14ac:dyDescent="0.2">
      <c r="A50">
        <v>3121</v>
      </c>
      <c r="B50">
        <v>9.4520000000000017</v>
      </c>
      <c r="C50">
        <v>9.3950000000000014</v>
      </c>
      <c r="D50">
        <v>0.31020000000000009</v>
      </c>
      <c r="E50" s="3">
        <v>4575000</v>
      </c>
    </row>
    <row r="51" spans="1:5" x14ac:dyDescent="0.2">
      <c r="A51">
        <v>3122</v>
      </c>
      <c r="B51">
        <v>9.7020000000000017</v>
      </c>
      <c r="C51">
        <v>9.4220000000000024</v>
      </c>
      <c r="D51">
        <v>0.53300000000000014</v>
      </c>
      <c r="E51" s="3">
        <v>337000</v>
      </c>
    </row>
    <row r="52" spans="1:5" x14ac:dyDescent="0.2">
      <c r="A52">
        <v>3131</v>
      </c>
      <c r="B52">
        <v>9.0570000000000022</v>
      </c>
      <c r="C52">
        <v>9.0570000000000022</v>
      </c>
      <c r="D52">
        <v>0.24050000000000007</v>
      </c>
      <c r="E52" s="3">
        <v>670000</v>
      </c>
    </row>
    <row r="53" spans="1:5" x14ac:dyDescent="0.2">
      <c r="A53">
        <v>3132</v>
      </c>
      <c r="B53">
        <v>9.1940000000000026</v>
      </c>
      <c r="C53">
        <v>9.174000000000003</v>
      </c>
      <c r="D53">
        <v>0.26990000000000008</v>
      </c>
      <c r="E53" s="3">
        <v>1321000</v>
      </c>
    </row>
    <row r="54" spans="1:5" x14ac:dyDescent="0.2">
      <c r="A54">
        <v>3133</v>
      </c>
      <c r="B54">
        <v>9.219000000000003</v>
      </c>
      <c r="C54">
        <v>9.2480000000000029</v>
      </c>
      <c r="D54">
        <v>0.23250000000000007</v>
      </c>
      <c r="E54" s="3">
        <v>716000</v>
      </c>
    </row>
    <row r="55" spans="1:5" x14ac:dyDescent="0.2">
      <c r="A55">
        <v>3141</v>
      </c>
      <c r="B55">
        <v>9.1350000000000016</v>
      </c>
      <c r="C55">
        <v>9.1340000000000021</v>
      </c>
      <c r="D55">
        <v>0.24630000000000007</v>
      </c>
      <c r="E55" s="3">
        <v>1245000</v>
      </c>
    </row>
    <row r="56" spans="1:5" x14ac:dyDescent="0.2">
      <c r="A56">
        <v>3149</v>
      </c>
      <c r="B56">
        <v>9.0740000000000016</v>
      </c>
      <c r="C56">
        <v>9.1950000000000021</v>
      </c>
      <c r="D56">
        <v>0.13510000000000005</v>
      </c>
      <c r="E56" s="3">
        <v>1243000</v>
      </c>
    </row>
    <row r="57" spans="1:5" x14ac:dyDescent="0.2">
      <c r="A57">
        <v>3151</v>
      </c>
      <c r="B57">
        <v>8.9820000000000029</v>
      </c>
      <c r="C57">
        <v>9.0910000000000029</v>
      </c>
      <c r="D57">
        <v>0.14430000000000004</v>
      </c>
      <c r="E57" s="3">
        <v>276000</v>
      </c>
    </row>
    <row r="58" spans="1:5" x14ac:dyDescent="0.2">
      <c r="A58">
        <v>3152</v>
      </c>
      <c r="B58">
        <v>9.1220000000000017</v>
      </c>
      <c r="C58">
        <v>9.2620000000000022</v>
      </c>
      <c r="D58">
        <v>0.14340000000000006</v>
      </c>
      <c r="E58" s="3">
        <v>1836000</v>
      </c>
    </row>
    <row r="59" spans="1:5" x14ac:dyDescent="0.2">
      <c r="A59">
        <v>3159</v>
      </c>
      <c r="B59">
        <v>9.0720000000000027</v>
      </c>
      <c r="C59">
        <v>9.2040000000000024</v>
      </c>
      <c r="D59">
        <v>0.13830000000000003</v>
      </c>
      <c r="E59" s="3">
        <v>238000</v>
      </c>
    </row>
    <row r="60" spans="1:5" x14ac:dyDescent="0.2">
      <c r="A60">
        <v>3161</v>
      </c>
      <c r="B60">
        <v>9.2430000000000021</v>
      </c>
      <c r="C60">
        <v>9.2470000000000017</v>
      </c>
      <c r="D60">
        <v>0.25790000000000007</v>
      </c>
      <c r="E60" s="3">
        <v>90000</v>
      </c>
    </row>
    <row r="61" spans="1:5" x14ac:dyDescent="0.2">
      <c r="A61">
        <v>3162</v>
      </c>
      <c r="B61">
        <v>9.094000000000003</v>
      </c>
      <c r="C61">
        <v>9.1920000000000019</v>
      </c>
      <c r="D61">
        <v>0.16220000000000004</v>
      </c>
      <c r="E61" s="3">
        <v>306000</v>
      </c>
    </row>
    <row r="62" spans="1:5" x14ac:dyDescent="0.2">
      <c r="A62">
        <v>3169</v>
      </c>
      <c r="B62">
        <v>9.0300000000000029</v>
      </c>
      <c r="C62">
        <v>9.1750000000000025</v>
      </c>
      <c r="D62">
        <v>0.11840000000000003</v>
      </c>
      <c r="E62" s="3">
        <v>221000</v>
      </c>
    </row>
    <row r="63" spans="1:5" x14ac:dyDescent="0.2">
      <c r="A63">
        <v>3211</v>
      </c>
      <c r="B63">
        <v>9.2520000000000024</v>
      </c>
      <c r="C63">
        <v>9.2520000000000024</v>
      </c>
      <c r="D63">
        <v>0.24960000000000007</v>
      </c>
      <c r="E63" s="3">
        <v>1969000</v>
      </c>
    </row>
    <row r="64" spans="1:5" x14ac:dyDescent="0.2">
      <c r="A64">
        <v>3212</v>
      </c>
      <c r="B64">
        <v>9.2970000000000024</v>
      </c>
      <c r="C64">
        <v>9.2480000000000029</v>
      </c>
      <c r="D64">
        <v>0.29150000000000009</v>
      </c>
      <c r="E64" s="3">
        <v>1634000</v>
      </c>
    </row>
    <row r="65" spans="1:5" x14ac:dyDescent="0.2">
      <c r="A65">
        <v>3219</v>
      </c>
      <c r="B65">
        <v>9.1460000000000026</v>
      </c>
      <c r="C65">
        <v>9.2170000000000023</v>
      </c>
      <c r="D65">
        <v>0.17570000000000005</v>
      </c>
      <c r="E65" s="3">
        <v>4360000</v>
      </c>
    </row>
    <row r="66" spans="1:5" x14ac:dyDescent="0.2">
      <c r="A66">
        <v>3221</v>
      </c>
      <c r="B66">
        <v>9.7640000000000029</v>
      </c>
      <c r="C66">
        <v>9.4600000000000026</v>
      </c>
      <c r="D66">
        <v>0.56100000000000017</v>
      </c>
      <c r="E66" s="3">
        <v>3010000</v>
      </c>
    </row>
    <row r="67" spans="1:5" x14ac:dyDescent="0.2">
      <c r="A67">
        <v>3222</v>
      </c>
      <c r="B67">
        <v>9.4350000000000023</v>
      </c>
      <c r="C67">
        <v>9.3190000000000026</v>
      </c>
      <c r="D67">
        <v>0.37240000000000012</v>
      </c>
      <c r="E67" s="3">
        <v>7142000</v>
      </c>
    </row>
    <row r="68" spans="1:5" x14ac:dyDescent="0.2">
      <c r="A68">
        <v>3231</v>
      </c>
      <c r="B68">
        <v>9.2820000000000018</v>
      </c>
      <c r="C68">
        <v>9.3290000000000024</v>
      </c>
      <c r="D68">
        <v>0.21630000000000008</v>
      </c>
      <c r="E68" s="3">
        <v>10570000</v>
      </c>
    </row>
    <row r="69" spans="1:5" x14ac:dyDescent="0.2">
      <c r="A69">
        <v>3241</v>
      </c>
      <c r="B69">
        <v>10.050000000000002</v>
      </c>
      <c r="C69">
        <v>9.6760000000000019</v>
      </c>
      <c r="D69">
        <v>0.62140000000000017</v>
      </c>
      <c r="E69" s="3">
        <v>3269000</v>
      </c>
    </row>
    <row r="70" spans="1:5" x14ac:dyDescent="0.2">
      <c r="A70">
        <v>3251</v>
      </c>
      <c r="B70">
        <v>9.892000000000003</v>
      </c>
      <c r="C70">
        <v>9.5920000000000023</v>
      </c>
      <c r="D70">
        <v>0.54540000000000022</v>
      </c>
      <c r="E70" s="3">
        <v>4100000</v>
      </c>
    </row>
    <row r="71" spans="1:5" x14ac:dyDescent="0.2">
      <c r="A71">
        <v>3252</v>
      </c>
      <c r="B71">
        <v>9.7960000000000029</v>
      </c>
      <c r="C71">
        <v>9.5180000000000025</v>
      </c>
      <c r="D71">
        <v>0.51980000000000015</v>
      </c>
      <c r="E71" s="3">
        <v>2595000</v>
      </c>
    </row>
    <row r="72" spans="1:5" x14ac:dyDescent="0.2">
      <c r="A72">
        <v>3253</v>
      </c>
      <c r="B72">
        <v>9.7270000000000021</v>
      </c>
      <c r="C72">
        <v>9.5090000000000021</v>
      </c>
      <c r="D72">
        <v>0.46400000000000013</v>
      </c>
      <c r="E72" s="3">
        <v>917000</v>
      </c>
    </row>
    <row r="73" spans="1:5" x14ac:dyDescent="0.2">
      <c r="A73">
        <v>3254</v>
      </c>
      <c r="B73">
        <v>9.9120000000000026</v>
      </c>
      <c r="C73">
        <v>9.6690000000000023</v>
      </c>
      <c r="D73">
        <v>0.49340000000000017</v>
      </c>
      <c r="E73" s="3">
        <v>7662000</v>
      </c>
    </row>
    <row r="74" spans="1:5" x14ac:dyDescent="0.2">
      <c r="A74">
        <v>3255</v>
      </c>
      <c r="B74">
        <v>9.5680000000000014</v>
      </c>
      <c r="C74">
        <v>9.474000000000002</v>
      </c>
      <c r="D74">
        <v>0.34930000000000011</v>
      </c>
      <c r="E74" s="3">
        <v>1516000</v>
      </c>
    </row>
    <row r="75" spans="1:5" x14ac:dyDescent="0.2">
      <c r="A75">
        <v>3256</v>
      </c>
      <c r="B75">
        <v>9.4990000000000023</v>
      </c>
      <c r="C75">
        <v>9.4170000000000016</v>
      </c>
      <c r="D75">
        <v>0.33940000000000009</v>
      </c>
      <c r="E75" s="3">
        <v>2572000</v>
      </c>
    </row>
    <row r="76" spans="1:5" x14ac:dyDescent="0.2">
      <c r="A76">
        <v>3259</v>
      </c>
      <c r="B76">
        <v>9.5550000000000015</v>
      </c>
      <c r="C76">
        <v>9.4320000000000022</v>
      </c>
      <c r="D76">
        <v>0.3796000000000001</v>
      </c>
      <c r="E76" s="3">
        <v>2141000</v>
      </c>
    </row>
    <row r="77" spans="1:5" x14ac:dyDescent="0.2">
      <c r="A77">
        <v>3261</v>
      </c>
      <c r="B77">
        <v>9.2920000000000016</v>
      </c>
      <c r="C77">
        <v>9.2600000000000016</v>
      </c>
      <c r="D77">
        <v>0.28140000000000009</v>
      </c>
      <c r="E77" s="3">
        <v>13230000</v>
      </c>
    </row>
    <row r="78" spans="1:5" x14ac:dyDescent="0.2">
      <c r="A78">
        <v>3262</v>
      </c>
      <c r="B78">
        <v>9.4270000000000014</v>
      </c>
      <c r="C78">
        <v>9.2840000000000025</v>
      </c>
      <c r="D78">
        <v>0.3842000000000001</v>
      </c>
      <c r="E78" s="3">
        <v>3536000</v>
      </c>
    </row>
    <row r="79" spans="1:5" x14ac:dyDescent="0.2">
      <c r="A79">
        <v>3271</v>
      </c>
      <c r="B79">
        <v>9.349000000000002</v>
      </c>
      <c r="C79">
        <v>9.3020000000000014</v>
      </c>
      <c r="D79">
        <v>0.29940000000000011</v>
      </c>
      <c r="E79" s="3">
        <v>990000</v>
      </c>
    </row>
    <row r="80" spans="1:5" x14ac:dyDescent="0.2">
      <c r="A80">
        <v>3272</v>
      </c>
      <c r="B80">
        <v>9.4270000000000014</v>
      </c>
      <c r="C80">
        <v>9.2920000000000016</v>
      </c>
      <c r="D80">
        <v>0.38910000000000011</v>
      </c>
      <c r="E80" s="3">
        <v>2127000</v>
      </c>
    </row>
    <row r="81" spans="1:5" x14ac:dyDescent="0.2">
      <c r="A81">
        <v>3273</v>
      </c>
      <c r="B81">
        <v>9.4200000000000017</v>
      </c>
      <c r="C81">
        <v>9.3520000000000021</v>
      </c>
      <c r="D81">
        <v>0.3146000000000001</v>
      </c>
      <c r="E81" s="3">
        <v>4256000</v>
      </c>
    </row>
    <row r="82" spans="1:5" x14ac:dyDescent="0.2">
      <c r="A82">
        <v>3274</v>
      </c>
      <c r="B82">
        <v>9.5970000000000031</v>
      </c>
      <c r="C82">
        <v>9.3460000000000019</v>
      </c>
      <c r="D82">
        <v>0.49940000000000018</v>
      </c>
      <c r="E82" s="3">
        <v>397000</v>
      </c>
    </row>
    <row r="83" spans="1:5" x14ac:dyDescent="0.2">
      <c r="A83">
        <v>3279</v>
      </c>
      <c r="B83">
        <v>9.4140000000000015</v>
      </c>
      <c r="C83">
        <v>9.3460000000000019</v>
      </c>
      <c r="D83">
        <v>0.3146000000000001</v>
      </c>
      <c r="E83" s="3">
        <v>1723000</v>
      </c>
    </row>
    <row r="84" spans="1:5" x14ac:dyDescent="0.2">
      <c r="A84">
        <v>3311</v>
      </c>
      <c r="B84">
        <v>9.8220000000000027</v>
      </c>
      <c r="C84">
        <v>9.4160000000000021</v>
      </c>
      <c r="D84">
        <v>0.66100000000000025</v>
      </c>
      <c r="E84" s="3">
        <v>2470000</v>
      </c>
    </row>
    <row r="85" spans="1:5" x14ac:dyDescent="0.2">
      <c r="A85">
        <v>3312</v>
      </c>
      <c r="B85">
        <v>9.5260000000000016</v>
      </c>
      <c r="C85">
        <v>9.3450000000000024</v>
      </c>
      <c r="D85">
        <v>0.43180000000000013</v>
      </c>
      <c r="E85" s="3">
        <v>1511000</v>
      </c>
    </row>
    <row r="86" spans="1:5" x14ac:dyDescent="0.2">
      <c r="A86">
        <v>3313</v>
      </c>
      <c r="B86">
        <v>9.5460000000000029</v>
      </c>
      <c r="C86">
        <v>9.304000000000002</v>
      </c>
      <c r="D86">
        <v>0.49110000000000015</v>
      </c>
      <c r="E86" s="3">
        <v>1580000</v>
      </c>
    </row>
    <row r="87" spans="1:5" x14ac:dyDescent="0.2">
      <c r="A87">
        <v>3314</v>
      </c>
      <c r="B87">
        <v>9.5590000000000028</v>
      </c>
      <c r="C87">
        <v>9.3730000000000029</v>
      </c>
      <c r="D87">
        <v>0.44120000000000015</v>
      </c>
      <c r="E87" s="3">
        <v>1651000</v>
      </c>
    </row>
    <row r="88" spans="1:5" x14ac:dyDescent="0.2">
      <c r="A88">
        <v>3315</v>
      </c>
      <c r="B88">
        <v>9.3940000000000019</v>
      </c>
      <c r="C88">
        <v>9.2760000000000016</v>
      </c>
      <c r="D88">
        <v>0.37550000000000011</v>
      </c>
      <c r="E88" s="3">
        <v>3111000</v>
      </c>
    </row>
    <row r="89" spans="1:5" x14ac:dyDescent="0.2">
      <c r="A89">
        <v>3321</v>
      </c>
      <c r="B89">
        <v>9.392000000000003</v>
      </c>
      <c r="C89">
        <v>9.3460000000000019</v>
      </c>
      <c r="D89">
        <v>0.30640000000000012</v>
      </c>
      <c r="E89" s="3">
        <v>2471000</v>
      </c>
    </row>
    <row r="90" spans="1:5" x14ac:dyDescent="0.2">
      <c r="A90">
        <v>3322</v>
      </c>
      <c r="B90">
        <v>9.3940000000000019</v>
      </c>
      <c r="C90">
        <v>9.3620000000000019</v>
      </c>
      <c r="D90">
        <v>0.30060000000000009</v>
      </c>
      <c r="E90" s="3">
        <v>971000</v>
      </c>
    </row>
    <row r="91" spans="1:5" x14ac:dyDescent="0.2">
      <c r="A91">
        <v>3323</v>
      </c>
      <c r="B91">
        <v>9.349000000000002</v>
      </c>
      <c r="C91">
        <v>9.344000000000003</v>
      </c>
      <c r="D91">
        <v>0.25780000000000008</v>
      </c>
      <c r="E91" s="3">
        <v>8352000</v>
      </c>
    </row>
    <row r="92" spans="1:5" x14ac:dyDescent="0.2">
      <c r="A92">
        <v>3324</v>
      </c>
      <c r="B92">
        <v>9.5080000000000027</v>
      </c>
      <c r="C92">
        <v>9.3790000000000031</v>
      </c>
      <c r="D92">
        <v>0.38330000000000014</v>
      </c>
      <c r="E92" s="3">
        <v>2336000</v>
      </c>
    </row>
    <row r="93" spans="1:5" x14ac:dyDescent="0.2">
      <c r="A93">
        <v>3325</v>
      </c>
      <c r="B93">
        <v>9.3580000000000023</v>
      </c>
      <c r="C93">
        <v>9.3390000000000022</v>
      </c>
      <c r="D93">
        <v>0.27420000000000011</v>
      </c>
      <c r="E93" s="3">
        <v>605000</v>
      </c>
    </row>
    <row r="94" spans="1:5" x14ac:dyDescent="0.2">
      <c r="A94">
        <v>3326</v>
      </c>
      <c r="B94">
        <v>9.2960000000000029</v>
      </c>
      <c r="C94">
        <v>9.3030000000000026</v>
      </c>
      <c r="D94">
        <v>0.25070000000000009</v>
      </c>
      <c r="E94" s="3">
        <v>1037000</v>
      </c>
    </row>
    <row r="95" spans="1:5" x14ac:dyDescent="0.2">
      <c r="A95">
        <v>3327</v>
      </c>
      <c r="B95">
        <v>9.3830000000000027</v>
      </c>
      <c r="C95">
        <v>9.4010000000000016</v>
      </c>
      <c r="D95">
        <v>0.24560000000000007</v>
      </c>
      <c r="E95" s="3">
        <v>8399000</v>
      </c>
    </row>
    <row r="96" spans="1:5" x14ac:dyDescent="0.2">
      <c r="A96">
        <v>3328</v>
      </c>
      <c r="B96">
        <v>9.2750000000000021</v>
      </c>
      <c r="C96">
        <v>9.2810000000000024</v>
      </c>
      <c r="D96">
        <v>0.2541000000000001</v>
      </c>
      <c r="E96" s="3">
        <v>3038000</v>
      </c>
    </row>
    <row r="97" spans="1:5" x14ac:dyDescent="0.2">
      <c r="A97">
        <v>3329</v>
      </c>
      <c r="B97">
        <v>9.458000000000002</v>
      </c>
      <c r="C97">
        <v>9.3790000000000031</v>
      </c>
      <c r="D97">
        <v>0.33410000000000012</v>
      </c>
      <c r="E97" s="3">
        <v>6764000</v>
      </c>
    </row>
    <row r="98" spans="1:5" x14ac:dyDescent="0.2">
      <c r="A98">
        <v>3331</v>
      </c>
      <c r="B98">
        <v>9.5980000000000025</v>
      </c>
      <c r="C98">
        <v>9.4370000000000029</v>
      </c>
      <c r="D98">
        <v>0.40880000000000011</v>
      </c>
      <c r="E98" s="3">
        <v>6163000</v>
      </c>
    </row>
    <row r="99" spans="1:5" x14ac:dyDescent="0.2">
      <c r="A99">
        <v>3332</v>
      </c>
      <c r="B99">
        <v>9.6410000000000018</v>
      </c>
      <c r="C99">
        <v>9.5740000000000016</v>
      </c>
      <c r="D99">
        <v>0.33200000000000013</v>
      </c>
      <c r="E99" s="3">
        <v>2780000</v>
      </c>
    </row>
    <row r="100" spans="1:5" x14ac:dyDescent="0.2">
      <c r="A100">
        <v>3333</v>
      </c>
      <c r="B100">
        <v>9.5570000000000022</v>
      </c>
      <c r="C100">
        <v>9.5090000000000021</v>
      </c>
      <c r="D100">
        <v>0.3121000000000001</v>
      </c>
      <c r="E100" s="3">
        <v>2340000</v>
      </c>
    </row>
    <row r="101" spans="1:5" x14ac:dyDescent="0.2">
      <c r="A101">
        <v>3334</v>
      </c>
      <c r="B101">
        <v>9.3510000000000026</v>
      </c>
      <c r="C101">
        <v>9.3080000000000016</v>
      </c>
      <c r="D101">
        <v>0.29100000000000009</v>
      </c>
      <c r="E101" s="3">
        <v>3295000</v>
      </c>
    </row>
    <row r="102" spans="1:5" x14ac:dyDescent="0.2">
      <c r="A102">
        <v>3335</v>
      </c>
      <c r="B102">
        <v>9.4750000000000014</v>
      </c>
      <c r="C102">
        <v>9.4590000000000014</v>
      </c>
      <c r="D102">
        <v>0.27410000000000007</v>
      </c>
      <c r="E102" s="3">
        <v>4453000</v>
      </c>
    </row>
    <row r="103" spans="1:5" x14ac:dyDescent="0.2">
      <c r="A103">
        <v>3336</v>
      </c>
      <c r="B103">
        <v>9.6750000000000025</v>
      </c>
      <c r="C103">
        <v>9.5080000000000027</v>
      </c>
      <c r="D103">
        <v>0.41980000000000012</v>
      </c>
      <c r="E103" s="3">
        <v>2628000</v>
      </c>
    </row>
    <row r="104" spans="1:5" x14ac:dyDescent="0.2">
      <c r="A104">
        <v>3339</v>
      </c>
      <c r="B104">
        <v>9.5360000000000031</v>
      </c>
      <c r="C104">
        <v>9.453000000000003</v>
      </c>
      <c r="D104">
        <v>0.33840000000000009</v>
      </c>
      <c r="E104" s="3">
        <v>6734000</v>
      </c>
    </row>
    <row r="105" spans="1:5" x14ac:dyDescent="0.2">
      <c r="A105">
        <v>3341</v>
      </c>
      <c r="B105">
        <v>10.190000000000001</v>
      </c>
      <c r="C105">
        <v>9.9430000000000032</v>
      </c>
      <c r="D105">
        <v>0.52950000000000019</v>
      </c>
      <c r="E105" s="3">
        <v>4488000</v>
      </c>
    </row>
    <row r="106" spans="1:5" x14ac:dyDescent="0.2">
      <c r="A106">
        <v>3342</v>
      </c>
      <c r="B106">
        <v>9.881000000000002</v>
      </c>
      <c r="C106">
        <v>9.7570000000000014</v>
      </c>
      <c r="D106">
        <v>0.40340000000000015</v>
      </c>
      <c r="E106" s="3">
        <v>2659000</v>
      </c>
    </row>
    <row r="107" spans="1:5" x14ac:dyDescent="0.2">
      <c r="A107">
        <v>3343</v>
      </c>
      <c r="B107">
        <v>9.6920000000000019</v>
      </c>
      <c r="C107">
        <v>9.6290000000000031</v>
      </c>
      <c r="D107">
        <v>0.33260000000000012</v>
      </c>
      <c r="E107" s="3">
        <v>523000</v>
      </c>
    </row>
    <row r="108" spans="1:5" x14ac:dyDescent="0.2">
      <c r="A108">
        <v>3344</v>
      </c>
      <c r="B108">
        <v>9.7630000000000017</v>
      </c>
      <c r="C108">
        <v>9.6330000000000027</v>
      </c>
      <c r="D108">
        <v>0.4048000000000001</v>
      </c>
      <c r="E108" s="3">
        <v>10030000</v>
      </c>
    </row>
    <row r="109" spans="1:5" x14ac:dyDescent="0.2">
      <c r="A109">
        <v>3345</v>
      </c>
      <c r="B109">
        <v>9.8260000000000023</v>
      </c>
      <c r="C109">
        <v>9.6990000000000016</v>
      </c>
      <c r="D109">
        <v>0.40200000000000014</v>
      </c>
      <c r="E109" s="3">
        <v>10960000</v>
      </c>
    </row>
    <row r="110" spans="1:5" x14ac:dyDescent="0.2">
      <c r="A110">
        <v>3346</v>
      </c>
      <c r="B110">
        <v>9.7280000000000015</v>
      </c>
      <c r="C110">
        <v>9.6300000000000026</v>
      </c>
      <c r="D110">
        <v>0.37780000000000014</v>
      </c>
      <c r="E110" s="3">
        <v>453000</v>
      </c>
    </row>
    <row r="111" spans="1:5" x14ac:dyDescent="0.2">
      <c r="A111">
        <v>3351</v>
      </c>
      <c r="B111">
        <v>9.4010000000000016</v>
      </c>
      <c r="C111">
        <v>9.3610000000000024</v>
      </c>
      <c r="D111">
        <v>0.30020000000000008</v>
      </c>
      <c r="E111" s="3">
        <v>1166000</v>
      </c>
    </row>
    <row r="112" spans="1:5" x14ac:dyDescent="0.2">
      <c r="A112">
        <v>3352</v>
      </c>
      <c r="B112">
        <v>9.3860000000000028</v>
      </c>
      <c r="C112">
        <v>9.3020000000000014</v>
      </c>
      <c r="D112">
        <v>0.32680000000000009</v>
      </c>
      <c r="E112" s="3">
        <v>1649000</v>
      </c>
    </row>
    <row r="113" spans="1:5" x14ac:dyDescent="0.2">
      <c r="A113">
        <v>3353</v>
      </c>
      <c r="B113">
        <v>9.538000000000002</v>
      </c>
      <c r="C113">
        <v>9.4520000000000017</v>
      </c>
      <c r="D113">
        <v>0.34350000000000008</v>
      </c>
      <c r="E113" s="3">
        <v>3796000</v>
      </c>
    </row>
    <row r="114" spans="1:5" x14ac:dyDescent="0.2">
      <c r="A114">
        <v>3359</v>
      </c>
      <c r="B114">
        <v>9.4810000000000016</v>
      </c>
      <c r="C114">
        <v>9.3830000000000027</v>
      </c>
      <c r="D114">
        <v>0.35640000000000011</v>
      </c>
      <c r="E114" s="3">
        <v>3403000</v>
      </c>
    </row>
    <row r="115" spans="1:5" x14ac:dyDescent="0.2">
      <c r="A115">
        <v>3361</v>
      </c>
      <c r="B115">
        <v>9.7960000000000029</v>
      </c>
      <c r="C115">
        <v>9.4910000000000014</v>
      </c>
      <c r="D115">
        <v>0.53970000000000018</v>
      </c>
      <c r="E115" s="3">
        <v>5566000</v>
      </c>
    </row>
    <row r="116" spans="1:5" x14ac:dyDescent="0.2">
      <c r="A116">
        <v>3362</v>
      </c>
      <c r="B116">
        <v>9.3110000000000017</v>
      </c>
      <c r="C116">
        <v>9.2500000000000018</v>
      </c>
      <c r="D116">
        <v>0.2950000000000001</v>
      </c>
      <c r="E116" s="3">
        <v>3057000</v>
      </c>
    </row>
    <row r="117" spans="1:5" x14ac:dyDescent="0.2">
      <c r="A117">
        <v>3363</v>
      </c>
      <c r="B117">
        <v>9.4340000000000028</v>
      </c>
      <c r="C117">
        <v>9.2870000000000026</v>
      </c>
      <c r="D117">
        <v>0.38440000000000013</v>
      </c>
      <c r="E117" s="3">
        <v>13820000</v>
      </c>
    </row>
    <row r="118" spans="1:5" x14ac:dyDescent="0.2">
      <c r="A118">
        <v>3364</v>
      </c>
      <c r="B118">
        <v>9.9110000000000031</v>
      </c>
      <c r="C118">
        <v>9.7340000000000018</v>
      </c>
      <c r="D118">
        <v>0.45880000000000015</v>
      </c>
      <c r="E118" s="3">
        <v>14100000</v>
      </c>
    </row>
    <row r="119" spans="1:5" x14ac:dyDescent="0.2">
      <c r="A119">
        <v>3365</v>
      </c>
      <c r="B119">
        <v>9.5690000000000026</v>
      </c>
      <c r="C119">
        <v>9.3700000000000028</v>
      </c>
      <c r="D119">
        <v>0.44710000000000016</v>
      </c>
      <c r="E119" s="3">
        <v>643000</v>
      </c>
    </row>
    <row r="120" spans="1:5" x14ac:dyDescent="0.2">
      <c r="A120">
        <v>3366</v>
      </c>
      <c r="B120">
        <v>9.5110000000000028</v>
      </c>
      <c r="C120">
        <v>9.3720000000000017</v>
      </c>
      <c r="D120">
        <v>0.38840000000000013</v>
      </c>
      <c r="E120" s="3">
        <v>3299000</v>
      </c>
    </row>
    <row r="121" spans="1:5" x14ac:dyDescent="0.2">
      <c r="A121">
        <v>3369</v>
      </c>
      <c r="B121">
        <v>9.4950000000000028</v>
      </c>
      <c r="C121">
        <v>9.3820000000000014</v>
      </c>
      <c r="D121">
        <v>0.36870000000000014</v>
      </c>
      <c r="E121" s="3">
        <v>850000</v>
      </c>
    </row>
    <row r="122" spans="1:5" x14ac:dyDescent="0.2">
      <c r="A122">
        <v>3371</v>
      </c>
      <c r="B122">
        <v>9.1270000000000024</v>
      </c>
      <c r="C122">
        <v>9.2110000000000021</v>
      </c>
      <c r="D122">
        <v>0.16230000000000006</v>
      </c>
      <c r="E122" s="3">
        <v>5114000</v>
      </c>
    </row>
    <row r="123" spans="1:5" x14ac:dyDescent="0.2">
      <c r="A123">
        <v>3372</v>
      </c>
      <c r="B123">
        <v>9.3120000000000029</v>
      </c>
      <c r="C123">
        <v>9.3300000000000018</v>
      </c>
      <c r="D123">
        <v>0.23900000000000007</v>
      </c>
      <c r="E123" s="3">
        <v>2514000</v>
      </c>
    </row>
    <row r="124" spans="1:5" x14ac:dyDescent="0.2">
      <c r="A124">
        <v>3379</v>
      </c>
      <c r="B124">
        <v>9.1860000000000017</v>
      </c>
      <c r="C124">
        <v>9.2060000000000031</v>
      </c>
      <c r="D124">
        <v>0.23590000000000008</v>
      </c>
      <c r="E124" s="3">
        <v>806000</v>
      </c>
    </row>
    <row r="125" spans="1:5" x14ac:dyDescent="0.2">
      <c r="A125">
        <v>3391</v>
      </c>
      <c r="B125">
        <v>9.5180000000000025</v>
      </c>
      <c r="C125">
        <v>9.4450000000000021</v>
      </c>
      <c r="D125">
        <v>0.3348000000000001</v>
      </c>
      <c r="E125" s="3">
        <v>7706000</v>
      </c>
    </row>
    <row r="126" spans="1:5" x14ac:dyDescent="0.2">
      <c r="A126">
        <v>3399</v>
      </c>
      <c r="B126">
        <v>9.3110000000000017</v>
      </c>
      <c r="C126">
        <v>9.349000000000002</v>
      </c>
      <c r="D126">
        <v>0.21960000000000007</v>
      </c>
      <c r="E126" s="3">
        <v>6319000</v>
      </c>
    </row>
    <row r="127" spans="1:5" x14ac:dyDescent="0.2">
      <c r="A127">
        <v>4231</v>
      </c>
      <c r="B127">
        <v>9.3900000000000023</v>
      </c>
      <c r="C127">
        <v>9.4220000000000024</v>
      </c>
      <c r="D127">
        <v>0.22330000000000008</v>
      </c>
      <c r="E127" s="3">
        <v>7130000</v>
      </c>
    </row>
    <row r="128" spans="1:5" x14ac:dyDescent="0.2">
      <c r="A128">
        <v>4232</v>
      </c>
      <c r="B128">
        <v>9.4230000000000018</v>
      </c>
      <c r="C128">
        <v>9.4650000000000016</v>
      </c>
      <c r="D128">
        <v>0.21720000000000006</v>
      </c>
      <c r="E128" s="3">
        <v>2269000</v>
      </c>
    </row>
    <row r="129" spans="1:5" x14ac:dyDescent="0.2">
      <c r="A129">
        <v>4233</v>
      </c>
      <c r="B129">
        <v>9.424000000000003</v>
      </c>
      <c r="C129">
        <v>9.4330000000000016</v>
      </c>
      <c r="D129">
        <v>0.23830000000000007</v>
      </c>
      <c r="E129" s="3">
        <v>4706000</v>
      </c>
    </row>
    <row r="130" spans="1:5" x14ac:dyDescent="0.2">
      <c r="A130">
        <v>4234</v>
      </c>
      <c r="B130">
        <v>9.788000000000002</v>
      </c>
      <c r="C130">
        <v>9.6950000000000021</v>
      </c>
      <c r="D130">
        <v>0.34980000000000011</v>
      </c>
      <c r="E130" s="3">
        <v>15740000</v>
      </c>
    </row>
    <row r="131" spans="1:5" x14ac:dyDescent="0.2">
      <c r="A131">
        <v>4235</v>
      </c>
      <c r="B131">
        <v>9.4910000000000014</v>
      </c>
      <c r="C131">
        <v>9.4420000000000019</v>
      </c>
      <c r="D131">
        <v>0.3035000000000001</v>
      </c>
      <c r="E131" s="3">
        <v>3061000</v>
      </c>
    </row>
    <row r="132" spans="1:5" x14ac:dyDescent="0.2">
      <c r="A132">
        <v>4236</v>
      </c>
      <c r="B132">
        <v>9.6670000000000016</v>
      </c>
      <c r="C132">
        <v>9.6230000000000029</v>
      </c>
      <c r="D132">
        <v>0.30270000000000008</v>
      </c>
      <c r="E132" s="3">
        <v>8022000</v>
      </c>
    </row>
    <row r="133" spans="1:5" x14ac:dyDescent="0.2">
      <c r="A133">
        <v>4237</v>
      </c>
      <c r="B133">
        <v>9.4770000000000021</v>
      </c>
      <c r="C133">
        <v>9.4950000000000028</v>
      </c>
      <c r="D133">
        <v>0.23550000000000007</v>
      </c>
      <c r="E133" s="3">
        <v>5746000</v>
      </c>
    </row>
    <row r="134" spans="1:5" x14ac:dyDescent="0.2">
      <c r="A134">
        <v>4238</v>
      </c>
      <c r="B134">
        <v>9.5470000000000024</v>
      </c>
      <c r="C134">
        <v>9.5210000000000026</v>
      </c>
      <c r="D134">
        <v>0.2793000000000001</v>
      </c>
      <c r="E134" s="3">
        <v>15700000</v>
      </c>
    </row>
    <row r="135" spans="1:5" x14ac:dyDescent="0.2">
      <c r="A135">
        <v>4239</v>
      </c>
      <c r="B135">
        <v>9.3520000000000021</v>
      </c>
      <c r="C135">
        <v>9.3980000000000015</v>
      </c>
      <c r="D135">
        <v>0.21580000000000008</v>
      </c>
      <c r="E135" s="3">
        <v>6061000</v>
      </c>
    </row>
    <row r="136" spans="1:5" x14ac:dyDescent="0.2">
      <c r="A136">
        <v>4241</v>
      </c>
      <c r="B136">
        <v>9.4820000000000029</v>
      </c>
      <c r="C136">
        <v>9.4890000000000025</v>
      </c>
      <c r="D136">
        <v>0.25830000000000009</v>
      </c>
      <c r="E136" s="3">
        <v>2642000</v>
      </c>
    </row>
    <row r="137" spans="1:5" x14ac:dyDescent="0.2">
      <c r="A137">
        <v>4242</v>
      </c>
      <c r="B137">
        <v>9.8880000000000017</v>
      </c>
      <c r="C137">
        <v>9.7100000000000026</v>
      </c>
      <c r="D137">
        <v>0.42110000000000014</v>
      </c>
      <c r="E137" s="3">
        <v>4884000</v>
      </c>
    </row>
    <row r="138" spans="1:5" x14ac:dyDescent="0.2">
      <c r="A138">
        <v>4243</v>
      </c>
      <c r="B138">
        <v>9.4470000000000027</v>
      </c>
      <c r="C138">
        <v>9.5140000000000029</v>
      </c>
      <c r="D138">
        <v>0.21400000000000008</v>
      </c>
      <c r="E138" s="3">
        <v>2978000</v>
      </c>
    </row>
    <row r="139" spans="1:5" x14ac:dyDescent="0.2">
      <c r="A139">
        <v>4244</v>
      </c>
      <c r="B139">
        <v>9.4160000000000021</v>
      </c>
      <c r="C139">
        <v>9.3700000000000028</v>
      </c>
      <c r="D139">
        <v>0.30220000000000008</v>
      </c>
      <c r="E139" s="3">
        <v>16560000</v>
      </c>
    </row>
    <row r="140" spans="1:5" x14ac:dyDescent="0.2">
      <c r="A140">
        <v>4245</v>
      </c>
      <c r="B140">
        <v>9.4100000000000019</v>
      </c>
      <c r="C140">
        <v>9.4020000000000028</v>
      </c>
      <c r="D140">
        <v>0.26560000000000006</v>
      </c>
      <c r="E140" s="3">
        <v>1317000</v>
      </c>
    </row>
    <row r="141" spans="1:5" x14ac:dyDescent="0.2">
      <c r="A141">
        <v>4246</v>
      </c>
      <c r="B141">
        <v>9.6710000000000029</v>
      </c>
      <c r="C141">
        <v>9.5700000000000021</v>
      </c>
      <c r="D141">
        <v>0.35170000000000012</v>
      </c>
      <c r="E141" s="3">
        <v>3068000</v>
      </c>
    </row>
    <row r="142" spans="1:5" x14ac:dyDescent="0.2">
      <c r="A142">
        <v>4247</v>
      </c>
      <c r="B142">
        <v>9.5840000000000014</v>
      </c>
      <c r="C142">
        <v>9.4830000000000023</v>
      </c>
      <c r="D142">
        <v>0.34930000000000011</v>
      </c>
      <c r="E142" s="3">
        <v>2096000</v>
      </c>
    </row>
    <row r="143" spans="1:5" x14ac:dyDescent="0.2">
      <c r="A143">
        <v>4248</v>
      </c>
      <c r="B143">
        <v>9.5090000000000021</v>
      </c>
      <c r="C143">
        <v>9.4650000000000016</v>
      </c>
      <c r="D143">
        <v>0.29530000000000012</v>
      </c>
      <c r="E143" s="3">
        <v>4644000</v>
      </c>
    </row>
    <row r="144" spans="1:5" x14ac:dyDescent="0.2">
      <c r="A144">
        <v>4249</v>
      </c>
      <c r="B144">
        <v>9.3480000000000025</v>
      </c>
      <c r="C144">
        <v>9.4110000000000014</v>
      </c>
      <c r="D144">
        <v>0.19850000000000007</v>
      </c>
      <c r="E144" s="3">
        <v>6442000</v>
      </c>
    </row>
    <row r="145" spans="1:5" x14ac:dyDescent="0.2">
      <c r="A145">
        <v>4251</v>
      </c>
      <c r="B145">
        <v>9.8310000000000031</v>
      </c>
      <c r="C145">
        <v>9.7260000000000026</v>
      </c>
      <c r="D145">
        <v>0.3575000000000001</v>
      </c>
      <c r="E145" s="3">
        <v>17570000</v>
      </c>
    </row>
    <row r="146" spans="1:5" x14ac:dyDescent="0.2">
      <c r="A146">
        <v>4411</v>
      </c>
      <c r="B146">
        <v>9.4480000000000022</v>
      </c>
      <c r="C146">
        <v>9.4910000000000014</v>
      </c>
      <c r="D146">
        <v>0.21510000000000007</v>
      </c>
      <c r="E146" s="3">
        <v>24700000</v>
      </c>
    </row>
    <row r="147" spans="1:5" x14ac:dyDescent="0.2">
      <c r="A147">
        <v>4412</v>
      </c>
      <c r="B147">
        <v>9.2600000000000016</v>
      </c>
      <c r="C147">
        <v>9.3980000000000015</v>
      </c>
      <c r="D147">
        <v>0.11320000000000004</v>
      </c>
      <c r="E147" s="3">
        <v>2779000</v>
      </c>
    </row>
    <row r="148" spans="1:5" x14ac:dyDescent="0.2">
      <c r="A148">
        <v>4413</v>
      </c>
      <c r="B148">
        <v>9.1340000000000021</v>
      </c>
      <c r="C148">
        <v>9.2870000000000026</v>
      </c>
      <c r="D148">
        <v>0.11050000000000003</v>
      </c>
      <c r="E148" s="3">
        <v>9148000</v>
      </c>
    </row>
    <row r="149" spans="1:5" x14ac:dyDescent="0.2">
      <c r="A149">
        <v>4421</v>
      </c>
      <c r="B149">
        <v>9.2090000000000014</v>
      </c>
      <c r="C149">
        <v>9.3240000000000016</v>
      </c>
      <c r="D149">
        <v>0.14880000000000004</v>
      </c>
      <c r="E149" s="3">
        <v>3957000</v>
      </c>
    </row>
    <row r="150" spans="1:5" x14ac:dyDescent="0.2">
      <c r="A150">
        <v>4422</v>
      </c>
      <c r="B150">
        <v>9.2780000000000022</v>
      </c>
      <c r="C150">
        <v>9.4210000000000029</v>
      </c>
      <c r="D150">
        <v>0.12060000000000004</v>
      </c>
      <c r="E150" s="3">
        <v>3308000</v>
      </c>
    </row>
    <row r="151" spans="1:5" x14ac:dyDescent="0.2">
      <c r="A151">
        <v>4431</v>
      </c>
      <c r="B151">
        <v>9.3540000000000028</v>
      </c>
      <c r="C151">
        <v>9.408000000000003</v>
      </c>
      <c r="D151">
        <v>0.23020000000000007</v>
      </c>
      <c r="E151" s="3">
        <v>9050000</v>
      </c>
    </row>
    <row r="152" spans="1:5" x14ac:dyDescent="0.2">
      <c r="A152">
        <v>4441</v>
      </c>
      <c r="B152">
        <v>9.1220000000000017</v>
      </c>
      <c r="C152">
        <v>9.3030000000000026</v>
      </c>
      <c r="D152">
        <v>8.6880000000000041E-2</v>
      </c>
      <c r="E152" s="3">
        <v>18670000</v>
      </c>
    </row>
    <row r="153" spans="1:5" x14ac:dyDescent="0.2">
      <c r="A153">
        <v>4442</v>
      </c>
      <c r="B153">
        <v>9.1180000000000021</v>
      </c>
      <c r="C153">
        <v>9.3160000000000025</v>
      </c>
      <c r="D153">
        <v>6.0490000000000023E-2</v>
      </c>
      <c r="E153" s="3">
        <v>2172000</v>
      </c>
    </row>
    <row r="154" spans="1:5" x14ac:dyDescent="0.2">
      <c r="A154">
        <v>4451</v>
      </c>
      <c r="B154">
        <v>9.0260000000000016</v>
      </c>
      <c r="C154">
        <v>9.2340000000000018</v>
      </c>
      <c r="D154">
        <v>6.654000000000003E-2</v>
      </c>
      <c r="E154" s="3">
        <v>34520000</v>
      </c>
    </row>
    <row r="155" spans="1:5" x14ac:dyDescent="0.2">
      <c r="A155">
        <v>4452</v>
      </c>
      <c r="B155">
        <v>9.0680000000000014</v>
      </c>
      <c r="C155">
        <v>9.2650000000000023</v>
      </c>
      <c r="D155">
        <v>7.7500000000000027E-2</v>
      </c>
      <c r="E155" s="3">
        <v>2330000</v>
      </c>
    </row>
    <row r="156" spans="1:5" x14ac:dyDescent="0.2">
      <c r="A156">
        <v>4453</v>
      </c>
      <c r="B156">
        <v>9.0260000000000016</v>
      </c>
      <c r="C156">
        <v>9.304000000000002</v>
      </c>
      <c r="D156">
        <v>-9.4840000000000028E-3</v>
      </c>
      <c r="E156" s="3">
        <v>1678000</v>
      </c>
    </row>
    <row r="157" spans="1:5" x14ac:dyDescent="0.2">
      <c r="A157">
        <v>4461</v>
      </c>
      <c r="B157">
        <v>9.2360000000000024</v>
      </c>
      <c r="C157">
        <v>9.392000000000003</v>
      </c>
      <c r="D157">
        <v>0.11580000000000004</v>
      </c>
      <c r="E157" s="3">
        <v>15900000</v>
      </c>
    </row>
    <row r="158" spans="1:5" x14ac:dyDescent="0.2">
      <c r="A158">
        <v>4471</v>
      </c>
      <c r="B158">
        <v>8.8950000000000014</v>
      </c>
      <c r="C158">
        <v>9.1020000000000021</v>
      </c>
      <c r="D158">
        <v>4.8980000000000024E-2</v>
      </c>
      <c r="E158" s="3">
        <v>9378000</v>
      </c>
    </row>
    <row r="159" spans="1:5" x14ac:dyDescent="0.2">
      <c r="A159">
        <v>4481</v>
      </c>
      <c r="B159">
        <v>9.1680000000000028</v>
      </c>
      <c r="C159">
        <v>9.3350000000000026</v>
      </c>
      <c r="D159">
        <v>0.12950000000000003</v>
      </c>
      <c r="E159" s="3">
        <v>7959000</v>
      </c>
    </row>
    <row r="160" spans="1:5" x14ac:dyDescent="0.2">
      <c r="A160">
        <v>4482</v>
      </c>
      <c r="B160">
        <v>9.1590000000000025</v>
      </c>
      <c r="C160">
        <v>9.3080000000000016</v>
      </c>
      <c r="D160">
        <v>0.14680000000000004</v>
      </c>
      <c r="E160" s="3">
        <v>1617000</v>
      </c>
    </row>
    <row r="161" spans="1:5" x14ac:dyDescent="0.2">
      <c r="A161">
        <v>4483</v>
      </c>
      <c r="B161">
        <v>9.2820000000000018</v>
      </c>
      <c r="C161">
        <v>9.4190000000000023</v>
      </c>
      <c r="D161">
        <v>0.14250000000000004</v>
      </c>
      <c r="E161" s="3">
        <v>1953000</v>
      </c>
    </row>
    <row r="162" spans="1:5" x14ac:dyDescent="0.2">
      <c r="A162">
        <v>4511</v>
      </c>
      <c r="B162">
        <v>9.0420000000000016</v>
      </c>
      <c r="C162">
        <v>9.3000000000000025</v>
      </c>
      <c r="D162">
        <v>1.8970000000000008E-2</v>
      </c>
      <c r="E162" s="3">
        <v>4987000</v>
      </c>
    </row>
    <row r="163" spans="1:5" x14ac:dyDescent="0.2">
      <c r="A163">
        <v>4512</v>
      </c>
      <c r="B163">
        <v>9.0100000000000016</v>
      </c>
      <c r="C163">
        <v>9.2480000000000029</v>
      </c>
      <c r="D163">
        <v>4.634000000000002E-2</v>
      </c>
      <c r="E163" s="3">
        <v>903000</v>
      </c>
    </row>
    <row r="164" spans="1:5" x14ac:dyDescent="0.2">
      <c r="A164">
        <v>4521</v>
      </c>
      <c r="B164">
        <v>8.9790000000000028</v>
      </c>
      <c r="C164">
        <v>9.2020000000000017</v>
      </c>
      <c r="D164">
        <v>6.7350000000000035E-2</v>
      </c>
      <c r="E164" s="3">
        <v>16390000</v>
      </c>
    </row>
    <row r="165" spans="1:5" x14ac:dyDescent="0.2">
      <c r="A165">
        <v>4529</v>
      </c>
      <c r="B165">
        <v>8.9470000000000027</v>
      </c>
      <c r="C165">
        <v>9.1550000000000029</v>
      </c>
      <c r="D165">
        <v>5.153000000000002E-2</v>
      </c>
      <c r="E165" s="3">
        <v>27310000</v>
      </c>
    </row>
    <row r="166" spans="1:5" x14ac:dyDescent="0.2">
      <c r="A166">
        <v>4531</v>
      </c>
      <c r="B166">
        <v>8.9000000000000021</v>
      </c>
      <c r="C166">
        <v>9.235000000000003</v>
      </c>
      <c r="D166">
        <v>-6.3540000000000027E-2</v>
      </c>
      <c r="E166" s="3">
        <v>579000</v>
      </c>
    </row>
    <row r="167" spans="1:5" x14ac:dyDescent="0.2">
      <c r="A167">
        <v>4532</v>
      </c>
      <c r="B167">
        <v>9.1540000000000017</v>
      </c>
      <c r="C167">
        <v>9.3210000000000015</v>
      </c>
      <c r="D167">
        <v>0.11050000000000003</v>
      </c>
      <c r="E167" s="3">
        <v>3205000</v>
      </c>
    </row>
    <row r="168" spans="1:5" x14ac:dyDescent="0.2">
      <c r="A168">
        <v>4533</v>
      </c>
      <c r="B168">
        <v>8.8920000000000012</v>
      </c>
      <c r="C168">
        <v>9.131000000000002</v>
      </c>
      <c r="D168">
        <v>2.4590000000000011E-2</v>
      </c>
      <c r="E168" s="3">
        <v>1618000</v>
      </c>
    </row>
    <row r="169" spans="1:5" x14ac:dyDescent="0.2">
      <c r="A169">
        <v>4539</v>
      </c>
      <c r="B169">
        <v>9.1170000000000027</v>
      </c>
      <c r="C169">
        <v>9.3010000000000019</v>
      </c>
      <c r="D169">
        <v>8.5170000000000037E-2</v>
      </c>
      <c r="E169" s="3">
        <v>3814000</v>
      </c>
    </row>
    <row r="170" spans="1:5" x14ac:dyDescent="0.2">
      <c r="A170">
        <v>4541</v>
      </c>
      <c r="B170">
        <v>9.4540000000000024</v>
      </c>
      <c r="C170">
        <v>9.4720000000000031</v>
      </c>
      <c r="D170">
        <v>0.24240000000000009</v>
      </c>
      <c r="E170" s="3">
        <v>6427000</v>
      </c>
    </row>
    <row r="171" spans="1:5" x14ac:dyDescent="0.2">
      <c r="A171">
        <v>4542</v>
      </c>
      <c r="B171">
        <v>9.0960000000000019</v>
      </c>
      <c r="C171">
        <v>9.2180000000000017</v>
      </c>
      <c r="D171">
        <v>0.13490000000000005</v>
      </c>
      <c r="E171" s="3">
        <v>687000</v>
      </c>
    </row>
    <row r="172" spans="1:5" x14ac:dyDescent="0.2">
      <c r="A172">
        <v>4543</v>
      </c>
      <c r="B172">
        <v>9.3590000000000018</v>
      </c>
      <c r="C172">
        <v>9.3890000000000029</v>
      </c>
      <c r="D172">
        <v>0.22920000000000007</v>
      </c>
      <c r="E172" s="3">
        <v>2723000</v>
      </c>
    </row>
    <row r="173" spans="1:5" x14ac:dyDescent="0.2">
      <c r="A173">
        <v>4811</v>
      </c>
      <c r="B173">
        <v>9.6270000000000024</v>
      </c>
      <c r="C173">
        <v>9.7060000000000031</v>
      </c>
      <c r="D173">
        <v>0.18830000000000005</v>
      </c>
      <c r="E173" s="3">
        <v>10630000</v>
      </c>
    </row>
    <row r="174" spans="1:5" x14ac:dyDescent="0.2">
      <c r="A174">
        <v>4812</v>
      </c>
      <c r="B174">
        <v>9.7450000000000028</v>
      </c>
      <c r="C174">
        <v>9.703000000000003</v>
      </c>
      <c r="D174">
        <v>0.29260000000000008</v>
      </c>
      <c r="E174" s="3">
        <v>934000</v>
      </c>
    </row>
    <row r="175" spans="1:5" x14ac:dyDescent="0.2">
      <c r="A175">
        <v>4821</v>
      </c>
      <c r="B175">
        <v>9.485000000000003</v>
      </c>
      <c r="C175">
        <v>9.4460000000000015</v>
      </c>
      <c r="D175">
        <v>0.33820000000000011</v>
      </c>
      <c r="E175" s="3">
        <v>27000</v>
      </c>
    </row>
    <row r="176" spans="1:5" x14ac:dyDescent="0.2">
      <c r="A176">
        <v>4831</v>
      </c>
      <c r="B176">
        <v>9.7460000000000022</v>
      </c>
      <c r="C176">
        <v>9.6380000000000017</v>
      </c>
      <c r="D176">
        <v>0.37750000000000011</v>
      </c>
      <c r="E176" s="3">
        <v>1011000</v>
      </c>
    </row>
    <row r="177" spans="1:5" x14ac:dyDescent="0.2">
      <c r="A177">
        <v>4832</v>
      </c>
      <c r="B177">
        <v>9.7060000000000031</v>
      </c>
      <c r="C177">
        <v>9.5300000000000029</v>
      </c>
      <c r="D177">
        <v>0.42880000000000013</v>
      </c>
      <c r="E177" s="3">
        <v>643000</v>
      </c>
    </row>
    <row r="178" spans="1:5" x14ac:dyDescent="0.2">
      <c r="A178">
        <v>4841</v>
      </c>
      <c r="B178">
        <v>9.3750000000000018</v>
      </c>
      <c r="C178">
        <v>9.3370000000000015</v>
      </c>
      <c r="D178">
        <v>0.28630000000000011</v>
      </c>
      <c r="E178" s="3">
        <v>20880000</v>
      </c>
    </row>
    <row r="179" spans="1:5" x14ac:dyDescent="0.2">
      <c r="A179">
        <v>4842</v>
      </c>
      <c r="B179">
        <v>9.3670000000000027</v>
      </c>
      <c r="C179">
        <v>9.3300000000000018</v>
      </c>
      <c r="D179">
        <v>0.2854000000000001</v>
      </c>
      <c r="E179" s="3">
        <v>8579000</v>
      </c>
    </row>
    <row r="180" spans="1:5" x14ac:dyDescent="0.2">
      <c r="A180">
        <v>4851</v>
      </c>
      <c r="B180">
        <v>9.6020000000000021</v>
      </c>
      <c r="C180">
        <v>9.4820000000000029</v>
      </c>
      <c r="D180">
        <v>0.39500000000000013</v>
      </c>
      <c r="E180" s="3">
        <v>6342000</v>
      </c>
    </row>
    <row r="181" spans="1:5" x14ac:dyDescent="0.2">
      <c r="A181">
        <v>4852</v>
      </c>
      <c r="B181">
        <v>9.2760000000000016</v>
      </c>
      <c r="C181">
        <v>9.2800000000000029</v>
      </c>
      <c r="D181">
        <v>0.26260000000000011</v>
      </c>
      <c r="E181" s="3">
        <v>482000</v>
      </c>
    </row>
    <row r="182" spans="1:5" x14ac:dyDescent="0.2">
      <c r="A182">
        <v>4853</v>
      </c>
      <c r="B182">
        <v>9.0770000000000017</v>
      </c>
      <c r="C182">
        <v>9.2750000000000021</v>
      </c>
      <c r="D182">
        <v>6.6350000000000034E-2</v>
      </c>
      <c r="E182" s="3">
        <v>1072000</v>
      </c>
    </row>
    <row r="183" spans="1:5" x14ac:dyDescent="0.2">
      <c r="A183">
        <v>4854</v>
      </c>
      <c r="B183">
        <v>9.054000000000002</v>
      </c>
      <c r="C183">
        <v>9.2900000000000027</v>
      </c>
      <c r="D183">
        <v>2.444000000000001E-2</v>
      </c>
      <c r="E183" s="3">
        <v>3588000</v>
      </c>
    </row>
    <row r="184" spans="1:5" x14ac:dyDescent="0.2">
      <c r="A184">
        <v>4855</v>
      </c>
      <c r="B184">
        <v>9.115000000000002</v>
      </c>
      <c r="C184">
        <v>9.272000000000002</v>
      </c>
      <c r="D184">
        <v>0.11730000000000004</v>
      </c>
      <c r="E184" s="3">
        <v>432000</v>
      </c>
    </row>
    <row r="185" spans="1:5" x14ac:dyDescent="0.2">
      <c r="A185">
        <v>4859</v>
      </c>
      <c r="B185">
        <v>9.0030000000000019</v>
      </c>
      <c r="C185">
        <v>9.1720000000000024</v>
      </c>
      <c r="D185">
        <v>0.10070000000000003</v>
      </c>
      <c r="E185" s="3">
        <v>1523000</v>
      </c>
    </row>
    <row r="186" spans="1:5" x14ac:dyDescent="0.2">
      <c r="A186">
        <v>4861</v>
      </c>
      <c r="B186">
        <v>10.170000000000002</v>
      </c>
      <c r="C186">
        <v>9.7550000000000026</v>
      </c>
      <c r="D186">
        <v>0.64870000000000017</v>
      </c>
      <c r="E186" s="3">
        <v>283000</v>
      </c>
    </row>
    <row r="187" spans="1:5" x14ac:dyDescent="0.2">
      <c r="A187">
        <v>4862</v>
      </c>
      <c r="B187">
        <v>10.050000000000002</v>
      </c>
      <c r="C187">
        <v>9.7230000000000025</v>
      </c>
      <c r="D187">
        <v>0.57060000000000022</v>
      </c>
      <c r="E187" s="3">
        <v>805000</v>
      </c>
    </row>
    <row r="188" spans="1:5" x14ac:dyDescent="0.2">
      <c r="A188">
        <v>4869</v>
      </c>
      <c r="B188">
        <v>10.070000000000002</v>
      </c>
      <c r="C188">
        <v>9.7010000000000023</v>
      </c>
      <c r="D188">
        <v>0.6050000000000002</v>
      </c>
      <c r="E188" s="3">
        <v>209000</v>
      </c>
    </row>
    <row r="189" spans="1:5" x14ac:dyDescent="0.2">
      <c r="A189">
        <v>4871</v>
      </c>
      <c r="B189">
        <v>9.203000000000003</v>
      </c>
      <c r="C189">
        <v>9.3370000000000015</v>
      </c>
      <c r="D189">
        <v>0.14400000000000004</v>
      </c>
      <c r="E189" s="3">
        <v>191000</v>
      </c>
    </row>
    <row r="190" spans="1:5" x14ac:dyDescent="0.2">
      <c r="A190">
        <v>4872</v>
      </c>
      <c r="B190">
        <v>9.1890000000000018</v>
      </c>
      <c r="C190">
        <v>9.413000000000002</v>
      </c>
      <c r="D190">
        <v>5.4660000000000021E-2</v>
      </c>
      <c r="E190" s="3">
        <v>168000</v>
      </c>
    </row>
    <row r="191" spans="1:5" x14ac:dyDescent="0.2">
      <c r="A191">
        <v>4879</v>
      </c>
      <c r="B191">
        <v>9.3890000000000029</v>
      </c>
      <c r="C191">
        <v>9.4670000000000023</v>
      </c>
      <c r="D191">
        <v>0.17340000000000005</v>
      </c>
      <c r="E191" s="3">
        <v>47500</v>
      </c>
    </row>
    <row r="192" spans="1:5" x14ac:dyDescent="0.2">
      <c r="A192">
        <v>4881</v>
      </c>
      <c r="B192">
        <v>9.4210000000000029</v>
      </c>
      <c r="C192">
        <v>9.4190000000000023</v>
      </c>
      <c r="D192">
        <v>0.2612000000000001</v>
      </c>
      <c r="E192" s="3">
        <v>4436000</v>
      </c>
    </row>
    <row r="193" spans="1:5" x14ac:dyDescent="0.2">
      <c r="A193">
        <v>4882</v>
      </c>
      <c r="B193">
        <v>9.4030000000000022</v>
      </c>
      <c r="C193">
        <v>9.3000000000000025</v>
      </c>
      <c r="D193">
        <v>0.34910000000000013</v>
      </c>
      <c r="E193" s="3">
        <v>685000</v>
      </c>
    </row>
    <row r="194" spans="1:5" x14ac:dyDescent="0.2">
      <c r="A194">
        <v>4883</v>
      </c>
      <c r="B194">
        <v>9.7630000000000017</v>
      </c>
      <c r="C194">
        <v>9.594000000000003</v>
      </c>
      <c r="D194">
        <v>0.42700000000000016</v>
      </c>
      <c r="E194" s="3">
        <v>1905000</v>
      </c>
    </row>
    <row r="195" spans="1:5" x14ac:dyDescent="0.2">
      <c r="A195">
        <v>4884</v>
      </c>
      <c r="B195">
        <v>9.2540000000000013</v>
      </c>
      <c r="C195">
        <v>9.2970000000000024</v>
      </c>
      <c r="D195">
        <v>0.20770000000000008</v>
      </c>
      <c r="E195" s="3">
        <v>2091000</v>
      </c>
    </row>
    <row r="196" spans="1:5" x14ac:dyDescent="0.2">
      <c r="A196">
        <v>4885</v>
      </c>
      <c r="B196">
        <v>9.4480000000000022</v>
      </c>
      <c r="C196">
        <v>9.4550000000000018</v>
      </c>
      <c r="D196">
        <v>0.24790000000000009</v>
      </c>
      <c r="E196" s="3">
        <v>4588000</v>
      </c>
    </row>
    <row r="197" spans="1:5" x14ac:dyDescent="0.2">
      <c r="A197">
        <v>4889</v>
      </c>
      <c r="B197">
        <v>9.2610000000000028</v>
      </c>
      <c r="C197">
        <v>9.2870000000000026</v>
      </c>
      <c r="D197">
        <v>0.22630000000000008</v>
      </c>
      <c r="E197" s="3">
        <v>592000</v>
      </c>
    </row>
    <row r="198" spans="1:5" x14ac:dyDescent="0.2">
      <c r="A198">
        <v>4911</v>
      </c>
      <c r="B198">
        <v>9.1380000000000017</v>
      </c>
      <c r="C198">
        <v>9.2060000000000031</v>
      </c>
      <c r="D198">
        <v>0.18050000000000005</v>
      </c>
      <c r="E198" s="3">
        <v>74000</v>
      </c>
    </row>
    <row r="199" spans="1:5" x14ac:dyDescent="0.2">
      <c r="A199">
        <v>4921</v>
      </c>
      <c r="B199">
        <v>9.4720000000000031</v>
      </c>
      <c r="C199">
        <v>9.5690000000000026</v>
      </c>
      <c r="D199">
        <v>0.15220000000000006</v>
      </c>
      <c r="E199" s="3">
        <v>10580000</v>
      </c>
    </row>
    <row r="200" spans="1:5" x14ac:dyDescent="0.2">
      <c r="A200">
        <v>4922</v>
      </c>
      <c r="B200">
        <v>9.1380000000000017</v>
      </c>
      <c r="C200">
        <v>9.2330000000000023</v>
      </c>
      <c r="D200">
        <v>0.15300000000000005</v>
      </c>
      <c r="E200" s="3">
        <v>883000</v>
      </c>
    </row>
    <row r="201" spans="1:5" x14ac:dyDescent="0.2">
      <c r="A201">
        <v>4931</v>
      </c>
      <c r="B201">
        <v>9.2100000000000026</v>
      </c>
      <c r="C201">
        <v>9.235000000000003</v>
      </c>
      <c r="D201">
        <v>0.22260000000000008</v>
      </c>
      <c r="E201" s="3">
        <v>16960000</v>
      </c>
    </row>
    <row r="202" spans="1:5" x14ac:dyDescent="0.2">
      <c r="A202">
        <v>5111</v>
      </c>
      <c r="B202">
        <v>9.5180000000000025</v>
      </c>
      <c r="C202">
        <v>9.5290000000000017</v>
      </c>
      <c r="D202">
        <v>0.27000000000000007</v>
      </c>
      <c r="E202" s="3">
        <v>9374000</v>
      </c>
    </row>
    <row r="203" spans="1:5" x14ac:dyDescent="0.2">
      <c r="A203">
        <v>5112</v>
      </c>
      <c r="B203">
        <v>10.150000000000002</v>
      </c>
      <c r="C203">
        <v>9.9460000000000015</v>
      </c>
      <c r="D203">
        <v>0.45450000000000013</v>
      </c>
      <c r="E203" s="3">
        <v>8248000</v>
      </c>
    </row>
    <row r="204" spans="1:5" x14ac:dyDescent="0.2">
      <c r="A204">
        <v>5121</v>
      </c>
      <c r="B204">
        <v>9.7490000000000023</v>
      </c>
      <c r="C204">
        <v>9.7310000000000016</v>
      </c>
      <c r="D204">
        <v>0.29460000000000008</v>
      </c>
      <c r="E204" s="3">
        <v>4305000</v>
      </c>
    </row>
    <row r="205" spans="1:5" x14ac:dyDescent="0.2">
      <c r="A205">
        <v>5122</v>
      </c>
      <c r="B205">
        <v>9.6170000000000027</v>
      </c>
      <c r="C205">
        <v>9.647000000000002</v>
      </c>
      <c r="D205">
        <v>0.24770000000000009</v>
      </c>
      <c r="E205" s="3">
        <v>341000</v>
      </c>
    </row>
    <row r="206" spans="1:5" x14ac:dyDescent="0.2">
      <c r="A206">
        <v>5151</v>
      </c>
      <c r="B206">
        <v>9.6500000000000021</v>
      </c>
      <c r="C206">
        <v>9.6550000000000029</v>
      </c>
      <c r="D206">
        <v>0.25570000000000009</v>
      </c>
      <c r="E206" s="3">
        <v>4787000</v>
      </c>
    </row>
    <row r="207" spans="1:5" x14ac:dyDescent="0.2">
      <c r="A207">
        <v>5152</v>
      </c>
      <c r="B207">
        <v>9.7660000000000018</v>
      </c>
      <c r="C207">
        <v>9.6270000000000024</v>
      </c>
      <c r="D207">
        <v>0.41090000000000015</v>
      </c>
      <c r="E207" s="3">
        <v>1756000</v>
      </c>
    </row>
    <row r="208" spans="1:5" x14ac:dyDescent="0.2">
      <c r="A208">
        <v>5171</v>
      </c>
      <c r="B208">
        <v>9.7460000000000022</v>
      </c>
      <c r="C208">
        <v>9.5090000000000021</v>
      </c>
      <c r="D208">
        <v>0.48900000000000016</v>
      </c>
      <c r="E208" s="3">
        <v>15910000</v>
      </c>
    </row>
    <row r="209" spans="1:5" x14ac:dyDescent="0.2">
      <c r="A209">
        <v>5172</v>
      </c>
      <c r="B209">
        <v>9.6610000000000031</v>
      </c>
      <c r="C209">
        <v>9.4720000000000031</v>
      </c>
      <c r="D209">
        <v>0.45750000000000013</v>
      </c>
      <c r="E209" s="3">
        <v>3647000</v>
      </c>
    </row>
    <row r="210" spans="1:5" x14ac:dyDescent="0.2">
      <c r="A210">
        <v>5174</v>
      </c>
      <c r="B210">
        <v>9.8730000000000029</v>
      </c>
      <c r="C210">
        <v>9.7160000000000029</v>
      </c>
      <c r="D210">
        <v>0.42850000000000016</v>
      </c>
      <c r="E210" s="3">
        <v>253000</v>
      </c>
    </row>
    <row r="211" spans="1:5" x14ac:dyDescent="0.2">
      <c r="A211">
        <v>5179</v>
      </c>
      <c r="B211">
        <v>9.7650000000000023</v>
      </c>
      <c r="C211">
        <v>9.6130000000000031</v>
      </c>
      <c r="D211">
        <v>0.42070000000000013</v>
      </c>
      <c r="E211" s="3">
        <v>2264000</v>
      </c>
    </row>
    <row r="212" spans="1:5" x14ac:dyDescent="0.2">
      <c r="A212">
        <v>5182</v>
      </c>
      <c r="B212">
        <v>9.8060000000000027</v>
      </c>
      <c r="C212">
        <v>9.7020000000000017</v>
      </c>
      <c r="D212">
        <v>0.3514000000000001</v>
      </c>
      <c r="E212" s="3">
        <v>7015000</v>
      </c>
    </row>
    <row r="213" spans="1:5" x14ac:dyDescent="0.2">
      <c r="A213">
        <v>5191</v>
      </c>
      <c r="B213">
        <v>9.8750000000000018</v>
      </c>
      <c r="C213">
        <v>9.7460000000000022</v>
      </c>
      <c r="D213">
        <v>0.39130000000000015</v>
      </c>
      <c r="E213" s="3">
        <v>7271000</v>
      </c>
    </row>
    <row r="214" spans="1:5" x14ac:dyDescent="0.2">
      <c r="A214">
        <v>5211</v>
      </c>
      <c r="B214">
        <v>10.030000000000001</v>
      </c>
      <c r="C214">
        <v>9.8820000000000032</v>
      </c>
      <c r="D214">
        <v>0.41030000000000011</v>
      </c>
      <c r="E214" s="3">
        <v>538000</v>
      </c>
    </row>
    <row r="215" spans="1:5" x14ac:dyDescent="0.2">
      <c r="A215">
        <v>5221</v>
      </c>
      <c r="B215">
        <v>9.4930000000000021</v>
      </c>
      <c r="C215">
        <v>9.501000000000003</v>
      </c>
      <c r="D215">
        <v>0.25570000000000009</v>
      </c>
      <c r="E215" s="3">
        <v>42860000</v>
      </c>
    </row>
    <row r="216" spans="1:5" x14ac:dyDescent="0.2">
      <c r="A216">
        <v>5222</v>
      </c>
      <c r="B216">
        <v>9.663000000000002</v>
      </c>
      <c r="C216">
        <v>9.5770000000000017</v>
      </c>
      <c r="D216">
        <v>0.33150000000000013</v>
      </c>
      <c r="E216" s="3">
        <v>14370000</v>
      </c>
    </row>
    <row r="217" spans="1:5" x14ac:dyDescent="0.2">
      <c r="A217">
        <v>5223</v>
      </c>
      <c r="B217">
        <v>9.6020000000000021</v>
      </c>
      <c r="C217">
        <v>9.5460000000000029</v>
      </c>
      <c r="D217">
        <v>0.30610000000000009</v>
      </c>
      <c r="E217" s="3">
        <v>6679000</v>
      </c>
    </row>
    <row r="218" spans="1:5" x14ac:dyDescent="0.2">
      <c r="A218">
        <v>5231</v>
      </c>
      <c r="B218">
        <v>10.270000000000001</v>
      </c>
      <c r="C218">
        <v>10.120000000000003</v>
      </c>
      <c r="D218">
        <v>0.42190000000000011</v>
      </c>
      <c r="E218" s="3">
        <v>11940000</v>
      </c>
    </row>
    <row r="219" spans="1:5" x14ac:dyDescent="0.2">
      <c r="A219">
        <v>5232</v>
      </c>
      <c r="B219">
        <v>10.340000000000002</v>
      </c>
      <c r="C219">
        <v>10.100000000000001</v>
      </c>
      <c r="D219">
        <v>0.51080000000000014</v>
      </c>
      <c r="E219" s="3">
        <v>181000</v>
      </c>
    </row>
    <row r="220" spans="1:5" x14ac:dyDescent="0.2">
      <c r="A220">
        <v>5239</v>
      </c>
      <c r="B220">
        <v>10.150000000000002</v>
      </c>
      <c r="C220">
        <v>9.9780000000000015</v>
      </c>
      <c r="D220">
        <v>0.42540000000000011</v>
      </c>
      <c r="E220" s="3">
        <v>10190000</v>
      </c>
    </row>
    <row r="221" spans="1:5" x14ac:dyDescent="0.2">
      <c r="A221">
        <v>5241</v>
      </c>
      <c r="B221">
        <v>9.7180000000000017</v>
      </c>
      <c r="C221">
        <v>9.6000000000000014</v>
      </c>
      <c r="D221">
        <v>0.36850000000000011</v>
      </c>
      <c r="E221" s="3">
        <v>31960000</v>
      </c>
    </row>
    <row r="222" spans="1:5" x14ac:dyDescent="0.2">
      <c r="A222">
        <v>5242</v>
      </c>
      <c r="B222">
        <v>9.5530000000000026</v>
      </c>
      <c r="C222">
        <v>9.554000000000002</v>
      </c>
      <c r="D222">
        <v>0.24870000000000009</v>
      </c>
      <c r="E222" s="3">
        <v>22360000</v>
      </c>
    </row>
    <row r="223" spans="1:5" x14ac:dyDescent="0.2">
      <c r="A223">
        <v>5251</v>
      </c>
      <c r="B223">
        <v>9.6190000000000015</v>
      </c>
      <c r="C223">
        <v>9.6010000000000026</v>
      </c>
      <c r="D223">
        <v>0.32400000000000012</v>
      </c>
      <c r="E223" s="3">
        <v>676000</v>
      </c>
    </row>
    <row r="224" spans="1:5" x14ac:dyDescent="0.2">
      <c r="A224">
        <v>5259</v>
      </c>
      <c r="B224">
        <v>9.9640000000000022</v>
      </c>
      <c r="C224">
        <v>9.8270000000000017</v>
      </c>
      <c r="D224">
        <v>0.43030000000000013</v>
      </c>
      <c r="E224" s="3">
        <v>380000</v>
      </c>
    </row>
    <row r="225" spans="1:5" x14ac:dyDescent="0.2">
      <c r="A225">
        <v>5311</v>
      </c>
      <c r="B225">
        <v>9.333000000000002</v>
      </c>
      <c r="C225">
        <v>9.4000000000000021</v>
      </c>
      <c r="D225">
        <v>0.20170000000000007</v>
      </c>
      <c r="E225" s="3">
        <v>10490000</v>
      </c>
    </row>
    <row r="226" spans="1:5" x14ac:dyDescent="0.2">
      <c r="A226">
        <v>5312</v>
      </c>
      <c r="B226">
        <v>9.4780000000000015</v>
      </c>
      <c r="C226">
        <v>9.5390000000000015</v>
      </c>
      <c r="D226">
        <v>0.19560000000000005</v>
      </c>
      <c r="E226" s="3">
        <v>4917000</v>
      </c>
    </row>
    <row r="227" spans="1:5" x14ac:dyDescent="0.2">
      <c r="A227">
        <v>5313</v>
      </c>
      <c r="B227">
        <v>9.3900000000000023</v>
      </c>
      <c r="C227">
        <v>9.4340000000000028</v>
      </c>
      <c r="D227">
        <v>0.21290000000000006</v>
      </c>
      <c r="E227" s="3">
        <v>11920000</v>
      </c>
    </row>
    <row r="228" spans="1:5" x14ac:dyDescent="0.2">
      <c r="A228">
        <v>5321</v>
      </c>
      <c r="B228">
        <v>9.3480000000000025</v>
      </c>
      <c r="C228">
        <v>9.3690000000000015</v>
      </c>
      <c r="D228">
        <v>0.24750000000000008</v>
      </c>
      <c r="E228" s="3">
        <v>3443000</v>
      </c>
    </row>
    <row r="229" spans="1:5" x14ac:dyDescent="0.2">
      <c r="A229">
        <v>5322</v>
      </c>
      <c r="B229">
        <v>9.1990000000000016</v>
      </c>
      <c r="C229">
        <v>9.2610000000000028</v>
      </c>
      <c r="D229">
        <v>0.19950000000000007</v>
      </c>
      <c r="E229" s="3">
        <v>2821000</v>
      </c>
    </row>
    <row r="230" spans="1:5" x14ac:dyDescent="0.2">
      <c r="A230">
        <v>5323</v>
      </c>
      <c r="B230">
        <v>9.3610000000000024</v>
      </c>
      <c r="C230">
        <v>9.4010000000000016</v>
      </c>
      <c r="D230">
        <v>0.21580000000000008</v>
      </c>
      <c r="E230" s="3">
        <v>787000</v>
      </c>
    </row>
    <row r="231" spans="1:5" x14ac:dyDescent="0.2">
      <c r="A231">
        <v>5324</v>
      </c>
      <c r="B231">
        <v>9.6180000000000021</v>
      </c>
      <c r="C231">
        <v>9.4980000000000029</v>
      </c>
      <c r="D231">
        <v>0.35980000000000012</v>
      </c>
      <c r="E231" s="3">
        <v>3126000</v>
      </c>
    </row>
    <row r="232" spans="1:5" x14ac:dyDescent="0.2">
      <c r="A232">
        <v>5331</v>
      </c>
      <c r="B232">
        <v>9.8000000000000025</v>
      </c>
      <c r="C232">
        <v>9.7610000000000028</v>
      </c>
      <c r="D232">
        <v>0.30260000000000009</v>
      </c>
      <c r="E232" s="3">
        <v>540000</v>
      </c>
    </row>
    <row r="233" spans="1:5" x14ac:dyDescent="0.2">
      <c r="A233">
        <v>5411</v>
      </c>
      <c r="B233">
        <v>9.724000000000002</v>
      </c>
      <c r="C233">
        <v>9.6800000000000015</v>
      </c>
      <c r="D233">
        <v>0.3086000000000001</v>
      </c>
      <c r="E233" s="3">
        <v>26120000</v>
      </c>
    </row>
    <row r="234" spans="1:5" x14ac:dyDescent="0.2">
      <c r="A234">
        <v>5412</v>
      </c>
      <c r="B234">
        <v>9.6480000000000015</v>
      </c>
      <c r="C234">
        <v>9.663000000000002</v>
      </c>
      <c r="D234">
        <v>0.25480000000000008</v>
      </c>
      <c r="E234" s="3">
        <v>19070000</v>
      </c>
    </row>
    <row r="235" spans="1:5" x14ac:dyDescent="0.2">
      <c r="A235">
        <v>5413</v>
      </c>
      <c r="B235">
        <v>9.7910000000000021</v>
      </c>
      <c r="C235">
        <v>9.6970000000000027</v>
      </c>
      <c r="D235">
        <v>0.35280000000000011</v>
      </c>
      <c r="E235" s="3">
        <v>33350000</v>
      </c>
    </row>
    <row r="236" spans="1:5" x14ac:dyDescent="0.2">
      <c r="A236">
        <v>5414</v>
      </c>
      <c r="B236">
        <v>9.5700000000000021</v>
      </c>
      <c r="C236">
        <v>9.6130000000000031</v>
      </c>
      <c r="D236">
        <v>0.22070000000000006</v>
      </c>
      <c r="E236" s="3">
        <v>2627000</v>
      </c>
    </row>
    <row r="237" spans="1:5" x14ac:dyDescent="0.2">
      <c r="A237">
        <v>5415</v>
      </c>
      <c r="B237">
        <v>9.9600000000000026</v>
      </c>
      <c r="C237">
        <v>9.8340000000000032</v>
      </c>
      <c r="D237">
        <v>0.37470000000000014</v>
      </c>
      <c r="E237" s="3">
        <v>44010000</v>
      </c>
    </row>
    <row r="238" spans="1:5" x14ac:dyDescent="0.2">
      <c r="A238">
        <v>5416</v>
      </c>
      <c r="B238">
        <v>9.7960000000000029</v>
      </c>
      <c r="C238">
        <v>9.7290000000000028</v>
      </c>
      <c r="D238">
        <v>0.32200000000000012</v>
      </c>
      <c r="E238" s="3">
        <v>25630000</v>
      </c>
    </row>
    <row r="239" spans="1:5" x14ac:dyDescent="0.2">
      <c r="A239">
        <v>5417</v>
      </c>
      <c r="B239">
        <v>10.010000000000002</v>
      </c>
      <c r="C239">
        <v>9.8290000000000024</v>
      </c>
      <c r="D239">
        <v>0.44580000000000014</v>
      </c>
      <c r="E239" s="3">
        <v>17000000</v>
      </c>
    </row>
    <row r="240" spans="1:5" x14ac:dyDescent="0.2">
      <c r="A240">
        <v>5418</v>
      </c>
      <c r="B240">
        <v>9.7070000000000025</v>
      </c>
      <c r="C240">
        <v>9.7130000000000027</v>
      </c>
      <c r="D240">
        <v>0.2733000000000001</v>
      </c>
      <c r="E240" s="3">
        <v>9523000</v>
      </c>
    </row>
    <row r="241" spans="1:5" x14ac:dyDescent="0.2">
      <c r="A241">
        <v>5419</v>
      </c>
      <c r="B241">
        <v>9.3720000000000017</v>
      </c>
      <c r="C241">
        <v>9.4830000000000023</v>
      </c>
      <c r="D241">
        <v>0.14710000000000004</v>
      </c>
      <c r="E241" s="3">
        <v>11160000</v>
      </c>
    </row>
    <row r="242" spans="1:5" x14ac:dyDescent="0.2">
      <c r="A242">
        <v>5511</v>
      </c>
      <c r="B242">
        <v>9.7210000000000019</v>
      </c>
      <c r="C242">
        <v>9.6410000000000018</v>
      </c>
      <c r="D242">
        <v>0.3368000000000001</v>
      </c>
      <c r="E242" s="3">
        <v>54190000</v>
      </c>
    </row>
    <row r="243" spans="1:5" x14ac:dyDescent="0.2">
      <c r="A243">
        <v>5611</v>
      </c>
      <c r="B243">
        <v>9.6130000000000031</v>
      </c>
      <c r="C243">
        <v>9.5840000000000014</v>
      </c>
      <c r="D243">
        <v>0.2803000000000001</v>
      </c>
      <c r="E243" s="3">
        <v>9669000</v>
      </c>
    </row>
    <row r="244" spans="1:5" x14ac:dyDescent="0.2">
      <c r="A244">
        <v>5612</v>
      </c>
      <c r="B244">
        <v>9.3640000000000025</v>
      </c>
      <c r="C244">
        <v>9.2900000000000027</v>
      </c>
      <c r="D244">
        <v>0.33400000000000013</v>
      </c>
      <c r="E244" s="3">
        <v>2856000</v>
      </c>
    </row>
    <row r="245" spans="1:5" x14ac:dyDescent="0.2">
      <c r="A245">
        <v>5613</v>
      </c>
      <c r="B245">
        <v>9.1930000000000014</v>
      </c>
      <c r="C245">
        <v>9.3200000000000021</v>
      </c>
      <c r="D245">
        <v>0.13970000000000005</v>
      </c>
      <c r="E245" s="3">
        <v>31940000</v>
      </c>
    </row>
    <row r="246" spans="1:5" x14ac:dyDescent="0.2">
      <c r="A246">
        <v>5614</v>
      </c>
      <c r="B246">
        <v>9.2040000000000024</v>
      </c>
      <c r="C246">
        <v>9.2790000000000017</v>
      </c>
      <c r="D246">
        <v>0.18560000000000007</v>
      </c>
      <c r="E246" s="3">
        <v>15140000</v>
      </c>
    </row>
    <row r="247" spans="1:5" x14ac:dyDescent="0.2">
      <c r="A247">
        <v>5615</v>
      </c>
      <c r="B247">
        <v>9.4090000000000025</v>
      </c>
      <c r="C247">
        <v>9.4510000000000023</v>
      </c>
      <c r="D247">
        <v>0.21480000000000007</v>
      </c>
      <c r="E247" s="3">
        <v>4166000</v>
      </c>
    </row>
    <row r="248" spans="1:5" x14ac:dyDescent="0.2">
      <c r="A248">
        <v>5616</v>
      </c>
      <c r="B248">
        <v>9.0740000000000016</v>
      </c>
      <c r="C248">
        <v>9.2200000000000024</v>
      </c>
      <c r="D248">
        <v>0.13480000000000003</v>
      </c>
      <c r="E248" s="3">
        <v>13080000</v>
      </c>
    </row>
    <row r="249" spans="1:5" x14ac:dyDescent="0.2">
      <c r="A249">
        <v>5617</v>
      </c>
      <c r="B249">
        <v>9.0600000000000023</v>
      </c>
      <c r="C249">
        <v>9.203000000000003</v>
      </c>
      <c r="D249">
        <v>0.11250000000000003</v>
      </c>
      <c r="E249" s="3">
        <v>24600000</v>
      </c>
    </row>
    <row r="250" spans="1:5" x14ac:dyDescent="0.2">
      <c r="A250">
        <v>5619</v>
      </c>
      <c r="B250">
        <v>9.3850000000000016</v>
      </c>
      <c r="C250">
        <v>9.4140000000000015</v>
      </c>
      <c r="D250">
        <v>0.22440000000000007</v>
      </c>
      <c r="E250" s="3">
        <v>4777000</v>
      </c>
    </row>
    <row r="251" spans="1:5" x14ac:dyDescent="0.2">
      <c r="A251">
        <v>5621</v>
      </c>
      <c r="B251">
        <v>9.4100000000000019</v>
      </c>
      <c r="C251">
        <v>9.3200000000000021</v>
      </c>
      <c r="D251">
        <v>0.33370000000000011</v>
      </c>
      <c r="E251" s="3">
        <v>3683000</v>
      </c>
    </row>
    <row r="252" spans="1:5" x14ac:dyDescent="0.2">
      <c r="A252">
        <v>5622</v>
      </c>
      <c r="B252">
        <v>9.6120000000000019</v>
      </c>
      <c r="C252">
        <v>9.4650000000000016</v>
      </c>
      <c r="D252">
        <v>0.40290000000000015</v>
      </c>
      <c r="E252" s="3">
        <v>3174000</v>
      </c>
    </row>
    <row r="253" spans="1:5" x14ac:dyDescent="0.2">
      <c r="A253">
        <v>5629</v>
      </c>
      <c r="B253">
        <v>9.4650000000000016</v>
      </c>
      <c r="C253">
        <v>9.3980000000000015</v>
      </c>
      <c r="D253">
        <v>0.31950000000000012</v>
      </c>
      <c r="E253" s="3">
        <v>2704000</v>
      </c>
    </row>
    <row r="254" spans="1:5" x14ac:dyDescent="0.2">
      <c r="A254">
        <v>6111</v>
      </c>
      <c r="B254">
        <v>9.3580000000000023</v>
      </c>
      <c r="C254">
        <v>9.4770000000000021</v>
      </c>
      <c r="D254">
        <v>0.13240000000000005</v>
      </c>
      <c r="E254" s="3">
        <v>180800000</v>
      </c>
    </row>
    <row r="255" spans="1:5" x14ac:dyDescent="0.2">
      <c r="A255">
        <v>6112</v>
      </c>
      <c r="B255">
        <v>9.4190000000000023</v>
      </c>
      <c r="C255">
        <v>9.6060000000000016</v>
      </c>
      <c r="D255">
        <v>7.5100000000000028E-2</v>
      </c>
      <c r="E255" s="3">
        <v>11200000</v>
      </c>
    </row>
    <row r="256" spans="1:5" x14ac:dyDescent="0.2">
      <c r="A256">
        <v>6113</v>
      </c>
      <c r="B256">
        <v>9.5420000000000016</v>
      </c>
      <c r="C256">
        <v>9.658000000000003</v>
      </c>
      <c r="D256">
        <v>0.14210000000000003</v>
      </c>
      <c r="E256" s="3">
        <v>61170000</v>
      </c>
    </row>
    <row r="257" spans="1:5" x14ac:dyDescent="0.2">
      <c r="A257">
        <v>6114</v>
      </c>
      <c r="B257">
        <v>9.5710000000000015</v>
      </c>
      <c r="C257">
        <v>9.5920000000000023</v>
      </c>
      <c r="D257">
        <v>0.24050000000000007</v>
      </c>
      <c r="E257" s="3">
        <v>1452000</v>
      </c>
    </row>
    <row r="258" spans="1:5" x14ac:dyDescent="0.2">
      <c r="A258">
        <v>6115</v>
      </c>
      <c r="B258">
        <v>9.3590000000000018</v>
      </c>
      <c r="C258">
        <v>9.4350000000000023</v>
      </c>
      <c r="D258">
        <v>0.18730000000000005</v>
      </c>
      <c r="E258" s="3">
        <v>2586000</v>
      </c>
    </row>
    <row r="259" spans="1:5" x14ac:dyDescent="0.2">
      <c r="A259">
        <v>6116</v>
      </c>
      <c r="B259">
        <v>9.2060000000000031</v>
      </c>
      <c r="C259">
        <v>9.4270000000000014</v>
      </c>
      <c r="D259">
        <v>4.9780000000000019E-2</v>
      </c>
      <c r="E259" s="3">
        <v>3195000</v>
      </c>
    </row>
    <row r="260" spans="1:5" x14ac:dyDescent="0.2">
      <c r="A260">
        <v>6117</v>
      </c>
      <c r="B260">
        <v>9.4640000000000022</v>
      </c>
      <c r="C260">
        <v>9.5320000000000018</v>
      </c>
      <c r="D260">
        <v>0.18610000000000007</v>
      </c>
      <c r="E260" s="3">
        <v>2558000</v>
      </c>
    </row>
    <row r="261" spans="1:5" x14ac:dyDescent="0.2">
      <c r="A261">
        <v>6211</v>
      </c>
      <c r="B261">
        <v>9.5190000000000019</v>
      </c>
      <c r="C261">
        <v>9.5520000000000032</v>
      </c>
      <c r="D261">
        <v>0.21890000000000007</v>
      </c>
      <c r="E261" s="3">
        <v>53920000</v>
      </c>
    </row>
    <row r="262" spans="1:5" x14ac:dyDescent="0.2">
      <c r="A262">
        <v>6212</v>
      </c>
      <c r="B262">
        <v>9.2780000000000022</v>
      </c>
      <c r="C262">
        <v>9.4060000000000024</v>
      </c>
      <c r="D262">
        <v>0.12920000000000004</v>
      </c>
      <c r="E262" s="3">
        <v>17430000</v>
      </c>
    </row>
    <row r="263" spans="1:5" x14ac:dyDescent="0.2">
      <c r="A263">
        <v>6213</v>
      </c>
      <c r="B263">
        <v>9.2780000000000022</v>
      </c>
      <c r="C263">
        <v>9.4180000000000028</v>
      </c>
      <c r="D263">
        <v>0.10870000000000003</v>
      </c>
      <c r="E263" s="3">
        <v>13080000</v>
      </c>
    </row>
    <row r="264" spans="1:5" x14ac:dyDescent="0.2">
      <c r="A264">
        <v>6214</v>
      </c>
      <c r="B264">
        <v>9.4380000000000024</v>
      </c>
      <c r="C264">
        <v>9.4380000000000024</v>
      </c>
      <c r="D264">
        <v>0.24900000000000008</v>
      </c>
      <c r="E264" s="3">
        <v>16800000</v>
      </c>
    </row>
    <row r="265" spans="1:5" x14ac:dyDescent="0.2">
      <c r="A265">
        <v>6215</v>
      </c>
      <c r="B265">
        <v>9.4300000000000015</v>
      </c>
      <c r="C265">
        <v>9.4140000000000015</v>
      </c>
      <c r="D265">
        <v>0.27120000000000011</v>
      </c>
      <c r="E265" s="3">
        <v>5808000</v>
      </c>
    </row>
    <row r="266" spans="1:5" x14ac:dyDescent="0.2">
      <c r="A266">
        <v>6216</v>
      </c>
      <c r="B266">
        <v>9.2000000000000028</v>
      </c>
      <c r="C266">
        <v>9.3080000000000016</v>
      </c>
      <c r="D266">
        <v>0.14250000000000004</v>
      </c>
      <c r="E266" s="3">
        <v>14980000</v>
      </c>
    </row>
    <row r="267" spans="1:5" x14ac:dyDescent="0.2">
      <c r="A267">
        <v>6219</v>
      </c>
      <c r="B267">
        <v>9.3110000000000017</v>
      </c>
      <c r="C267">
        <v>9.3520000000000021</v>
      </c>
      <c r="D267">
        <v>0.21910000000000007</v>
      </c>
      <c r="E267" s="3">
        <v>5495000</v>
      </c>
    </row>
    <row r="268" spans="1:5" x14ac:dyDescent="0.2">
      <c r="A268">
        <v>6221</v>
      </c>
      <c r="B268">
        <v>9.4870000000000019</v>
      </c>
      <c r="C268">
        <v>9.5080000000000027</v>
      </c>
      <c r="D268">
        <v>0.23820000000000008</v>
      </c>
      <c r="E268" s="3">
        <v>127300000</v>
      </c>
    </row>
    <row r="269" spans="1:5" x14ac:dyDescent="0.2">
      <c r="A269">
        <v>6222</v>
      </c>
      <c r="B269">
        <v>9.3410000000000029</v>
      </c>
      <c r="C269">
        <v>9.3570000000000029</v>
      </c>
      <c r="D269">
        <v>0.24680000000000007</v>
      </c>
      <c r="E269" s="3">
        <v>5379000</v>
      </c>
    </row>
    <row r="270" spans="1:5" x14ac:dyDescent="0.2">
      <c r="A270">
        <v>6223</v>
      </c>
      <c r="B270">
        <v>9.5360000000000031</v>
      </c>
      <c r="C270">
        <v>9.5350000000000019</v>
      </c>
      <c r="D270">
        <v>0.25980000000000009</v>
      </c>
      <c r="E270" s="3">
        <v>5830000</v>
      </c>
    </row>
    <row r="271" spans="1:5" x14ac:dyDescent="0.2">
      <c r="A271">
        <v>6231</v>
      </c>
      <c r="B271">
        <v>9.0740000000000016</v>
      </c>
      <c r="C271">
        <v>9.1750000000000025</v>
      </c>
      <c r="D271">
        <v>0.16300000000000006</v>
      </c>
      <c r="E271" s="3">
        <v>29790000</v>
      </c>
    </row>
    <row r="272" spans="1:5" x14ac:dyDescent="0.2">
      <c r="A272">
        <v>6232</v>
      </c>
      <c r="B272">
        <v>9.0600000000000023</v>
      </c>
      <c r="C272">
        <v>9.1700000000000017</v>
      </c>
      <c r="D272">
        <v>0.15780000000000005</v>
      </c>
      <c r="E272" s="3">
        <v>12390000</v>
      </c>
    </row>
    <row r="273" spans="1:5" x14ac:dyDescent="0.2">
      <c r="A273">
        <v>6233</v>
      </c>
      <c r="B273">
        <v>8.9720000000000013</v>
      </c>
      <c r="C273">
        <v>9.1230000000000029</v>
      </c>
      <c r="D273">
        <v>0.11260000000000003</v>
      </c>
      <c r="E273" s="3">
        <v>12190000</v>
      </c>
    </row>
    <row r="274" spans="1:5" x14ac:dyDescent="0.2">
      <c r="A274">
        <v>6239</v>
      </c>
      <c r="B274">
        <v>9.0730000000000022</v>
      </c>
      <c r="C274">
        <v>9.1970000000000027</v>
      </c>
      <c r="D274">
        <v>0.14340000000000006</v>
      </c>
      <c r="E274" s="3">
        <v>3147000</v>
      </c>
    </row>
    <row r="275" spans="1:5" x14ac:dyDescent="0.2">
      <c r="A275">
        <v>6241</v>
      </c>
      <c r="B275">
        <v>9.0810000000000013</v>
      </c>
      <c r="C275">
        <v>9.2210000000000019</v>
      </c>
      <c r="D275">
        <v>0.11900000000000004</v>
      </c>
      <c r="E275" s="3">
        <v>23500000</v>
      </c>
    </row>
    <row r="276" spans="1:5" x14ac:dyDescent="0.2">
      <c r="A276">
        <v>6242</v>
      </c>
      <c r="B276">
        <v>9.1830000000000016</v>
      </c>
      <c r="C276">
        <v>9.3170000000000019</v>
      </c>
      <c r="D276">
        <v>0.12940000000000004</v>
      </c>
      <c r="E276" s="3">
        <v>2848000</v>
      </c>
    </row>
    <row r="277" spans="1:5" x14ac:dyDescent="0.2">
      <c r="A277">
        <v>6243</v>
      </c>
      <c r="B277">
        <v>9.0120000000000022</v>
      </c>
      <c r="C277">
        <v>9.1680000000000028</v>
      </c>
      <c r="D277">
        <v>0.11190000000000004</v>
      </c>
      <c r="E277" s="3">
        <v>5435000</v>
      </c>
    </row>
    <row r="278" spans="1:5" x14ac:dyDescent="0.2">
      <c r="A278">
        <v>6244</v>
      </c>
      <c r="B278">
        <v>8.8270000000000017</v>
      </c>
      <c r="C278">
        <v>9.0810000000000013</v>
      </c>
      <c r="D278">
        <v>1.3760000000000007E-2</v>
      </c>
      <c r="E278" s="3">
        <v>11380000</v>
      </c>
    </row>
    <row r="279" spans="1:5" x14ac:dyDescent="0.2">
      <c r="A279">
        <v>7111</v>
      </c>
      <c r="B279">
        <v>9.3740000000000023</v>
      </c>
      <c r="C279">
        <v>9.517000000000003</v>
      </c>
      <c r="D279">
        <v>0.13400000000000004</v>
      </c>
      <c r="E279" s="3">
        <v>1398000</v>
      </c>
    </row>
    <row r="280" spans="1:5" x14ac:dyDescent="0.2">
      <c r="A280">
        <v>7112</v>
      </c>
      <c r="B280">
        <v>9.6560000000000024</v>
      </c>
      <c r="C280">
        <v>9.7360000000000024</v>
      </c>
      <c r="D280">
        <v>0.19250000000000006</v>
      </c>
      <c r="E280" s="3">
        <v>1739000</v>
      </c>
    </row>
    <row r="281" spans="1:5" x14ac:dyDescent="0.2">
      <c r="A281">
        <v>7113</v>
      </c>
      <c r="B281">
        <v>9.4820000000000029</v>
      </c>
      <c r="C281">
        <v>9.5770000000000017</v>
      </c>
      <c r="D281">
        <v>0.16970000000000005</v>
      </c>
      <c r="E281" s="3">
        <v>1254000</v>
      </c>
    </row>
    <row r="282" spans="1:5" x14ac:dyDescent="0.2">
      <c r="A282">
        <v>7114</v>
      </c>
      <c r="B282">
        <v>9.724000000000002</v>
      </c>
      <c r="C282">
        <v>9.8060000000000027</v>
      </c>
      <c r="D282">
        <v>0.22150000000000006</v>
      </c>
      <c r="E282" s="3">
        <v>420000</v>
      </c>
    </row>
    <row r="283" spans="1:5" x14ac:dyDescent="0.2">
      <c r="A283">
        <v>7115</v>
      </c>
      <c r="B283">
        <v>9.5760000000000023</v>
      </c>
      <c r="C283">
        <v>9.6110000000000024</v>
      </c>
      <c r="D283">
        <v>0.23060000000000008</v>
      </c>
      <c r="E283" s="3">
        <v>628000</v>
      </c>
    </row>
    <row r="284" spans="1:5" x14ac:dyDescent="0.2">
      <c r="A284">
        <v>7121</v>
      </c>
      <c r="B284">
        <v>9.3230000000000022</v>
      </c>
      <c r="C284">
        <v>9.4550000000000018</v>
      </c>
      <c r="D284">
        <v>0.13780000000000003</v>
      </c>
      <c r="E284" s="3">
        <v>3657000</v>
      </c>
    </row>
    <row r="285" spans="1:5" x14ac:dyDescent="0.2">
      <c r="A285">
        <v>7131</v>
      </c>
      <c r="B285">
        <v>9.1370000000000022</v>
      </c>
      <c r="C285">
        <v>9.3500000000000014</v>
      </c>
      <c r="D285">
        <v>6.0460000000000028E-2</v>
      </c>
      <c r="E285" s="3">
        <v>2132000</v>
      </c>
    </row>
    <row r="286" spans="1:5" x14ac:dyDescent="0.2">
      <c r="A286">
        <v>7132</v>
      </c>
      <c r="B286">
        <v>9.0650000000000013</v>
      </c>
      <c r="C286">
        <v>9.1640000000000015</v>
      </c>
      <c r="D286">
        <v>0.16700000000000007</v>
      </c>
      <c r="E286" s="3">
        <v>5572000</v>
      </c>
    </row>
    <row r="287" spans="1:5" x14ac:dyDescent="0.2">
      <c r="A287">
        <v>7139</v>
      </c>
      <c r="B287">
        <v>9.1990000000000016</v>
      </c>
      <c r="C287">
        <v>9.381000000000002</v>
      </c>
      <c r="D287">
        <v>8.663000000000004E-2</v>
      </c>
      <c r="E287" s="3">
        <v>12120000</v>
      </c>
    </row>
    <row r="288" spans="1:5" x14ac:dyDescent="0.2">
      <c r="A288">
        <v>7211</v>
      </c>
      <c r="B288">
        <v>9.0720000000000027</v>
      </c>
      <c r="C288">
        <v>9.2070000000000025</v>
      </c>
      <c r="D288">
        <v>0.12770000000000004</v>
      </c>
      <c r="E288" s="3">
        <v>28700000</v>
      </c>
    </row>
    <row r="289" spans="1:5" x14ac:dyDescent="0.2">
      <c r="A289">
        <v>7212</v>
      </c>
      <c r="B289">
        <v>9.0710000000000015</v>
      </c>
      <c r="C289">
        <v>9.3260000000000023</v>
      </c>
      <c r="D289">
        <v>4.6760000000000013E-3</v>
      </c>
      <c r="E289" s="3">
        <v>501000</v>
      </c>
    </row>
    <row r="290" spans="1:5" x14ac:dyDescent="0.2">
      <c r="A290">
        <v>7213</v>
      </c>
      <c r="B290">
        <v>9.0270000000000028</v>
      </c>
      <c r="C290">
        <v>9.1820000000000022</v>
      </c>
      <c r="D290">
        <v>0.11140000000000004</v>
      </c>
      <c r="E290" s="3">
        <v>126000</v>
      </c>
    </row>
    <row r="291" spans="1:5" x14ac:dyDescent="0.2">
      <c r="A291">
        <v>7223</v>
      </c>
      <c r="B291">
        <v>9.0190000000000019</v>
      </c>
      <c r="C291">
        <v>9.1900000000000031</v>
      </c>
      <c r="D291">
        <v>8.9760000000000034E-2</v>
      </c>
      <c r="E291" s="3">
        <v>7343000</v>
      </c>
    </row>
    <row r="292" spans="1:5" x14ac:dyDescent="0.2">
      <c r="A292">
        <v>7224</v>
      </c>
      <c r="B292">
        <v>8.8850000000000016</v>
      </c>
      <c r="C292">
        <v>9.2260000000000026</v>
      </c>
      <c r="D292">
        <v>-8.7270000000000042E-2</v>
      </c>
      <c r="E292" s="3">
        <v>2500000</v>
      </c>
    </row>
    <row r="293" spans="1:5" x14ac:dyDescent="0.2">
      <c r="A293">
        <v>7225</v>
      </c>
      <c r="B293">
        <v>8.8960000000000026</v>
      </c>
      <c r="C293">
        <v>9.1680000000000028</v>
      </c>
      <c r="D293">
        <v>3.3490000000000025E-11</v>
      </c>
      <c r="E293" s="3">
        <v>66700000</v>
      </c>
    </row>
    <row r="294" spans="1:5" x14ac:dyDescent="0.2">
      <c r="A294">
        <v>8111</v>
      </c>
      <c r="B294">
        <v>9.224000000000002</v>
      </c>
      <c r="C294">
        <v>9.3580000000000023</v>
      </c>
      <c r="D294">
        <v>0.12190000000000004</v>
      </c>
      <c r="E294" s="3">
        <v>15090000</v>
      </c>
    </row>
    <row r="295" spans="1:5" x14ac:dyDescent="0.2">
      <c r="A295">
        <v>8112</v>
      </c>
      <c r="B295">
        <v>9.458000000000002</v>
      </c>
      <c r="C295">
        <v>9.4680000000000017</v>
      </c>
      <c r="D295">
        <v>0.24950000000000008</v>
      </c>
      <c r="E295" s="3">
        <v>2174000</v>
      </c>
    </row>
    <row r="296" spans="1:5" x14ac:dyDescent="0.2">
      <c r="A296">
        <v>8113</v>
      </c>
      <c r="B296">
        <v>9.4940000000000015</v>
      </c>
      <c r="C296">
        <v>9.4630000000000027</v>
      </c>
      <c r="D296">
        <v>0.28080000000000011</v>
      </c>
      <c r="E296" s="3">
        <v>4222000</v>
      </c>
    </row>
    <row r="297" spans="1:5" x14ac:dyDescent="0.2">
      <c r="A297">
        <v>8114</v>
      </c>
      <c r="B297">
        <v>9.1560000000000024</v>
      </c>
      <c r="C297">
        <v>9.3310000000000031</v>
      </c>
      <c r="D297">
        <v>8.477000000000004E-2</v>
      </c>
      <c r="E297" s="3">
        <v>1108000</v>
      </c>
    </row>
    <row r="298" spans="1:5" x14ac:dyDescent="0.2">
      <c r="A298">
        <v>8121</v>
      </c>
      <c r="B298">
        <v>8.9480000000000022</v>
      </c>
      <c r="C298">
        <v>9.2290000000000028</v>
      </c>
      <c r="D298">
        <v>-1.4830000000000006E-2</v>
      </c>
      <c r="E298" s="3">
        <v>7255000</v>
      </c>
    </row>
    <row r="299" spans="1:5" x14ac:dyDescent="0.2">
      <c r="A299">
        <v>8122</v>
      </c>
      <c r="B299">
        <v>9.3120000000000029</v>
      </c>
      <c r="C299">
        <v>9.4520000000000017</v>
      </c>
      <c r="D299">
        <v>0.12360000000000004</v>
      </c>
      <c r="E299" s="3">
        <v>1849000</v>
      </c>
    </row>
    <row r="300" spans="1:5" x14ac:dyDescent="0.2">
      <c r="A300">
        <v>8123</v>
      </c>
      <c r="B300">
        <v>9.0110000000000028</v>
      </c>
      <c r="C300">
        <v>9.1240000000000023</v>
      </c>
      <c r="D300">
        <v>0.14440000000000006</v>
      </c>
      <c r="E300" s="3">
        <v>4431000</v>
      </c>
    </row>
    <row r="301" spans="1:5" x14ac:dyDescent="0.2">
      <c r="A301">
        <v>8129</v>
      </c>
      <c r="B301">
        <v>9.0340000000000025</v>
      </c>
      <c r="C301">
        <v>9.2480000000000029</v>
      </c>
      <c r="D301">
        <v>5.9020000000000024E-2</v>
      </c>
      <c r="E301" s="3">
        <v>3366000</v>
      </c>
    </row>
    <row r="302" spans="1:5" x14ac:dyDescent="0.2">
      <c r="A302">
        <v>8131</v>
      </c>
      <c r="B302">
        <v>9.1490000000000027</v>
      </c>
      <c r="C302">
        <v>9.4050000000000029</v>
      </c>
      <c r="D302">
        <v>2.7720000000000012E-2</v>
      </c>
      <c r="E302" s="3">
        <v>2374000</v>
      </c>
    </row>
    <row r="303" spans="1:5" x14ac:dyDescent="0.2">
      <c r="A303">
        <v>8132</v>
      </c>
      <c r="B303">
        <v>9.5770000000000017</v>
      </c>
      <c r="C303">
        <v>9.6200000000000028</v>
      </c>
      <c r="D303">
        <v>0.22350000000000006</v>
      </c>
      <c r="E303" s="3">
        <v>2906000</v>
      </c>
    </row>
    <row r="304" spans="1:5" x14ac:dyDescent="0.2">
      <c r="A304">
        <v>8133</v>
      </c>
      <c r="B304">
        <v>9.3510000000000026</v>
      </c>
      <c r="C304">
        <v>9.453000000000003</v>
      </c>
      <c r="D304">
        <v>0.16460000000000005</v>
      </c>
      <c r="E304" s="3">
        <v>4009000</v>
      </c>
    </row>
    <row r="305" spans="1:5" x14ac:dyDescent="0.2">
      <c r="A305">
        <v>8134</v>
      </c>
      <c r="B305">
        <v>9.1730000000000018</v>
      </c>
      <c r="C305">
        <v>9.3590000000000018</v>
      </c>
      <c r="D305">
        <v>9.0290000000000037E-2</v>
      </c>
      <c r="E305" s="3">
        <v>3138000</v>
      </c>
    </row>
    <row r="306" spans="1:5" x14ac:dyDescent="0.2">
      <c r="A306">
        <v>8139</v>
      </c>
      <c r="B306">
        <v>9.6240000000000023</v>
      </c>
      <c r="C306">
        <v>9.6050000000000022</v>
      </c>
      <c r="D306">
        <v>0.28520000000000006</v>
      </c>
      <c r="E306" s="3">
        <v>7716000</v>
      </c>
    </row>
    <row r="307" spans="1:5" x14ac:dyDescent="0.2">
      <c r="A307">
        <v>8141</v>
      </c>
      <c r="B307">
        <v>9.0750000000000028</v>
      </c>
      <c r="C307">
        <v>9.1490000000000027</v>
      </c>
      <c r="D307">
        <v>0.20610000000000006</v>
      </c>
      <c r="E307" s="3">
        <v>1691000</v>
      </c>
    </row>
    <row r="308" spans="1:5" x14ac:dyDescent="0.2">
      <c r="A308">
        <v>9211</v>
      </c>
      <c r="B308">
        <v>9.4510000000000023</v>
      </c>
      <c r="C308">
        <v>9.4340000000000028</v>
      </c>
      <c r="D308">
        <v>0.26800000000000007</v>
      </c>
      <c r="E308" s="3">
        <v>66660000</v>
      </c>
    </row>
    <row r="309" spans="1:5" x14ac:dyDescent="0.2">
      <c r="A309">
        <v>9221</v>
      </c>
      <c r="B309">
        <v>9.5160000000000018</v>
      </c>
      <c r="C309">
        <v>9.4450000000000021</v>
      </c>
      <c r="D309">
        <v>0.32350000000000012</v>
      </c>
      <c r="E309" s="3">
        <v>42340000</v>
      </c>
    </row>
    <row r="310" spans="1:5" x14ac:dyDescent="0.2">
      <c r="A310">
        <v>9231</v>
      </c>
      <c r="B310">
        <v>9.4280000000000026</v>
      </c>
      <c r="C310">
        <v>9.4490000000000016</v>
      </c>
      <c r="D310">
        <v>0.24250000000000008</v>
      </c>
      <c r="E310" s="3">
        <v>15820000</v>
      </c>
    </row>
    <row r="311" spans="1:5" x14ac:dyDescent="0.2">
      <c r="A311">
        <v>9241</v>
      </c>
      <c r="B311">
        <v>9.5150000000000023</v>
      </c>
      <c r="C311">
        <v>9.5280000000000022</v>
      </c>
      <c r="D311">
        <v>0.24660000000000007</v>
      </c>
      <c r="E311" s="3">
        <v>5192000</v>
      </c>
    </row>
    <row r="312" spans="1:5" x14ac:dyDescent="0.2">
      <c r="A312">
        <v>9251</v>
      </c>
      <c r="B312">
        <v>9.4330000000000016</v>
      </c>
      <c r="C312">
        <v>9.4450000000000021</v>
      </c>
      <c r="D312">
        <v>0.2511000000000001</v>
      </c>
      <c r="E312" s="3">
        <v>1982000</v>
      </c>
    </row>
    <row r="313" spans="1:5" x14ac:dyDescent="0.2">
      <c r="A313">
        <v>9261</v>
      </c>
      <c r="B313">
        <v>9.4750000000000014</v>
      </c>
      <c r="C313">
        <v>9.4940000000000015</v>
      </c>
      <c r="D313">
        <v>0.24460000000000007</v>
      </c>
      <c r="E313" s="3">
        <v>9434000</v>
      </c>
    </row>
    <row r="314" spans="1:5" x14ac:dyDescent="0.2">
      <c r="A314">
        <v>9281</v>
      </c>
      <c r="B314">
        <v>9.267000000000003</v>
      </c>
      <c r="C314">
        <v>9.3300000000000018</v>
      </c>
      <c r="D314">
        <v>0.19270000000000007</v>
      </c>
      <c r="E314" s="3">
        <v>405000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163D-3C80-45D2-8D81-22AB229D78B2}">
  <dimension ref="A1:D314"/>
  <sheetViews>
    <sheetView zoomScale="88" zoomScaleNormal="88" workbookViewId="0">
      <selection activeCell="D314" sqref="B4:D314"/>
    </sheetView>
  </sheetViews>
  <sheetFormatPr baseColWidth="10" defaultColWidth="8.83203125" defaultRowHeight="15" x14ac:dyDescent="0.2"/>
  <cols>
    <col min="1" max="4" width="29.6640625" style="1" customWidth="1"/>
    <col min="5" max="16384" width="8.83203125" style="1"/>
  </cols>
  <sheetData>
    <row r="1" spans="1:4" x14ac:dyDescent="0.2">
      <c r="A1" s="6" t="s">
        <v>148</v>
      </c>
      <c r="D1" s="3"/>
    </row>
    <row r="2" spans="1:4" x14ac:dyDescent="0.2">
      <c r="D2" s="3"/>
    </row>
    <row r="3" spans="1:4" x14ac:dyDescent="0.2">
      <c r="A3" s="1" t="s">
        <v>11</v>
      </c>
      <c r="B3" s="1" t="s">
        <v>146</v>
      </c>
      <c r="C3" s="1" t="s">
        <v>147</v>
      </c>
      <c r="D3" s="3" t="s">
        <v>15</v>
      </c>
    </row>
    <row r="4" spans="1:4" x14ac:dyDescent="0.2">
      <c r="A4" s="1">
        <v>1111</v>
      </c>
      <c r="B4" s="1">
        <v>-0.30380000000000007</v>
      </c>
      <c r="C4" s="1">
        <v>-6.7550000000000023E-3</v>
      </c>
      <c r="D4" s="3">
        <v>171000</v>
      </c>
    </row>
    <row r="5" spans="1:4" x14ac:dyDescent="0.2">
      <c r="A5" s="1">
        <v>1112</v>
      </c>
      <c r="B5" s="1">
        <v>-0.29390000000000011</v>
      </c>
      <c r="C5" s="1">
        <v>-1.2100000000000005E-2</v>
      </c>
      <c r="D5" s="3">
        <v>217000</v>
      </c>
    </row>
    <row r="6" spans="1:4" x14ac:dyDescent="0.2">
      <c r="A6" s="1">
        <v>1113</v>
      </c>
      <c r="B6" s="1">
        <v>-0.39490000000000014</v>
      </c>
      <c r="C6" s="1">
        <v>-5.5090000000000021E-2</v>
      </c>
      <c r="D6" s="3">
        <v>317000</v>
      </c>
    </row>
    <row r="7" spans="1:4" x14ac:dyDescent="0.2">
      <c r="A7" s="1">
        <v>1114</v>
      </c>
      <c r="B7" s="1">
        <v>-0.3766000000000001</v>
      </c>
      <c r="C7" s="1">
        <v>-3.2870000000000017E-2</v>
      </c>
      <c r="D7" s="3">
        <v>418000</v>
      </c>
    </row>
    <row r="8" spans="1:4" x14ac:dyDescent="0.2">
      <c r="A8" s="1">
        <v>1119</v>
      </c>
      <c r="B8" s="1">
        <v>-0.35630000000000012</v>
      </c>
      <c r="C8" s="1">
        <v>-1.8700000000000008E-2</v>
      </c>
      <c r="D8" s="3">
        <v>186000</v>
      </c>
    </row>
    <row r="9" spans="1:4" x14ac:dyDescent="0.2">
      <c r="A9" s="1">
        <v>1121</v>
      </c>
      <c r="B9" s="1">
        <v>-0.34010000000000012</v>
      </c>
      <c r="C9" s="1">
        <v>1.7780000000000008E-2</v>
      </c>
      <c r="D9" s="3">
        <v>423000</v>
      </c>
    </row>
    <row r="10" spans="1:4" x14ac:dyDescent="0.2">
      <c r="A10" s="1">
        <v>1122</v>
      </c>
      <c r="B10" s="1">
        <v>-0.25840000000000007</v>
      </c>
      <c r="C10" s="1">
        <v>0.10970000000000003</v>
      </c>
      <c r="D10" s="3">
        <v>116000</v>
      </c>
    </row>
    <row r="11" spans="1:4" x14ac:dyDescent="0.2">
      <c r="A11" s="1">
        <v>1123</v>
      </c>
      <c r="B11" s="1">
        <v>-0.29110000000000008</v>
      </c>
      <c r="C11" s="1">
        <v>9.1810000000000044E-2</v>
      </c>
      <c r="D11" s="3">
        <v>147000</v>
      </c>
    </row>
    <row r="12" spans="1:4" x14ac:dyDescent="0.2">
      <c r="A12" s="1">
        <v>1124</v>
      </c>
      <c r="B12" s="1">
        <v>-0.41420000000000012</v>
      </c>
      <c r="C12" s="1">
        <v>-4.5290000000000018E-2</v>
      </c>
      <c r="D12" s="3">
        <v>4400</v>
      </c>
    </row>
    <row r="13" spans="1:4" x14ac:dyDescent="0.2">
      <c r="A13" s="1">
        <v>1125</v>
      </c>
      <c r="B13" s="1">
        <v>-0.25980000000000009</v>
      </c>
      <c r="C13" s="1">
        <v>2.8310000000000012E-2</v>
      </c>
      <c r="D13" s="3">
        <v>23500</v>
      </c>
    </row>
    <row r="14" spans="1:4" x14ac:dyDescent="0.2">
      <c r="A14" s="1">
        <v>1129</v>
      </c>
      <c r="B14" s="1">
        <v>-0.2904000000000001</v>
      </c>
      <c r="C14" s="1">
        <v>1.4660000000000006E-2</v>
      </c>
      <c r="D14" s="3">
        <v>65500</v>
      </c>
    </row>
    <row r="15" spans="1:4" x14ac:dyDescent="0.2">
      <c r="A15" s="1">
        <v>1131</v>
      </c>
      <c r="B15" s="1">
        <v>9.9030000000000038E-3</v>
      </c>
      <c r="C15" s="1">
        <v>8.9040000000000036E-2</v>
      </c>
      <c r="D15" s="3">
        <v>15500</v>
      </c>
    </row>
    <row r="16" spans="1:4" x14ac:dyDescent="0.2">
      <c r="A16" s="1">
        <v>1132</v>
      </c>
      <c r="B16" s="1">
        <v>-0.2738000000000001</v>
      </c>
      <c r="C16" s="1">
        <v>8.9400000000000048E-4</v>
      </c>
      <c r="D16" s="3">
        <v>6100</v>
      </c>
    </row>
    <row r="17" spans="1:4" x14ac:dyDescent="0.2">
      <c r="A17" s="1">
        <v>1133</v>
      </c>
      <c r="B17" s="1">
        <v>-0.2854000000000001</v>
      </c>
      <c r="C17" s="1">
        <v>3.4100000000000012E-2</v>
      </c>
      <c r="D17" s="3">
        <v>212000</v>
      </c>
    </row>
    <row r="18" spans="1:4" x14ac:dyDescent="0.2">
      <c r="A18" s="1">
        <v>1141</v>
      </c>
      <c r="B18" s="1">
        <v>7.3670000000000027E-2</v>
      </c>
      <c r="C18" s="1">
        <v>0.18420000000000006</v>
      </c>
      <c r="D18" s="3">
        <v>22500</v>
      </c>
    </row>
    <row r="19" spans="1:4" x14ac:dyDescent="0.2">
      <c r="A19" s="1">
        <v>1142</v>
      </c>
      <c r="B19" s="1">
        <v>-0.27500000000000008</v>
      </c>
      <c r="C19" s="1">
        <v>9.1030000000000041E-2</v>
      </c>
      <c r="D19" s="3">
        <v>6200</v>
      </c>
    </row>
    <row r="20" spans="1:4" x14ac:dyDescent="0.2">
      <c r="A20" s="1">
        <v>1151</v>
      </c>
      <c r="B20" s="1">
        <v>-0.2970000000000001</v>
      </c>
      <c r="C20" s="1">
        <v>-1.4940000000000007E-2</v>
      </c>
      <c r="D20" s="3">
        <v>545000</v>
      </c>
    </row>
    <row r="21" spans="1:4" x14ac:dyDescent="0.2">
      <c r="A21" s="1">
        <v>1152</v>
      </c>
      <c r="B21" s="1">
        <v>-0.25130000000000008</v>
      </c>
      <c r="C21" s="1">
        <v>8.1800000000000032E-3</v>
      </c>
      <c r="D21" s="3">
        <v>91000</v>
      </c>
    </row>
    <row r="22" spans="1:4" x14ac:dyDescent="0.2">
      <c r="A22" s="1">
        <v>1153</v>
      </c>
      <c r="B22" s="1">
        <v>-0.15340000000000004</v>
      </c>
      <c r="C22" s="1">
        <v>3.5450000000000016E-2</v>
      </c>
      <c r="D22" s="3">
        <v>55000</v>
      </c>
    </row>
    <row r="23" spans="1:4" x14ac:dyDescent="0.2">
      <c r="A23" s="1">
        <v>2111</v>
      </c>
      <c r="B23" s="1">
        <v>0.73680000000000023</v>
      </c>
      <c r="C23" s="1">
        <v>0.28110000000000007</v>
      </c>
      <c r="D23" s="3">
        <v>921000</v>
      </c>
    </row>
    <row r="24" spans="1:4" x14ac:dyDescent="0.2">
      <c r="A24" s="1">
        <v>2121</v>
      </c>
      <c r="B24" s="1">
        <v>0.33860000000000012</v>
      </c>
      <c r="C24" s="1">
        <v>0.48150000000000015</v>
      </c>
      <c r="D24" s="3">
        <v>371000</v>
      </c>
    </row>
    <row r="25" spans="1:4" x14ac:dyDescent="0.2">
      <c r="A25" s="1">
        <v>2122</v>
      </c>
      <c r="B25" s="1">
        <v>0.39190000000000014</v>
      </c>
      <c r="C25" s="1">
        <v>0.39620000000000011</v>
      </c>
      <c r="D25" s="3">
        <v>232000</v>
      </c>
    </row>
    <row r="26" spans="1:4" x14ac:dyDescent="0.2">
      <c r="A26" s="1">
        <v>2123</v>
      </c>
      <c r="B26" s="1">
        <v>6.2810000000000027E-3</v>
      </c>
      <c r="C26" s="1">
        <v>0.17270000000000005</v>
      </c>
      <c r="D26" s="3">
        <v>445000</v>
      </c>
    </row>
    <row r="27" spans="1:4" x14ac:dyDescent="0.2">
      <c r="A27" s="1">
        <v>2131</v>
      </c>
      <c r="B27" s="1">
        <v>0.38080000000000014</v>
      </c>
      <c r="C27" s="1">
        <v>0.3202000000000001</v>
      </c>
      <c r="D27" s="3">
        <v>1544000</v>
      </c>
    </row>
    <row r="28" spans="1:4" x14ac:dyDescent="0.2">
      <c r="A28" s="1">
        <v>2211</v>
      </c>
      <c r="B28" s="1">
        <v>0.48710000000000014</v>
      </c>
      <c r="C28" s="1">
        <v>0.24540000000000009</v>
      </c>
      <c r="D28" s="3">
        <v>2781000</v>
      </c>
    </row>
    <row r="29" spans="1:4" x14ac:dyDescent="0.2">
      <c r="A29" s="1">
        <v>2212</v>
      </c>
      <c r="B29" s="1">
        <v>0.46080000000000015</v>
      </c>
      <c r="C29" s="1">
        <v>0.23760000000000009</v>
      </c>
      <c r="D29" s="3">
        <v>677000</v>
      </c>
    </row>
    <row r="30" spans="1:4" x14ac:dyDescent="0.2">
      <c r="A30" s="1">
        <v>2213</v>
      </c>
      <c r="B30" s="1">
        <v>8.3190000000000042E-2</v>
      </c>
      <c r="C30" s="1">
        <v>0.10840000000000004</v>
      </c>
      <c r="D30" s="3">
        <v>1048000</v>
      </c>
    </row>
    <row r="31" spans="1:4" x14ac:dyDescent="0.2">
      <c r="A31" s="1">
        <v>2361</v>
      </c>
      <c r="B31" s="1">
        <v>-0.12380000000000004</v>
      </c>
      <c r="C31" s="1">
        <v>2.8740000000000012E-2</v>
      </c>
      <c r="D31" s="3">
        <v>2547000</v>
      </c>
    </row>
    <row r="32" spans="1:4" x14ac:dyDescent="0.2">
      <c r="A32" s="1">
        <v>2362</v>
      </c>
      <c r="B32" s="1">
        <v>0.14820000000000005</v>
      </c>
      <c r="C32" s="1">
        <v>0.11630000000000004</v>
      </c>
      <c r="D32" s="3">
        <v>3166000</v>
      </c>
    </row>
    <row r="33" spans="1:4" x14ac:dyDescent="0.2">
      <c r="A33" s="1">
        <v>2371</v>
      </c>
      <c r="B33" s="1">
        <v>0.10060000000000004</v>
      </c>
      <c r="C33" s="1">
        <v>0.14140000000000005</v>
      </c>
      <c r="D33" s="3">
        <v>1887000</v>
      </c>
    </row>
    <row r="34" spans="1:4" x14ac:dyDescent="0.2">
      <c r="A34" s="1">
        <v>2372</v>
      </c>
      <c r="B34" s="1">
        <v>0.17970000000000005</v>
      </c>
      <c r="C34" s="1">
        <v>6.6810000000000022E-2</v>
      </c>
      <c r="D34" s="3">
        <v>178000</v>
      </c>
    </row>
    <row r="35" spans="1:4" x14ac:dyDescent="0.2">
      <c r="A35" s="1">
        <v>2373</v>
      </c>
      <c r="B35" s="1">
        <v>1.1210000000000005E-2</v>
      </c>
      <c r="C35" s="1">
        <v>0.11020000000000003</v>
      </c>
      <c r="D35" s="3">
        <v>2244000</v>
      </c>
    </row>
    <row r="36" spans="1:4" x14ac:dyDescent="0.2">
      <c r="A36" s="1">
        <v>2379</v>
      </c>
      <c r="B36" s="1">
        <v>0.15490000000000004</v>
      </c>
      <c r="C36" s="1">
        <v>0.14360000000000003</v>
      </c>
      <c r="D36" s="3">
        <v>434000</v>
      </c>
    </row>
    <row r="37" spans="1:4" x14ac:dyDescent="0.2">
      <c r="A37" s="1">
        <v>2381</v>
      </c>
      <c r="B37" s="1">
        <v>-0.15190000000000003</v>
      </c>
      <c r="C37" s="1">
        <v>3.954000000000002E-2</v>
      </c>
      <c r="D37" s="3">
        <v>2735000</v>
      </c>
    </row>
    <row r="38" spans="1:4" x14ac:dyDescent="0.2">
      <c r="A38" s="1">
        <v>2382</v>
      </c>
      <c r="B38" s="1">
        <v>-8.8630000000000028E-3</v>
      </c>
      <c r="C38" s="1">
        <v>5.5830000000000025E-2</v>
      </c>
      <c r="D38" s="3">
        <v>8403000</v>
      </c>
    </row>
    <row r="39" spans="1:4" x14ac:dyDescent="0.2">
      <c r="A39" s="1">
        <v>2383</v>
      </c>
      <c r="B39" s="1">
        <v>-0.18180000000000004</v>
      </c>
      <c r="C39" s="1">
        <v>2.3990000000000011E-2</v>
      </c>
      <c r="D39" s="3">
        <v>2636000</v>
      </c>
    </row>
    <row r="40" spans="1:4" x14ac:dyDescent="0.2">
      <c r="A40" s="1">
        <v>2389</v>
      </c>
      <c r="B40" s="1">
        <v>-0.10220000000000003</v>
      </c>
      <c r="C40" s="1">
        <v>6.9530000000000022E-2</v>
      </c>
      <c r="D40" s="3">
        <v>2296000</v>
      </c>
    </row>
    <row r="41" spans="1:4" x14ac:dyDescent="0.2">
      <c r="A41" s="1">
        <v>3111</v>
      </c>
      <c r="B41" s="1">
        <v>-2.4180000000000011E-2</v>
      </c>
      <c r="C41" s="1">
        <v>0.14270000000000005</v>
      </c>
      <c r="D41" s="3">
        <v>266000</v>
      </c>
    </row>
    <row r="42" spans="1:4" x14ac:dyDescent="0.2">
      <c r="A42" s="1">
        <v>3112</v>
      </c>
      <c r="B42" s="1">
        <v>0.10530000000000003</v>
      </c>
      <c r="C42" s="1">
        <v>0.18600000000000005</v>
      </c>
      <c r="D42" s="3">
        <v>333000</v>
      </c>
    </row>
    <row r="43" spans="1:4" x14ac:dyDescent="0.2">
      <c r="A43" s="1">
        <v>3113</v>
      </c>
      <c r="B43" s="1">
        <v>-3.8310000000000018E-2</v>
      </c>
      <c r="C43" s="1">
        <v>0.11930000000000004</v>
      </c>
      <c r="D43" s="3">
        <v>301000</v>
      </c>
    </row>
    <row r="44" spans="1:4" x14ac:dyDescent="0.2">
      <c r="A44" s="1">
        <v>3114</v>
      </c>
      <c r="B44" s="1">
        <v>-0.14210000000000003</v>
      </c>
      <c r="C44" s="1">
        <v>0.12620000000000003</v>
      </c>
      <c r="D44" s="3">
        <v>786000</v>
      </c>
    </row>
    <row r="45" spans="1:4" x14ac:dyDescent="0.2">
      <c r="A45" s="1">
        <v>3115</v>
      </c>
      <c r="B45" s="1">
        <v>-1.2470000000000005E-2</v>
      </c>
      <c r="C45" s="1">
        <v>0.17790000000000006</v>
      </c>
      <c r="D45" s="3">
        <v>708000</v>
      </c>
    </row>
    <row r="46" spans="1:4" x14ac:dyDescent="0.2">
      <c r="A46" s="1">
        <v>3116</v>
      </c>
      <c r="B46" s="1">
        <v>-0.2985000000000001</v>
      </c>
      <c r="C46" s="1">
        <v>0.13020000000000004</v>
      </c>
      <c r="D46" s="3">
        <v>2218000</v>
      </c>
    </row>
    <row r="47" spans="1:4" x14ac:dyDescent="0.2">
      <c r="A47" s="1">
        <v>3117</v>
      </c>
      <c r="B47" s="1">
        <v>-0.20630000000000007</v>
      </c>
      <c r="C47" s="1">
        <v>0.12670000000000003</v>
      </c>
      <c r="D47" s="3">
        <v>125000</v>
      </c>
    </row>
    <row r="48" spans="1:4" x14ac:dyDescent="0.2">
      <c r="A48" s="1">
        <v>3118</v>
      </c>
      <c r="B48" s="1">
        <v>-0.19590000000000007</v>
      </c>
      <c r="C48" s="1">
        <v>8.2780000000000034E-2</v>
      </c>
      <c r="D48" s="3">
        <v>1079000</v>
      </c>
    </row>
    <row r="49" spans="1:4" x14ac:dyDescent="0.2">
      <c r="A49" s="1">
        <v>3119</v>
      </c>
      <c r="B49" s="1">
        <v>-4.643000000000002E-2</v>
      </c>
      <c r="C49" s="1">
        <v>0.11110000000000003</v>
      </c>
      <c r="D49" s="3">
        <v>873000</v>
      </c>
    </row>
    <row r="50" spans="1:4" x14ac:dyDescent="0.2">
      <c r="A50" s="1">
        <v>3121</v>
      </c>
      <c r="B50" s="1">
        <v>9.4490000000000047E-4</v>
      </c>
      <c r="C50" s="1">
        <v>7.2920000000000026E-2</v>
      </c>
      <c r="D50" s="3">
        <v>922000</v>
      </c>
    </row>
    <row r="51" spans="1:4" x14ac:dyDescent="0.2">
      <c r="A51" s="1">
        <v>3122</v>
      </c>
      <c r="B51" s="1">
        <v>0.23810000000000009</v>
      </c>
      <c r="C51" s="1">
        <v>0.22960000000000008</v>
      </c>
      <c r="D51" s="3">
        <v>66500</v>
      </c>
    </row>
    <row r="52" spans="1:4" x14ac:dyDescent="0.2">
      <c r="A52" s="1">
        <v>3131</v>
      </c>
      <c r="B52" s="1">
        <v>-0.34780000000000011</v>
      </c>
      <c r="C52" s="1">
        <v>9.5380000000000034E-2</v>
      </c>
      <c r="D52" s="3">
        <v>138000</v>
      </c>
    </row>
    <row r="53" spans="1:4" x14ac:dyDescent="0.2">
      <c r="A53" s="1">
        <v>3132</v>
      </c>
      <c r="B53" s="1">
        <v>-0.24480000000000007</v>
      </c>
      <c r="C53" s="1">
        <v>0.10570000000000003</v>
      </c>
      <c r="D53" s="3">
        <v>267000</v>
      </c>
    </row>
    <row r="54" spans="1:4" x14ac:dyDescent="0.2">
      <c r="A54" s="1">
        <v>3133</v>
      </c>
      <c r="B54" s="1">
        <v>-0.21570000000000006</v>
      </c>
      <c r="C54" s="1">
        <v>6.5560000000000021E-2</v>
      </c>
      <c r="D54" s="3">
        <v>146000</v>
      </c>
    </row>
    <row r="55" spans="1:4" x14ac:dyDescent="0.2">
      <c r="A55" s="1">
        <v>3141</v>
      </c>
      <c r="B55" s="1">
        <v>-0.26540000000000008</v>
      </c>
      <c r="C55" s="1">
        <v>8.6750000000000035E-2</v>
      </c>
      <c r="D55" s="3">
        <v>254000</v>
      </c>
    </row>
    <row r="56" spans="1:4" x14ac:dyDescent="0.2">
      <c r="A56" s="1">
        <v>3149</v>
      </c>
      <c r="B56" s="1">
        <v>-0.34120000000000011</v>
      </c>
      <c r="C56" s="1">
        <v>1.8080000000000009E-2</v>
      </c>
      <c r="D56" s="3">
        <v>259000</v>
      </c>
    </row>
    <row r="57" spans="1:4" x14ac:dyDescent="0.2">
      <c r="A57" s="1">
        <v>3151</v>
      </c>
      <c r="B57" s="1">
        <v>-0.39990000000000014</v>
      </c>
      <c r="C57" s="1">
        <v>3.8560000000000018E-2</v>
      </c>
      <c r="D57" s="3">
        <v>56000</v>
      </c>
    </row>
    <row r="58" spans="1:4" x14ac:dyDescent="0.2">
      <c r="A58" s="1">
        <v>3152</v>
      </c>
      <c r="B58" s="1">
        <v>-0.24070000000000008</v>
      </c>
      <c r="C58" s="1">
        <v>1.3850000000000006E-2</v>
      </c>
      <c r="D58" s="3">
        <v>379000</v>
      </c>
    </row>
    <row r="59" spans="1:4" x14ac:dyDescent="0.2">
      <c r="A59" s="1">
        <v>3159</v>
      </c>
      <c r="B59" s="1">
        <v>-0.30130000000000012</v>
      </c>
      <c r="C59" s="1">
        <v>2.1840000000000009E-2</v>
      </c>
      <c r="D59" s="3">
        <v>48500</v>
      </c>
    </row>
    <row r="60" spans="1:4" x14ac:dyDescent="0.2">
      <c r="A60" s="1">
        <v>3161</v>
      </c>
      <c r="B60" s="1">
        <v>-0.23530000000000006</v>
      </c>
      <c r="C60" s="1">
        <v>9.7990000000000035E-2</v>
      </c>
      <c r="D60" s="3">
        <v>17500</v>
      </c>
    </row>
    <row r="61" spans="1:4" x14ac:dyDescent="0.2">
      <c r="A61" s="1">
        <v>3162</v>
      </c>
      <c r="B61" s="1">
        <v>-0.30230000000000012</v>
      </c>
      <c r="C61" s="1">
        <v>4.1720000000000021E-2</v>
      </c>
      <c r="D61" s="3">
        <v>63000</v>
      </c>
    </row>
    <row r="62" spans="1:4" x14ac:dyDescent="0.2">
      <c r="A62" s="1">
        <v>3169</v>
      </c>
      <c r="B62" s="1">
        <v>-0.33460000000000012</v>
      </c>
      <c r="C62" s="1">
        <v>-7.5700000000000029E-3</v>
      </c>
      <c r="D62" s="3">
        <v>45000</v>
      </c>
    </row>
    <row r="63" spans="1:4" x14ac:dyDescent="0.2">
      <c r="A63" s="1">
        <v>3211</v>
      </c>
      <c r="B63" s="1">
        <v>-0.25960000000000011</v>
      </c>
      <c r="C63" s="1">
        <v>8.8290000000000035E-2</v>
      </c>
      <c r="D63" s="3">
        <v>397000</v>
      </c>
    </row>
    <row r="64" spans="1:4" x14ac:dyDescent="0.2">
      <c r="A64" s="1">
        <v>3212</v>
      </c>
      <c r="B64" s="1">
        <v>-0.19800000000000006</v>
      </c>
      <c r="C64" s="1">
        <v>9.9060000000000037E-2</v>
      </c>
      <c r="D64" s="3">
        <v>328000</v>
      </c>
    </row>
    <row r="65" spans="1:4" x14ac:dyDescent="0.2">
      <c r="A65" s="1">
        <v>3219</v>
      </c>
      <c r="B65" s="1">
        <v>-0.3393000000000001</v>
      </c>
      <c r="C65" s="1">
        <v>3.0580000000000013E-2</v>
      </c>
      <c r="D65" s="3">
        <v>892000</v>
      </c>
    </row>
    <row r="66" spans="1:4" x14ac:dyDescent="0.2">
      <c r="A66" s="1">
        <v>3221</v>
      </c>
      <c r="B66" s="1">
        <v>0.23630000000000007</v>
      </c>
      <c r="C66" s="1">
        <v>0.2556000000000001</v>
      </c>
      <c r="D66" s="3">
        <v>603000</v>
      </c>
    </row>
    <row r="67" spans="1:4" x14ac:dyDescent="0.2">
      <c r="A67" s="1">
        <v>3222</v>
      </c>
      <c r="B67" s="1">
        <v>-3.9500000000000014E-2</v>
      </c>
      <c r="C67" s="1">
        <v>0.15420000000000006</v>
      </c>
      <c r="D67" s="3">
        <v>1434000</v>
      </c>
    </row>
    <row r="68" spans="1:4" x14ac:dyDescent="0.2">
      <c r="A68" s="1">
        <v>3231</v>
      </c>
      <c r="B68" s="1">
        <v>-0.18380000000000005</v>
      </c>
      <c r="C68" s="1">
        <v>5.6110000000000021E-2</v>
      </c>
      <c r="D68" s="3">
        <v>2168000</v>
      </c>
    </row>
    <row r="69" spans="1:4" x14ac:dyDescent="0.2">
      <c r="A69" s="1">
        <v>3241</v>
      </c>
      <c r="B69" s="1">
        <v>0.53030000000000022</v>
      </c>
      <c r="C69" s="1">
        <v>0.23890000000000008</v>
      </c>
      <c r="D69" s="3">
        <v>658000</v>
      </c>
    </row>
    <row r="70" spans="1:4" x14ac:dyDescent="0.2">
      <c r="A70" s="1">
        <v>3251</v>
      </c>
      <c r="B70" s="1">
        <v>0.38120000000000009</v>
      </c>
      <c r="C70" s="1">
        <v>0.20770000000000008</v>
      </c>
      <c r="D70" s="3">
        <v>826000</v>
      </c>
    </row>
    <row r="71" spans="1:4" x14ac:dyDescent="0.2">
      <c r="A71" s="1">
        <v>3252</v>
      </c>
      <c r="B71" s="1">
        <v>0.28560000000000008</v>
      </c>
      <c r="C71" s="1">
        <v>0.20010000000000006</v>
      </c>
      <c r="D71" s="3">
        <v>515000</v>
      </c>
    </row>
    <row r="72" spans="1:4" x14ac:dyDescent="0.2">
      <c r="A72" s="1">
        <v>3253</v>
      </c>
      <c r="B72" s="1">
        <v>0.22690000000000007</v>
      </c>
      <c r="C72" s="1">
        <v>0.16530000000000006</v>
      </c>
      <c r="D72" s="3">
        <v>185000</v>
      </c>
    </row>
    <row r="73" spans="1:4" x14ac:dyDescent="0.2">
      <c r="A73" s="1">
        <v>3254</v>
      </c>
      <c r="B73" s="1">
        <v>0.46490000000000015</v>
      </c>
      <c r="C73" s="1">
        <v>0.17000000000000007</v>
      </c>
      <c r="D73" s="3">
        <v>1541000</v>
      </c>
    </row>
    <row r="74" spans="1:4" x14ac:dyDescent="0.2">
      <c r="A74" s="1">
        <v>3255</v>
      </c>
      <c r="B74" s="1">
        <v>8.2180000000000031E-2</v>
      </c>
      <c r="C74" s="1">
        <v>0.12620000000000003</v>
      </c>
      <c r="D74" s="3">
        <v>306000</v>
      </c>
    </row>
    <row r="75" spans="1:4" x14ac:dyDescent="0.2">
      <c r="A75" s="1">
        <v>3256</v>
      </c>
      <c r="B75" s="1">
        <v>7.3990000000000028E-2</v>
      </c>
      <c r="C75" s="1">
        <v>0.11640000000000003</v>
      </c>
      <c r="D75" s="3">
        <v>520000</v>
      </c>
    </row>
    <row r="76" spans="1:4" x14ac:dyDescent="0.2">
      <c r="A76" s="1">
        <v>3259</v>
      </c>
      <c r="B76" s="1">
        <v>7.3160000000000031E-2</v>
      </c>
      <c r="C76" s="1">
        <v>0.14870000000000005</v>
      </c>
      <c r="D76" s="3">
        <v>430000</v>
      </c>
    </row>
    <row r="77" spans="1:4" x14ac:dyDescent="0.2">
      <c r="A77" s="1">
        <v>3261</v>
      </c>
      <c r="B77" s="1">
        <v>-0.16570000000000004</v>
      </c>
      <c r="C77" s="1">
        <v>0.10180000000000003</v>
      </c>
      <c r="D77" s="3">
        <v>2656000</v>
      </c>
    </row>
    <row r="78" spans="1:4" x14ac:dyDescent="0.2">
      <c r="A78" s="1">
        <v>3262</v>
      </c>
      <c r="B78" s="1">
        <v>-5.2310000000000023E-2</v>
      </c>
      <c r="C78" s="1">
        <v>0.16300000000000006</v>
      </c>
      <c r="D78" s="3">
        <v>712000</v>
      </c>
    </row>
    <row r="79" spans="1:4" x14ac:dyDescent="0.2">
      <c r="A79" s="1">
        <v>3271</v>
      </c>
      <c r="B79" s="1">
        <v>-0.13400000000000004</v>
      </c>
      <c r="C79" s="1">
        <v>0.10080000000000003</v>
      </c>
      <c r="D79" s="3">
        <v>202000</v>
      </c>
    </row>
    <row r="80" spans="1:4" x14ac:dyDescent="0.2">
      <c r="A80" s="1">
        <v>3272</v>
      </c>
      <c r="B80" s="1">
        <v>-4.6490000000000017E-2</v>
      </c>
      <c r="C80" s="1">
        <v>0.15040000000000006</v>
      </c>
      <c r="D80" s="3">
        <v>431000</v>
      </c>
    </row>
    <row r="81" spans="1:4" x14ac:dyDescent="0.2">
      <c r="A81" s="1">
        <v>3273</v>
      </c>
      <c r="B81" s="1">
        <v>-9.780000000000004E-2</v>
      </c>
      <c r="C81" s="1">
        <v>0.11690000000000003</v>
      </c>
      <c r="D81" s="3">
        <v>864000</v>
      </c>
    </row>
    <row r="82" spans="1:4" x14ac:dyDescent="0.2">
      <c r="A82" s="1">
        <v>3274</v>
      </c>
      <c r="B82" s="1">
        <v>6.9380000000000025E-2</v>
      </c>
      <c r="C82" s="1">
        <v>0.20330000000000006</v>
      </c>
      <c r="D82" s="3">
        <v>78500</v>
      </c>
    </row>
    <row r="83" spans="1:4" x14ac:dyDescent="0.2">
      <c r="A83" s="1">
        <v>3279</v>
      </c>
      <c r="B83" s="1">
        <v>-7.9920000000000033E-2</v>
      </c>
      <c r="C83" s="1">
        <v>0.10950000000000004</v>
      </c>
      <c r="D83" s="3">
        <v>347000</v>
      </c>
    </row>
    <row r="84" spans="1:4" x14ac:dyDescent="0.2">
      <c r="A84" s="1">
        <v>3311</v>
      </c>
      <c r="B84" s="1">
        <v>0.2980000000000001</v>
      </c>
      <c r="C84" s="1">
        <v>0.29990000000000011</v>
      </c>
      <c r="D84" s="3">
        <v>493000</v>
      </c>
    </row>
    <row r="85" spans="1:4" x14ac:dyDescent="0.2">
      <c r="A85" s="1">
        <v>3312</v>
      </c>
      <c r="B85" s="1">
        <v>2.0580000000000008E-2</v>
      </c>
      <c r="C85" s="1">
        <v>0.18450000000000005</v>
      </c>
      <c r="D85" s="3">
        <v>303000</v>
      </c>
    </row>
    <row r="86" spans="1:4" x14ac:dyDescent="0.2">
      <c r="A86" s="1">
        <v>3313</v>
      </c>
      <c r="B86" s="1">
        <v>3.5670000000000014E-2</v>
      </c>
      <c r="C86" s="1">
        <v>0.22760000000000008</v>
      </c>
      <c r="D86" s="3">
        <v>313000</v>
      </c>
    </row>
    <row r="87" spans="1:4" x14ac:dyDescent="0.2">
      <c r="A87" s="1">
        <v>3314</v>
      </c>
      <c r="B87" s="1">
        <v>5.459000000000002E-2</v>
      </c>
      <c r="C87" s="1">
        <v>0.20180000000000006</v>
      </c>
      <c r="D87" s="3">
        <v>332000</v>
      </c>
    </row>
    <row r="88" spans="1:4" x14ac:dyDescent="0.2">
      <c r="A88" s="1">
        <v>3315</v>
      </c>
      <c r="B88" s="1">
        <v>-0.10340000000000003</v>
      </c>
      <c r="C88" s="1">
        <v>0.17590000000000006</v>
      </c>
      <c r="D88" s="3">
        <v>627000</v>
      </c>
    </row>
    <row r="89" spans="1:4" x14ac:dyDescent="0.2">
      <c r="A89" s="1">
        <v>3321</v>
      </c>
      <c r="B89" s="1">
        <v>-0.10290000000000003</v>
      </c>
      <c r="C89" s="1">
        <v>0.12260000000000004</v>
      </c>
      <c r="D89" s="3">
        <v>499000</v>
      </c>
    </row>
    <row r="90" spans="1:4" x14ac:dyDescent="0.2">
      <c r="A90" s="1">
        <v>3322</v>
      </c>
      <c r="B90" s="1">
        <v>-9.9730000000000041E-2</v>
      </c>
      <c r="C90" s="1">
        <v>9.6950000000000036E-2</v>
      </c>
      <c r="D90" s="3">
        <v>195000</v>
      </c>
    </row>
    <row r="91" spans="1:4" x14ac:dyDescent="0.2">
      <c r="A91" s="1">
        <v>3323</v>
      </c>
      <c r="B91" s="1">
        <v>-0.14570000000000005</v>
      </c>
      <c r="C91" s="1">
        <v>8.9340000000000044E-2</v>
      </c>
      <c r="D91" s="3">
        <v>1673000</v>
      </c>
    </row>
    <row r="92" spans="1:4" x14ac:dyDescent="0.2">
      <c r="A92" s="1">
        <v>3324</v>
      </c>
      <c r="B92" s="1">
        <v>2.2250000000000008E-3</v>
      </c>
      <c r="C92" s="1">
        <v>0.15470000000000006</v>
      </c>
      <c r="D92" s="3">
        <v>469000</v>
      </c>
    </row>
    <row r="93" spans="1:4" x14ac:dyDescent="0.2">
      <c r="A93" s="1">
        <v>3325</v>
      </c>
      <c r="B93" s="1">
        <v>-9.7430000000000044E-2</v>
      </c>
      <c r="C93" s="1">
        <v>9.9080000000000043E-2</v>
      </c>
      <c r="D93" s="3">
        <v>121000</v>
      </c>
    </row>
    <row r="94" spans="1:4" x14ac:dyDescent="0.2">
      <c r="A94" s="1">
        <v>3326</v>
      </c>
      <c r="B94" s="1">
        <v>-0.18070000000000006</v>
      </c>
      <c r="C94" s="1">
        <v>9.3370000000000036E-2</v>
      </c>
      <c r="D94" s="3">
        <v>209000</v>
      </c>
    </row>
    <row r="95" spans="1:4" x14ac:dyDescent="0.2">
      <c r="A95" s="1">
        <v>3327</v>
      </c>
      <c r="B95" s="1">
        <v>-0.13190000000000004</v>
      </c>
      <c r="C95" s="1">
        <v>7.7610000000000026E-2</v>
      </c>
      <c r="D95" s="3">
        <v>1712000</v>
      </c>
    </row>
    <row r="96" spans="1:4" x14ac:dyDescent="0.2">
      <c r="A96" s="1">
        <v>3328</v>
      </c>
      <c r="B96" s="1">
        <v>-0.18420000000000006</v>
      </c>
      <c r="C96" s="1">
        <v>8.2820000000000032E-2</v>
      </c>
      <c r="D96" s="3">
        <v>617000</v>
      </c>
    </row>
    <row r="97" spans="1:4" x14ac:dyDescent="0.2">
      <c r="A97" s="1">
        <v>3329</v>
      </c>
      <c r="B97" s="1">
        <v>-2.3320000000000011E-2</v>
      </c>
      <c r="C97" s="1">
        <v>0.12340000000000004</v>
      </c>
      <c r="D97" s="3">
        <v>1361000</v>
      </c>
    </row>
    <row r="98" spans="1:4" x14ac:dyDescent="0.2">
      <c r="A98" s="1">
        <v>3331</v>
      </c>
      <c r="B98" s="1">
        <v>0.10760000000000003</v>
      </c>
      <c r="C98" s="1">
        <v>0.17890000000000006</v>
      </c>
      <c r="D98" s="3">
        <v>1236000</v>
      </c>
    </row>
    <row r="99" spans="1:4" x14ac:dyDescent="0.2">
      <c r="A99" s="1">
        <v>3332</v>
      </c>
      <c r="B99" s="1">
        <v>0.10960000000000003</v>
      </c>
      <c r="C99" s="1">
        <v>0.11430000000000004</v>
      </c>
      <c r="D99" s="3">
        <v>563000</v>
      </c>
    </row>
    <row r="100" spans="1:4" x14ac:dyDescent="0.2">
      <c r="A100" s="1">
        <v>3333</v>
      </c>
      <c r="B100" s="1">
        <v>7.3700000000000029E-2</v>
      </c>
      <c r="C100" s="1">
        <v>0.10610000000000003</v>
      </c>
      <c r="D100" s="3">
        <v>474000</v>
      </c>
    </row>
    <row r="101" spans="1:4" x14ac:dyDescent="0.2">
      <c r="A101" s="1">
        <v>3334</v>
      </c>
      <c r="B101" s="1">
        <v>-0.12130000000000003</v>
      </c>
      <c r="C101" s="1">
        <v>0.11020000000000003</v>
      </c>
      <c r="D101" s="3">
        <v>661000</v>
      </c>
    </row>
    <row r="102" spans="1:4" x14ac:dyDescent="0.2">
      <c r="A102" s="1">
        <v>3335</v>
      </c>
      <c r="B102" s="1">
        <v>-5.3040000000000025E-2</v>
      </c>
      <c r="C102" s="1">
        <v>9.9490000000000037E-2</v>
      </c>
      <c r="D102" s="3">
        <v>900000</v>
      </c>
    </row>
    <row r="103" spans="1:4" x14ac:dyDescent="0.2">
      <c r="A103" s="1">
        <v>3336</v>
      </c>
      <c r="B103" s="1">
        <v>0.17180000000000006</v>
      </c>
      <c r="C103" s="1">
        <v>0.16290000000000004</v>
      </c>
      <c r="D103" s="3">
        <v>525000</v>
      </c>
    </row>
    <row r="104" spans="1:4" x14ac:dyDescent="0.2">
      <c r="A104" s="1">
        <v>3339</v>
      </c>
      <c r="B104" s="1">
        <v>2.9360000000000011E-2</v>
      </c>
      <c r="C104" s="1">
        <v>0.12790000000000004</v>
      </c>
      <c r="D104" s="3">
        <v>1362000</v>
      </c>
    </row>
    <row r="105" spans="1:4" x14ac:dyDescent="0.2">
      <c r="A105" s="1">
        <v>3341</v>
      </c>
      <c r="B105" s="1">
        <v>0.69090000000000018</v>
      </c>
      <c r="C105" s="1">
        <v>0.18340000000000006</v>
      </c>
      <c r="D105" s="3">
        <v>901000</v>
      </c>
    </row>
    <row r="106" spans="1:4" x14ac:dyDescent="0.2">
      <c r="A106" s="1">
        <v>3342</v>
      </c>
      <c r="B106" s="1">
        <v>0.38500000000000012</v>
      </c>
      <c r="C106" s="1">
        <v>0.12650000000000003</v>
      </c>
      <c r="D106" s="3">
        <v>537000</v>
      </c>
    </row>
    <row r="107" spans="1:4" x14ac:dyDescent="0.2">
      <c r="A107" s="1">
        <v>3343</v>
      </c>
      <c r="B107" s="1">
        <v>0.22080000000000008</v>
      </c>
      <c r="C107" s="1">
        <v>0.10510000000000003</v>
      </c>
      <c r="D107" s="3">
        <v>104000</v>
      </c>
    </row>
    <row r="108" spans="1:4" x14ac:dyDescent="0.2">
      <c r="A108" s="1">
        <v>3344</v>
      </c>
      <c r="B108" s="1">
        <v>0.27860000000000007</v>
      </c>
      <c r="C108" s="1">
        <v>0.13860000000000006</v>
      </c>
      <c r="D108" s="3">
        <v>2024000</v>
      </c>
    </row>
    <row r="109" spans="1:4" x14ac:dyDescent="0.2">
      <c r="A109" s="1">
        <v>3345</v>
      </c>
      <c r="B109" s="1">
        <v>0.33710000000000012</v>
      </c>
      <c r="C109" s="1">
        <v>0.12980000000000005</v>
      </c>
      <c r="D109" s="3">
        <v>2207000</v>
      </c>
    </row>
    <row r="110" spans="1:4" x14ac:dyDescent="0.2">
      <c r="A110" s="1">
        <v>3346</v>
      </c>
      <c r="B110" s="1">
        <v>0.25860000000000011</v>
      </c>
      <c r="C110" s="1">
        <v>0.12550000000000003</v>
      </c>
      <c r="D110" s="3">
        <v>91500</v>
      </c>
    </row>
    <row r="111" spans="1:4" x14ac:dyDescent="0.2">
      <c r="A111" s="1">
        <v>3351</v>
      </c>
      <c r="B111" s="1">
        <v>-4.9620000000000018E-2</v>
      </c>
      <c r="C111" s="1">
        <v>0.10830000000000004</v>
      </c>
      <c r="D111" s="3">
        <v>235000</v>
      </c>
    </row>
    <row r="112" spans="1:4" x14ac:dyDescent="0.2">
      <c r="A112" s="1">
        <v>3352</v>
      </c>
      <c r="B112" s="1">
        <v>-5.9870000000000027E-2</v>
      </c>
      <c r="C112" s="1">
        <v>0.12860000000000005</v>
      </c>
      <c r="D112" s="3">
        <v>331000</v>
      </c>
    </row>
    <row r="113" spans="1:4" x14ac:dyDescent="0.2">
      <c r="A113" s="1">
        <v>3353</v>
      </c>
      <c r="B113" s="1">
        <v>5.6450000000000021E-2</v>
      </c>
      <c r="C113" s="1">
        <v>0.12150000000000004</v>
      </c>
      <c r="D113" s="3">
        <v>767000</v>
      </c>
    </row>
    <row r="114" spans="1:4" x14ac:dyDescent="0.2">
      <c r="A114" s="1">
        <v>3359</v>
      </c>
      <c r="B114" s="1">
        <v>7.5090000000000042E-4</v>
      </c>
      <c r="C114" s="1">
        <v>0.13500000000000004</v>
      </c>
      <c r="D114" s="3">
        <v>687000</v>
      </c>
    </row>
    <row r="115" spans="1:4" x14ac:dyDescent="0.2">
      <c r="A115" s="1">
        <v>3361</v>
      </c>
      <c r="B115" s="1">
        <v>0.30290000000000011</v>
      </c>
      <c r="C115" s="1">
        <v>0.22820000000000007</v>
      </c>
      <c r="D115" s="3">
        <v>1122000</v>
      </c>
    </row>
    <row r="116" spans="1:4" x14ac:dyDescent="0.2">
      <c r="A116" s="1">
        <v>3362</v>
      </c>
      <c r="B116" s="1">
        <v>-0.18370000000000006</v>
      </c>
      <c r="C116" s="1">
        <v>0.11920000000000004</v>
      </c>
      <c r="D116" s="3">
        <v>617000</v>
      </c>
    </row>
    <row r="117" spans="1:4" x14ac:dyDescent="0.2">
      <c r="A117" s="1">
        <v>3363</v>
      </c>
      <c r="B117" s="1">
        <v>-3.7150000000000016E-2</v>
      </c>
      <c r="C117" s="1">
        <v>0.16490000000000005</v>
      </c>
      <c r="D117" s="3">
        <v>2783000</v>
      </c>
    </row>
    <row r="118" spans="1:4" x14ac:dyDescent="0.2">
      <c r="A118" s="1">
        <v>3364</v>
      </c>
      <c r="B118" s="1">
        <v>0.40890000000000015</v>
      </c>
      <c r="C118" s="1">
        <v>0.17700000000000005</v>
      </c>
      <c r="D118" s="3">
        <v>2826000</v>
      </c>
    </row>
    <row r="119" spans="1:4" x14ac:dyDescent="0.2">
      <c r="A119" s="1">
        <v>3365</v>
      </c>
      <c r="B119" s="1">
        <v>6.0010000000000029E-2</v>
      </c>
      <c r="C119" s="1">
        <v>0.18020000000000005</v>
      </c>
      <c r="D119" s="3">
        <v>132000</v>
      </c>
    </row>
    <row r="120" spans="1:4" x14ac:dyDescent="0.2">
      <c r="A120" s="1">
        <v>3366</v>
      </c>
      <c r="B120" s="1">
        <v>2.9670000000000012E-2</v>
      </c>
      <c r="C120" s="1">
        <v>0.14970000000000006</v>
      </c>
      <c r="D120" s="3">
        <v>666000</v>
      </c>
    </row>
    <row r="121" spans="1:4" x14ac:dyDescent="0.2">
      <c r="A121" s="1">
        <v>3369</v>
      </c>
      <c r="B121" s="1">
        <v>7.6850000000000026E-3</v>
      </c>
      <c r="C121" s="1">
        <v>0.13030000000000005</v>
      </c>
      <c r="D121" s="3">
        <v>171000</v>
      </c>
    </row>
    <row r="122" spans="1:4" x14ac:dyDescent="0.2">
      <c r="A122" s="1">
        <v>3371</v>
      </c>
      <c r="B122" s="1">
        <v>-0.3418000000000001</v>
      </c>
      <c r="C122" s="1">
        <v>2.8620000000000013E-2</v>
      </c>
      <c r="D122" s="3">
        <v>1032000</v>
      </c>
    </row>
    <row r="123" spans="1:4" x14ac:dyDescent="0.2">
      <c r="A123" s="1">
        <v>3372</v>
      </c>
      <c r="B123" s="1">
        <v>-0.17590000000000006</v>
      </c>
      <c r="C123" s="1">
        <v>6.6890000000000033E-2</v>
      </c>
      <c r="D123" s="3">
        <v>505000</v>
      </c>
    </row>
    <row r="124" spans="1:4" x14ac:dyDescent="0.2">
      <c r="A124" s="1">
        <v>3379</v>
      </c>
      <c r="B124" s="1">
        <v>-0.24220000000000008</v>
      </c>
      <c r="C124" s="1">
        <v>8.057000000000003E-2</v>
      </c>
      <c r="D124" s="3">
        <v>159000</v>
      </c>
    </row>
    <row r="125" spans="1:4" x14ac:dyDescent="0.2">
      <c r="A125" s="1">
        <v>3391</v>
      </c>
      <c r="B125" s="1">
        <v>7.9500000000000029E-2</v>
      </c>
      <c r="C125" s="1">
        <v>0.11910000000000004</v>
      </c>
      <c r="D125" s="3">
        <v>1563000</v>
      </c>
    </row>
    <row r="126" spans="1:4" x14ac:dyDescent="0.2">
      <c r="A126" s="1">
        <v>3399</v>
      </c>
      <c r="B126" s="1">
        <v>-0.14370000000000005</v>
      </c>
      <c r="C126" s="1">
        <v>5.6230000000000023E-2</v>
      </c>
      <c r="D126" s="3">
        <v>1299000</v>
      </c>
    </row>
    <row r="127" spans="1:4" x14ac:dyDescent="0.2">
      <c r="A127" s="1">
        <v>4231</v>
      </c>
      <c r="B127" s="1">
        <v>-9.5190000000000038E-2</v>
      </c>
      <c r="C127" s="1">
        <v>5.1790000000000024E-2</v>
      </c>
      <c r="D127" s="3">
        <v>1461000</v>
      </c>
    </row>
    <row r="128" spans="1:4" x14ac:dyDescent="0.2">
      <c r="A128" s="1">
        <v>4232</v>
      </c>
      <c r="B128" s="1">
        <v>-6.8860000000000024E-3</v>
      </c>
      <c r="C128" s="1">
        <v>5.1200000000000023E-2</v>
      </c>
      <c r="D128" s="3">
        <v>473000</v>
      </c>
    </row>
    <row r="129" spans="1:4" x14ac:dyDescent="0.2">
      <c r="A129" s="1">
        <v>4233</v>
      </c>
      <c r="B129" s="1">
        <v>-6.8480000000000027E-2</v>
      </c>
      <c r="C129" s="1">
        <v>6.5710000000000032E-2</v>
      </c>
      <c r="D129" s="3">
        <v>958000</v>
      </c>
    </row>
    <row r="130" spans="1:4" x14ac:dyDescent="0.2">
      <c r="A130" s="1">
        <v>4234</v>
      </c>
      <c r="B130" s="1">
        <v>0.31870000000000009</v>
      </c>
      <c r="C130" s="1">
        <v>0.11320000000000004</v>
      </c>
      <c r="D130" s="3">
        <v>3223000</v>
      </c>
    </row>
    <row r="131" spans="1:4" x14ac:dyDescent="0.2">
      <c r="A131" s="1">
        <v>4235</v>
      </c>
      <c r="B131" s="1">
        <v>1.4230000000000007E-2</v>
      </c>
      <c r="C131" s="1">
        <v>0.11460000000000004</v>
      </c>
      <c r="D131" s="3">
        <v>627000</v>
      </c>
    </row>
    <row r="132" spans="1:4" x14ac:dyDescent="0.2">
      <c r="A132" s="1">
        <v>4236</v>
      </c>
      <c r="B132" s="1">
        <v>0.18470000000000006</v>
      </c>
      <c r="C132" s="1">
        <v>9.4770000000000035E-2</v>
      </c>
      <c r="D132" s="3">
        <v>1657000</v>
      </c>
    </row>
    <row r="133" spans="1:4" x14ac:dyDescent="0.2">
      <c r="A133" s="1">
        <v>4237</v>
      </c>
      <c r="B133" s="1">
        <v>-9.387000000000003E-3</v>
      </c>
      <c r="C133" s="1">
        <v>6.6640000000000033E-2</v>
      </c>
      <c r="D133" s="3">
        <v>1176000</v>
      </c>
    </row>
    <row r="134" spans="1:4" x14ac:dyDescent="0.2">
      <c r="A134" s="1">
        <v>4238</v>
      </c>
      <c r="B134" s="1">
        <v>4.7800000000000023E-2</v>
      </c>
      <c r="C134" s="1">
        <v>9.6220000000000042E-2</v>
      </c>
      <c r="D134" s="3">
        <v>3239000</v>
      </c>
    </row>
    <row r="135" spans="1:4" x14ac:dyDescent="0.2">
      <c r="A135" s="1">
        <v>4239</v>
      </c>
      <c r="B135" s="1">
        <v>-9.7580000000000042E-2</v>
      </c>
      <c r="C135" s="1">
        <v>5.6700000000000021E-2</v>
      </c>
      <c r="D135" s="3">
        <v>1273000</v>
      </c>
    </row>
    <row r="136" spans="1:4" x14ac:dyDescent="0.2">
      <c r="A136" s="1">
        <v>4241</v>
      </c>
      <c r="B136" s="1">
        <v>2.3750000000000011E-2</v>
      </c>
      <c r="C136" s="1">
        <v>7.6430000000000026E-2</v>
      </c>
      <c r="D136" s="3">
        <v>542000</v>
      </c>
    </row>
    <row r="137" spans="1:4" x14ac:dyDescent="0.2">
      <c r="A137" s="1">
        <v>4242</v>
      </c>
      <c r="B137" s="1">
        <v>0.47210000000000013</v>
      </c>
      <c r="C137" s="1">
        <v>0.13320000000000004</v>
      </c>
      <c r="D137" s="3">
        <v>990000</v>
      </c>
    </row>
    <row r="138" spans="1:4" x14ac:dyDescent="0.2">
      <c r="A138" s="1">
        <v>4243</v>
      </c>
      <c r="B138" s="1">
        <v>7.377000000000003E-2</v>
      </c>
      <c r="C138" s="1">
        <v>4.8530000000000018E-2</v>
      </c>
      <c r="D138" s="3">
        <v>623000</v>
      </c>
    </row>
    <row r="139" spans="1:4" x14ac:dyDescent="0.2">
      <c r="A139" s="1">
        <v>4244</v>
      </c>
      <c r="B139" s="1">
        <v>-3.5730000000000012E-2</v>
      </c>
      <c r="C139" s="1">
        <v>0.10310000000000004</v>
      </c>
      <c r="D139" s="3">
        <v>3370000</v>
      </c>
    </row>
    <row r="140" spans="1:4" x14ac:dyDescent="0.2">
      <c r="A140" s="1">
        <v>4245</v>
      </c>
      <c r="B140" s="1">
        <v>-9.1130000000000044E-2</v>
      </c>
      <c r="C140" s="1">
        <v>8.9670000000000041E-2</v>
      </c>
      <c r="D140" s="3">
        <v>271000</v>
      </c>
    </row>
    <row r="141" spans="1:4" x14ac:dyDescent="0.2">
      <c r="A141" s="1">
        <v>4246</v>
      </c>
      <c r="B141" s="1">
        <v>0.18570000000000006</v>
      </c>
      <c r="C141" s="1">
        <v>0.13230000000000003</v>
      </c>
      <c r="D141" s="3">
        <v>638000</v>
      </c>
    </row>
    <row r="142" spans="1:4" x14ac:dyDescent="0.2">
      <c r="A142" s="1">
        <v>4247</v>
      </c>
      <c r="B142" s="1">
        <v>8.8880000000000042E-2</v>
      </c>
      <c r="C142" s="1">
        <v>0.13330000000000003</v>
      </c>
      <c r="D142" s="3">
        <v>426000</v>
      </c>
    </row>
    <row r="143" spans="1:4" x14ac:dyDescent="0.2">
      <c r="A143" s="1">
        <v>4248</v>
      </c>
      <c r="B143" s="1">
        <v>4.8500000000000022E-2</v>
      </c>
      <c r="C143" s="1">
        <v>8.7910000000000044E-2</v>
      </c>
      <c r="D143" s="3">
        <v>928000</v>
      </c>
    </row>
    <row r="144" spans="1:4" x14ac:dyDescent="0.2">
      <c r="A144" s="1">
        <v>4249</v>
      </c>
      <c r="B144" s="1">
        <v>-0.10340000000000003</v>
      </c>
      <c r="C144" s="1">
        <v>4.1610000000000015E-2</v>
      </c>
      <c r="D144" s="3">
        <v>1339000</v>
      </c>
    </row>
    <row r="145" spans="1:4" x14ac:dyDescent="0.2">
      <c r="A145" s="1">
        <v>4251</v>
      </c>
      <c r="B145" s="1">
        <v>0.3600000000000001</v>
      </c>
      <c r="C145" s="1">
        <v>0.10950000000000004</v>
      </c>
      <c r="D145" s="3">
        <v>4007000</v>
      </c>
    </row>
    <row r="146" spans="1:4" x14ac:dyDescent="0.2">
      <c r="A146" s="1">
        <v>4411</v>
      </c>
      <c r="B146" s="1">
        <v>-2.1270000000000008E-2</v>
      </c>
      <c r="C146" s="1">
        <v>5.5740000000000026E-2</v>
      </c>
      <c r="D146" s="3">
        <v>4993000</v>
      </c>
    </row>
    <row r="147" spans="1:4" x14ac:dyDescent="0.2">
      <c r="A147" s="1">
        <v>4412</v>
      </c>
      <c r="B147" s="1">
        <v>-0.23310000000000008</v>
      </c>
      <c r="C147" s="1">
        <v>-1.7970000000000007E-2</v>
      </c>
      <c r="D147" s="3">
        <v>573000</v>
      </c>
    </row>
    <row r="148" spans="1:4" x14ac:dyDescent="0.2">
      <c r="A148" s="1">
        <v>4413</v>
      </c>
      <c r="B148" s="1">
        <v>-0.3252000000000001</v>
      </c>
      <c r="C148" s="1">
        <v>-2.215000000000001E-2</v>
      </c>
      <c r="D148" s="3">
        <v>1869000</v>
      </c>
    </row>
    <row r="149" spans="1:4" x14ac:dyDescent="0.2">
      <c r="A149" s="1">
        <v>4421</v>
      </c>
      <c r="B149" s="1">
        <v>-0.20670000000000008</v>
      </c>
      <c r="C149" s="1">
        <v>1.3100000000000006E-2</v>
      </c>
      <c r="D149" s="3">
        <v>816000</v>
      </c>
    </row>
    <row r="150" spans="1:4" x14ac:dyDescent="0.2">
      <c r="A150" s="1">
        <v>4422</v>
      </c>
      <c r="B150" s="1">
        <v>-0.15940000000000004</v>
      </c>
      <c r="C150" s="1">
        <v>-3.0420000000000013E-2</v>
      </c>
      <c r="D150" s="3">
        <v>700000</v>
      </c>
    </row>
    <row r="151" spans="1:4" x14ac:dyDescent="0.2">
      <c r="A151" s="1">
        <v>4431</v>
      </c>
      <c r="B151" s="1">
        <v>-2.7410000000000011E-2</v>
      </c>
      <c r="C151" s="1">
        <v>4.822000000000002E-2</v>
      </c>
      <c r="D151" s="3">
        <v>1863000</v>
      </c>
    </row>
    <row r="152" spans="1:4" x14ac:dyDescent="0.2">
      <c r="A152" s="1">
        <v>4441</v>
      </c>
      <c r="B152" s="1">
        <v>-0.3176000000000001</v>
      </c>
      <c r="C152" s="1">
        <v>-4.9880000000000022E-2</v>
      </c>
      <c r="D152" s="3">
        <v>3786000</v>
      </c>
    </row>
    <row r="153" spans="1:4" x14ac:dyDescent="0.2">
      <c r="A153" s="1">
        <v>4442</v>
      </c>
      <c r="B153" s="1">
        <v>-0.35790000000000011</v>
      </c>
      <c r="C153" s="1">
        <v>-4.9660000000000024E-2</v>
      </c>
      <c r="D153" s="3">
        <v>451000</v>
      </c>
    </row>
    <row r="154" spans="1:4" x14ac:dyDescent="0.2">
      <c r="A154" s="1">
        <v>4451</v>
      </c>
      <c r="B154" s="1">
        <v>-0.35810000000000014</v>
      </c>
      <c r="C154" s="1">
        <v>-6.7530000000000034E-2</v>
      </c>
      <c r="D154" s="3">
        <v>7033000</v>
      </c>
    </row>
    <row r="155" spans="1:4" x14ac:dyDescent="0.2">
      <c r="A155" s="1">
        <v>4452</v>
      </c>
      <c r="B155" s="1">
        <v>-0.35030000000000011</v>
      </c>
      <c r="C155" s="1">
        <v>-4.1080000000000019E-2</v>
      </c>
      <c r="D155" s="3">
        <v>506000</v>
      </c>
    </row>
    <row r="156" spans="1:4" x14ac:dyDescent="0.2">
      <c r="A156" s="1">
        <v>4453</v>
      </c>
      <c r="B156" s="1">
        <v>-0.44540000000000013</v>
      </c>
      <c r="C156" s="1">
        <v>-0.12400000000000004</v>
      </c>
      <c r="D156" s="3">
        <v>391000</v>
      </c>
    </row>
    <row r="157" spans="1:4" x14ac:dyDescent="0.2">
      <c r="A157" s="1">
        <v>4461</v>
      </c>
      <c r="B157" s="1">
        <v>-8.5070000000000034E-2</v>
      </c>
      <c r="C157" s="1">
        <v>-1.2230000000000005E-2</v>
      </c>
      <c r="D157" s="3">
        <v>3266000</v>
      </c>
    </row>
    <row r="158" spans="1:4" x14ac:dyDescent="0.2">
      <c r="A158" s="1">
        <v>4471</v>
      </c>
      <c r="B158" s="1">
        <v>-0.49590000000000017</v>
      </c>
      <c r="C158" s="1">
        <v>-5.7520000000000022E-2</v>
      </c>
      <c r="D158" s="3">
        <v>1982000</v>
      </c>
    </row>
    <row r="159" spans="1:4" x14ac:dyDescent="0.2">
      <c r="A159" s="1">
        <v>4481</v>
      </c>
      <c r="B159" s="1">
        <v>-0.10510000000000003</v>
      </c>
      <c r="C159" s="1">
        <v>-1.8280000000000008E-2</v>
      </c>
      <c r="D159" s="3">
        <v>1658000</v>
      </c>
    </row>
    <row r="160" spans="1:4" x14ac:dyDescent="0.2">
      <c r="A160" s="1">
        <v>4482</v>
      </c>
      <c r="B160" s="1">
        <v>-0.12890000000000004</v>
      </c>
      <c r="C160" s="1">
        <v>5.864000000000002E-3</v>
      </c>
      <c r="D160" s="3">
        <v>341000</v>
      </c>
    </row>
    <row r="161" spans="1:4" x14ac:dyDescent="0.2">
      <c r="A161" s="1">
        <v>4483</v>
      </c>
      <c r="B161" s="1">
        <v>-0.11020000000000003</v>
      </c>
      <c r="C161" s="1">
        <v>1.7020000000000007E-2</v>
      </c>
      <c r="D161" s="3">
        <v>443000</v>
      </c>
    </row>
    <row r="162" spans="1:4" x14ac:dyDescent="0.2">
      <c r="A162" s="1">
        <v>4511</v>
      </c>
      <c r="B162" s="1">
        <v>-0.35640000000000011</v>
      </c>
      <c r="C162" s="1">
        <v>-0.10200000000000004</v>
      </c>
      <c r="D162" s="3">
        <v>1042000</v>
      </c>
    </row>
    <row r="163" spans="1:4" x14ac:dyDescent="0.2">
      <c r="A163" s="1">
        <v>4512</v>
      </c>
      <c r="B163" s="1">
        <v>-0.35210000000000014</v>
      </c>
      <c r="C163" s="1">
        <v>-6.6530000000000034E-2</v>
      </c>
      <c r="D163" s="3">
        <v>193000</v>
      </c>
    </row>
    <row r="164" spans="1:4" x14ac:dyDescent="0.2">
      <c r="A164" s="1">
        <v>4521</v>
      </c>
      <c r="B164" s="1">
        <v>-0.33520000000000011</v>
      </c>
      <c r="C164" s="1">
        <v>-7.1110000000000034E-2</v>
      </c>
      <c r="D164" s="3">
        <v>3284000</v>
      </c>
    </row>
    <row r="165" spans="1:4" x14ac:dyDescent="0.2">
      <c r="A165" s="1">
        <v>4529</v>
      </c>
      <c r="B165" s="1">
        <v>-0.40200000000000014</v>
      </c>
      <c r="C165" s="1">
        <v>-7.5190000000000035E-2</v>
      </c>
      <c r="D165" s="3">
        <v>5497000</v>
      </c>
    </row>
    <row r="166" spans="1:4" x14ac:dyDescent="0.2">
      <c r="A166" s="1">
        <v>4531</v>
      </c>
      <c r="B166" s="1">
        <v>-0.51280000000000014</v>
      </c>
      <c r="C166" s="1">
        <v>-0.13390000000000005</v>
      </c>
      <c r="D166" s="3">
        <v>138000</v>
      </c>
    </row>
    <row r="167" spans="1:4" x14ac:dyDescent="0.2">
      <c r="A167" s="1">
        <v>4532</v>
      </c>
      <c r="B167" s="1">
        <v>-0.24030000000000007</v>
      </c>
      <c r="C167" s="1">
        <v>-1.5430000000000006E-2</v>
      </c>
      <c r="D167" s="3">
        <v>677000</v>
      </c>
    </row>
    <row r="168" spans="1:4" x14ac:dyDescent="0.2">
      <c r="A168" s="1">
        <v>4533</v>
      </c>
      <c r="B168" s="1">
        <v>-0.46450000000000014</v>
      </c>
      <c r="C168" s="1">
        <v>-8.4470000000000031E-2</v>
      </c>
      <c r="D168" s="3">
        <v>347000</v>
      </c>
    </row>
    <row r="169" spans="1:4" x14ac:dyDescent="0.2">
      <c r="A169" s="1">
        <v>4539</v>
      </c>
      <c r="B169" s="1">
        <v>-0.27120000000000011</v>
      </c>
      <c r="C169" s="1">
        <v>-2.8540000000000013E-2</v>
      </c>
      <c r="D169" s="3">
        <v>827000</v>
      </c>
    </row>
    <row r="170" spans="1:4" x14ac:dyDescent="0.2">
      <c r="A170" s="1">
        <v>4541</v>
      </c>
      <c r="B170" s="1">
        <v>7.2800000000000031E-2</v>
      </c>
      <c r="C170" s="1">
        <v>6.2480000000000029E-2</v>
      </c>
      <c r="D170" s="3">
        <v>1317000</v>
      </c>
    </row>
    <row r="171" spans="1:4" x14ac:dyDescent="0.2">
      <c r="A171" s="1">
        <v>4542</v>
      </c>
      <c r="B171" s="1">
        <v>-0.3766000000000001</v>
      </c>
      <c r="C171" s="1">
        <v>-1.9170000000000006E-2</v>
      </c>
      <c r="D171" s="3">
        <v>144000</v>
      </c>
    </row>
    <row r="172" spans="1:4" x14ac:dyDescent="0.2">
      <c r="A172" s="1">
        <v>4543</v>
      </c>
      <c r="B172" s="1">
        <v>-0.13090000000000004</v>
      </c>
      <c r="C172" s="1">
        <v>5.5310000000000026E-2</v>
      </c>
      <c r="D172" s="3">
        <v>569000</v>
      </c>
    </row>
    <row r="173" spans="1:4" x14ac:dyDescent="0.2">
      <c r="A173" s="1">
        <v>4811</v>
      </c>
      <c r="B173" s="1">
        <v>0.17700000000000005</v>
      </c>
      <c r="C173" s="1">
        <v>-1.6440000000000009E-4</v>
      </c>
      <c r="D173" s="3">
        <v>2116000</v>
      </c>
    </row>
    <row r="174" spans="1:4" x14ac:dyDescent="0.2">
      <c r="A174" s="1">
        <v>4812</v>
      </c>
      <c r="B174" s="1">
        <v>0.25290000000000007</v>
      </c>
      <c r="C174" s="1">
        <v>6.3590000000000022E-2</v>
      </c>
      <c r="D174" s="3">
        <v>191000</v>
      </c>
    </row>
    <row r="175" spans="1:4" x14ac:dyDescent="0.2">
      <c r="A175" s="1">
        <v>4821</v>
      </c>
      <c r="B175" s="1">
        <v>8.8400000000000041E-3</v>
      </c>
      <c r="C175" s="1">
        <v>8.1990000000000035E-2</v>
      </c>
      <c r="D175" s="3">
        <v>5600</v>
      </c>
    </row>
    <row r="176" spans="1:4" x14ac:dyDescent="0.2">
      <c r="A176" s="1">
        <v>4831</v>
      </c>
      <c r="B176" s="1">
        <v>0.30890000000000012</v>
      </c>
      <c r="C176" s="1">
        <v>0.13500000000000004</v>
      </c>
      <c r="D176" s="3">
        <v>203000</v>
      </c>
    </row>
    <row r="177" spans="1:4" x14ac:dyDescent="0.2">
      <c r="A177" s="1">
        <v>4832</v>
      </c>
      <c r="B177" s="1">
        <v>0.21170000000000005</v>
      </c>
      <c r="C177" s="1">
        <v>0.17650000000000005</v>
      </c>
      <c r="D177" s="3">
        <v>132000</v>
      </c>
    </row>
    <row r="178" spans="1:4" x14ac:dyDescent="0.2">
      <c r="A178" s="1">
        <v>4841</v>
      </c>
      <c r="B178" s="1">
        <v>-0.14290000000000005</v>
      </c>
      <c r="C178" s="1">
        <v>8.007000000000003E-2</v>
      </c>
      <c r="D178" s="3">
        <v>4267000</v>
      </c>
    </row>
    <row r="179" spans="1:4" x14ac:dyDescent="0.2">
      <c r="A179" s="1">
        <v>4842</v>
      </c>
      <c r="B179" s="1">
        <v>-0.14960000000000004</v>
      </c>
      <c r="C179" s="1">
        <v>9.8420000000000035E-2</v>
      </c>
      <c r="D179" s="3">
        <v>1755000</v>
      </c>
    </row>
    <row r="180" spans="1:4" x14ac:dyDescent="0.2">
      <c r="A180" s="1">
        <v>4851</v>
      </c>
      <c r="B180" s="1">
        <v>0.17170000000000005</v>
      </c>
      <c r="C180" s="1">
        <v>0.15380000000000005</v>
      </c>
      <c r="D180" s="3">
        <v>1269000</v>
      </c>
    </row>
    <row r="181" spans="1:4" x14ac:dyDescent="0.2">
      <c r="A181" s="1">
        <v>4852</v>
      </c>
      <c r="B181" s="1">
        <v>-0.14710000000000004</v>
      </c>
      <c r="C181" s="1">
        <v>4.8800000000000024E-2</v>
      </c>
      <c r="D181" s="3">
        <v>97000</v>
      </c>
    </row>
    <row r="182" spans="1:4" x14ac:dyDescent="0.2">
      <c r="A182" s="1">
        <v>4853</v>
      </c>
      <c r="B182" s="1">
        <v>-0.38050000000000012</v>
      </c>
      <c r="C182" s="1">
        <v>-5.4010000000000023E-2</v>
      </c>
      <c r="D182" s="3">
        <v>222000</v>
      </c>
    </row>
    <row r="183" spans="1:4" x14ac:dyDescent="0.2">
      <c r="A183" s="1">
        <v>4854</v>
      </c>
      <c r="B183" s="1">
        <v>-0.3267000000000001</v>
      </c>
      <c r="C183" s="1">
        <v>-0.12000000000000004</v>
      </c>
      <c r="D183" s="3">
        <v>716000</v>
      </c>
    </row>
    <row r="184" spans="1:4" x14ac:dyDescent="0.2">
      <c r="A184" s="1">
        <v>4855</v>
      </c>
      <c r="B184" s="1">
        <v>-0.35160000000000013</v>
      </c>
      <c r="C184" s="1">
        <v>-1.8920000000000006E-2</v>
      </c>
      <c r="D184" s="3">
        <v>86000</v>
      </c>
    </row>
    <row r="185" spans="1:4" x14ac:dyDescent="0.2">
      <c r="A185" s="1">
        <v>4859</v>
      </c>
      <c r="B185" s="1">
        <v>-0.39260000000000012</v>
      </c>
      <c r="C185" s="1">
        <v>-4.7580000000000018E-2</v>
      </c>
      <c r="D185" s="3">
        <v>310000</v>
      </c>
    </row>
    <row r="186" spans="1:4" x14ac:dyDescent="0.2">
      <c r="A186" s="1">
        <v>4861</v>
      </c>
      <c r="B186" s="1">
        <v>0.65220000000000022</v>
      </c>
      <c r="C186" s="1">
        <v>0.25950000000000006</v>
      </c>
      <c r="D186" s="3">
        <v>58000</v>
      </c>
    </row>
    <row r="187" spans="1:4" x14ac:dyDescent="0.2">
      <c r="A187" s="1">
        <v>4862</v>
      </c>
      <c r="B187" s="1">
        <v>0.53640000000000021</v>
      </c>
      <c r="C187" s="1">
        <v>0.23610000000000009</v>
      </c>
      <c r="D187" s="3">
        <v>165000</v>
      </c>
    </row>
    <row r="188" spans="1:4" x14ac:dyDescent="0.2">
      <c r="A188" s="1">
        <v>4869</v>
      </c>
      <c r="B188" s="1">
        <v>0.53010000000000013</v>
      </c>
      <c r="C188" s="1">
        <v>0.23990000000000009</v>
      </c>
      <c r="D188" s="3">
        <v>42500</v>
      </c>
    </row>
    <row r="189" spans="1:4" x14ac:dyDescent="0.2">
      <c r="A189" s="1">
        <v>4871</v>
      </c>
      <c r="B189" s="1">
        <v>-0.24940000000000007</v>
      </c>
      <c r="C189" s="1">
        <v>-3.4940000000000013E-2</v>
      </c>
      <c r="D189" s="3">
        <v>38500</v>
      </c>
    </row>
    <row r="190" spans="1:4" x14ac:dyDescent="0.2">
      <c r="A190" s="1">
        <v>4872</v>
      </c>
      <c r="B190" s="1">
        <v>-0.24160000000000006</v>
      </c>
      <c r="C190" s="1">
        <v>-8.3450000000000038E-2</v>
      </c>
      <c r="D190" s="3">
        <v>35000</v>
      </c>
    </row>
    <row r="191" spans="1:4" x14ac:dyDescent="0.2">
      <c r="A191" s="1">
        <v>4879</v>
      </c>
      <c r="B191" s="1">
        <v>-7.2010000000000032E-2</v>
      </c>
      <c r="C191" s="1">
        <v>1.3870000000000006E-2</v>
      </c>
      <c r="D191" s="3">
        <v>9700</v>
      </c>
    </row>
    <row r="192" spans="1:4" x14ac:dyDescent="0.2">
      <c r="A192" s="1">
        <v>4881</v>
      </c>
      <c r="B192" s="1">
        <v>-3.3920000000000013E-2</v>
      </c>
      <c r="C192" s="1">
        <v>4.8690000000000018E-2</v>
      </c>
      <c r="D192" s="3">
        <v>898000</v>
      </c>
    </row>
    <row r="193" spans="1:4" x14ac:dyDescent="0.2">
      <c r="A193" s="1">
        <v>4882</v>
      </c>
      <c r="B193" s="1">
        <v>-6.3550000000000023E-2</v>
      </c>
      <c r="C193" s="1">
        <v>0.14010000000000006</v>
      </c>
      <c r="D193" s="3">
        <v>138000</v>
      </c>
    </row>
    <row r="194" spans="1:4" x14ac:dyDescent="0.2">
      <c r="A194" s="1">
        <v>4883</v>
      </c>
      <c r="B194" s="1">
        <v>0.27950000000000008</v>
      </c>
      <c r="C194" s="1">
        <v>0.15680000000000005</v>
      </c>
      <c r="D194" s="3">
        <v>386000</v>
      </c>
    </row>
    <row r="195" spans="1:4" x14ac:dyDescent="0.2">
      <c r="A195" s="1">
        <v>4884</v>
      </c>
      <c r="B195" s="1">
        <v>-0.22100000000000006</v>
      </c>
      <c r="C195" s="1">
        <v>2.1710000000000011E-2</v>
      </c>
      <c r="D195" s="3">
        <v>432000</v>
      </c>
    </row>
    <row r="196" spans="1:4" x14ac:dyDescent="0.2">
      <c r="A196" s="1">
        <v>4885</v>
      </c>
      <c r="B196" s="1">
        <v>3.7640000000000014E-2</v>
      </c>
      <c r="C196" s="1">
        <v>6.9130000000000025E-2</v>
      </c>
      <c r="D196" s="3">
        <v>944000</v>
      </c>
    </row>
    <row r="197" spans="1:4" x14ac:dyDescent="0.2">
      <c r="A197" s="1">
        <v>4889</v>
      </c>
      <c r="B197" s="1">
        <v>-0.15420000000000006</v>
      </c>
      <c r="C197" s="1">
        <v>4.575000000000002E-2</v>
      </c>
      <c r="D197" s="3">
        <v>121000</v>
      </c>
    </row>
    <row r="198" spans="1:4" x14ac:dyDescent="0.2">
      <c r="A198" s="1">
        <v>4911</v>
      </c>
      <c r="B198" s="1">
        <v>-0.34850000000000009</v>
      </c>
      <c r="C198" s="1">
        <v>1.8100000000000008E-2</v>
      </c>
      <c r="D198" s="3">
        <v>16000</v>
      </c>
    </row>
    <row r="199" spans="1:4" x14ac:dyDescent="0.2">
      <c r="A199" s="1">
        <v>4921</v>
      </c>
      <c r="B199" s="1">
        <v>3.0240000000000011E-3</v>
      </c>
      <c r="C199" s="1">
        <v>3.8790000000000014E-3</v>
      </c>
      <c r="D199" s="3">
        <v>2120000</v>
      </c>
    </row>
    <row r="200" spans="1:4" x14ac:dyDescent="0.2">
      <c r="A200" s="1">
        <v>4922</v>
      </c>
      <c r="B200" s="1">
        <v>-0.31820000000000009</v>
      </c>
      <c r="C200" s="1">
        <v>4.2450000000000014E-3</v>
      </c>
      <c r="D200" s="3">
        <v>184000</v>
      </c>
    </row>
    <row r="201" spans="1:4" x14ac:dyDescent="0.2">
      <c r="A201" s="1">
        <v>4931</v>
      </c>
      <c r="B201" s="1">
        <v>-0.19370000000000007</v>
      </c>
      <c r="C201" s="1">
        <v>4.4470000000000016E-2</v>
      </c>
      <c r="D201" s="3">
        <v>3404000</v>
      </c>
    </row>
    <row r="202" spans="1:4" x14ac:dyDescent="0.2">
      <c r="A202" s="1">
        <v>5111</v>
      </c>
      <c r="B202" s="1">
        <v>0.10470000000000003</v>
      </c>
      <c r="C202" s="1">
        <v>7.6760000000000037E-2</v>
      </c>
      <c r="D202" s="3">
        <v>1907000</v>
      </c>
    </row>
    <row r="203" spans="1:4" x14ac:dyDescent="0.2">
      <c r="A203" s="1">
        <v>5112</v>
      </c>
      <c r="B203" s="1">
        <v>0.66390000000000016</v>
      </c>
      <c r="C203" s="1">
        <v>0.13940000000000005</v>
      </c>
      <c r="D203" s="3">
        <v>1665000</v>
      </c>
    </row>
    <row r="204" spans="1:4" x14ac:dyDescent="0.2">
      <c r="A204" s="1">
        <v>5121</v>
      </c>
      <c r="B204" s="1">
        <v>0.32680000000000009</v>
      </c>
      <c r="C204" s="1">
        <v>5.4200000000000026E-2</v>
      </c>
      <c r="D204" s="3">
        <v>890000</v>
      </c>
    </row>
    <row r="205" spans="1:4" x14ac:dyDescent="0.2">
      <c r="A205" s="1">
        <v>5122</v>
      </c>
      <c r="B205" s="1">
        <v>0.15690000000000004</v>
      </c>
      <c r="C205" s="1">
        <v>4.1970000000000014E-2</v>
      </c>
      <c r="D205" s="3">
        <v>75000</v>
      </c>
    </row>
    <row r="206" spans="1:4" x14ac:dyDescent="0.2">
      <c r="A206" s="1">
        <v>5151</v>
      </c>
      <c r="B206" s="1">
        <v>0.22910000000000008</v>
      </c>
      <c r="C206" s="1">
        <v>7.2730000000000031E-2</v>
      </c>
      <c r="D206" s="3">
        <v>964000</v>
      </c>
    </row>
    <row r="207" spans="1:4" x14ac:dyDescent="0.2">
      <c r="A207" s="1">
        <v>5152</v>
      </c>
      <c r="B207" s="1">
        <v>0.36290000000000011</v>
      </c>
      <c r="C207" s="1">
        <v>0.14760000000000004</v>
      </c>
      <c r="D207" s="3">
        <v>353000</v>
      </c>
    </row>
    <row r="208" spans="1:4" x14ac:dyDescent="0.2">
      <c r="A208" s="1">
        <v>5171</v>
      </c>
      <c r="B208" s="1">
        <v>0.29300000000000009</v>
      </c>
      <c r="C208" s="1">
        <v>0.17730000000000007</v>
      </c>
      <c r="D208" s="3">
        <v>3209000</v>
      </c>
    </row>
    <row r="209" spans="1:4" x14ac:dyDescent="0.2">
      <c r="A209" s="1">
        <v>5172</v>
      </c>
      <c r="B209" s="1">
        <v>0.29640000000000011</v>
      </c>
      <c r="C209" s="1">
        <v>0.17570000000000005</v>
      </c>
      <c r="D209" s="3">
        <v>732000</v>
      </c>
    </row>
    <row r="210" spans="1:4" x14ac:dyDescent="0.2">
      <c r="A210" s="1">
        <v>5174</v>
      </c>
      <c r="B210" s="1">
        <v>0.41910000000000014</v>
      </c>
      <c r="C210" s="1">
        <v>0.13540000000000005</v>
      </c>
      <c r="D210" s="3">
        <v>53000</v>
      </c>
    </row>
    <row r="211" spans="1:4" x14ac:dyDescent="0.2">
      <c r="A211" s="1">
        <v>5179</v>
      </c>
      <c r="B211" s="1">
        <v>0.33960000000000012</v>
      </c>
      <c r="C211" s="1">
        <v>0.15290000000000004</v>
      </c>
      <c r="D211" s="3">
        <v>462000</v>
      </c>
    </row>
    <row r="212" spans="1:4" x14ac:dyDescent="0.2">
      <c r="A212" s="1">
        <v>5182</v>
      </c>
      <c r="B212" s="1">
        <v>0.37130000000000013</v>
      </c>
      <c r="C212" s="1">
        <v>0.11390000000000004</v>
      </c>
      <c r="D212" s="3">
        <v>1418000</v>
      </c>
    </row>
    <row r="213" spans="1:4" x14ac:dyDescent="0.2">
      <c r="A213" s="1">
        <v>5191</v>
      </c>
      <c r="B213" s="1">
        <v>0.46060000000000012</v>
      </c>
      <c r="C213" s="1">
        <v>0.18890000000000007</v>
      </c>
      <c r="D213" s="3">
        <v>1479000</v>
      </c>
    </row>
    <row r="214" spans="1:4" x14ac:dyDescent="0.2">
      <c r="A214" s="1">
        <v>5211</v>
      </c>
      <c r="B214" s="1">
        <v>0.58460000000000023</v>
      </c>
      <c r="C214" s="1">
        <v>0.13490000000000005</v>
      </c>
      <c r="D214" s="3">
        <v>109000</v>
      </c>
    </row>
    <row r="215" spans="1:4" x14ac:dyDescent="0.2">
      <c r="A215" s="1">
        <v>5221</v>
      </c>
      <c r="B215" s="1">
        <v>0.14860000000000004</v>
      </c>
      <c r="C215" s="1">
        <v>8.3160000000000039E-2</v>
      </c>
      <c r="D215" s="3">
        <v>8626000</v>
      </c>
    </row>
    <row r="216" spans="1:4" x14ac:dyDescent="0.2">
      <c r="A216" s="1">
        <v>5222</v>
      </c>
      <c r="B216" s="1">
        <v>0.2914000000000001</v>
      </c>
      <c r="C216" s="1">
        <v>0.11990000000000003</v>
      </c>
      <c r="D216" s="3">
        <v>2925000</v>
      </c>
    </row>
    <row r="217" spans="1:4" x14ac:dyDescent="0.2">
      <c r="A217" s="1">
        <v>5223</v>
      </c>
      <c r="B217" s="1">
        <v>0.23560000000000009</v>
      </c>
      <c r="C217" s="1">
        <v>0.10610000000000003</v>
      </c>
      <c r="D217" s="3">
        <v>1363000</v>
      </c>
    </row>
    <row r="218" spans="1:4" x14ac:dyDescent="0.2">
      <c r="A218" s="1">
        <v>5231</v>
      </c>
      <c r="B218" s="1">
        <v>0.81710000000000027</v>
      </c>
      <c r="C218" s="1">
        <v>0.14390000000000006</v>
      </c>
      <c r="D218" s="3">
        <v>2451000</v>
      </c>
    </row>
    <row r="219" spans="1:4" x14ac:dyDescent="0.2">
      <c r="A219" s="1">
        <v>5232</v>
      </c>
      <c r="B219" s="1">
        <v>0.87560000000000027</v>
      </c>
      <c r="C219" s="1">
        <v>0.17820000000000005</v>
      </c>
      <c r="D219" s="3">
        <v>37000</v>
      </c>
    </row>
    <row r="220" spans="1:4" x14ac:dyDescent="0.2">
      <c r="A220" s="1">
        <v>5239</v>
      </c>
      <c r="B220" s="1">
        <v>0.69660000000000022</v>
      </c>
      <c r="C220" s="1">
        <v>0.12740000000000004</v>
      </c>
      <c r="D220" s="3">
        <v>2152000</v>
      </c>
    </row>
    <row r="221" spans="1:4" x14ac:dyDescent="0.2">
      <c r="A221" s="1">
        <v>5241</v>
      </c>
      <c r="B221" s="1">
        <v>0.33290000000000008</v>
      </c>
      <c r="C221" s="1">
        <v>0.12760000000000005</v>
      </c>
      <c r="D221" s="3">
        <v>6403000</v>
      </c>
    </row>
    <row r="222" spans="1:4" x14ac:dyDescent="0.2">
      <c r="A222" s="1">
        <v>5242</v>
      </c>
      <c r="B222" s="1">
        <v>0.15820000000000006</v>
      </c>
      <c r="C222" s="1">
        <v>7.6720000000000038E-2</v>
      </c>
      <c r="D222" s="3">
        <v>4744000</v>
      </c>
    </row>
    <row r="223" spans="1:4" x14ac:dyDescent="0.2">
      <c r="A223" s="1">
        <v>5251</v>
      </c>
      <c r="B223" s="1">
        <v>0.22590000000000007</v>
      </c>
      <c r="C223" s="1">
        <v>8.4690000000000029E-2</v>
      </c>
      <c r="D223" s="3">
        <v>136000</v>
      </c>
    </row>
    <row r="224" spans="1:4" x14ac:dyDescent="0.2">
      <c r="A224" s="1">
        <v>5259</v>
      </c>
      <c r="B224" s="1">
        <v>0.52150000000000019</v>
      </c>
      <c r="C224" s="1">
        <v>7.0590000000000028E-2</v>
      </c>
      <c r="D224" s="3">
        <v>80000</v>
      </c>
    </row>
    <row r="225" spans="1:4" x14ac:dyDescent="0.2">
      <c r="A225" s="1">
        <v>5311</v>
      </c>
      <c r="B225" s="1">
        <v>-8.8400000000000034E-2</v>
      </c>
      <c r="C225" s="1">
        <v>3.2220000000000013E-2</v>
      </c>
      <c r="D225" s="3">
        <v>2263000</v>
      </c>
    </row>
    <row r="226" spans="1:4" x14ac:dyDescent="0.2">
      <c r="A226" s="1">
        <v>5312</v>
      </c>
      <c r="B226" s="1">
        <v>4.6130000000000018E-2</v>
      </c>
      <c r="C226" s="1">
        <v>1.8100000000000008E-2</v>
      </c>
      <c r="D226" s="3">
        <v>1150000</v>
      </c>
    </row>
    <row r="227" spans="1:4" x14ac:dyDescent="0.2">
      <c r="A227" s="1">
        <v>5313</v>
      </c>
      <c r="B227" s="1">
        <v>-1.8170000000000009E-2</v>
      </c>
      <c r="C227" s="1">
        <v>4.0650000000000019E-2</v>
      </c>
      <c r="D227" s="3">
        <v>2526000</v>
      </c>
    </row>
    <row r="228" spans="1:4" x14ac:dyDescent="0.2">
      <c r="A228" s="1">
        <v>5321</v>
      </c>
      <c r="B228" s="1">
        <v>-4.8010000000000018E-2</v>
      </c>
      <c r="C228" s="1">
        <v>6.0770000000000025E-2</v>
      </c>
      <c r="D228" s="3">
        <v>696000</v>
      </c>
    </row>
    <row r="229" spans="1:4" x14ac:dyDescent="0.2">
      <c r="A229" s="1">
        <v>5322</v>
      </c>
      <c r="B229" s="1">
        <v>-0.18630000000000005</v>
      </c>
      <c r="C229" s="1">
        <v>4.9690000000000019E-2</v>
      </c>
      <c r="D229" s="3">
        <v>582000</v>
      </c>
    </row>
    <row r="230" spans="1:4" x14ac:dyDescent="0.2">
      <c r="A230" s="1">
        <v>5323</v>
      </c>
      <c r="B230" s="1">
        <v>-0.10610000000000003</v>
      </c>
      <c r="C230" s="1">
        <v>6.858000000000003E-2</v>
      </c>
      <c r="D230" s="3">
        <v>162000</v>
      </c>
    </row>
    <row r="231" spans="1:4" x14ac:dyDescent="0.2">
      <c r="A231" s="1">
        <v>5324</v>
      </c>
      <c r="B231" s="1">
        <v>0.12960000000000005</v>
      </c>
      <c r="C231" s="1">
        <v>0.14660000000000004</v>
      </c>
      <c r="D231" s="3">
        <v>637000</v>
      </c>
    </row>
    <row r="232" spans="1:4" x14ac:dyDescent="0.2">
      <c r="A232" s="1">
        <v>5331</v>
      </c>
      <c r="B232" s="1">
        <v>0.37490000000000012</v>
      </c>
      <c r="C232" s="1">
        <v>7.1160000000000029E-2</v>
      </c>
      <c r="D232" s="3">
        <v>113000</v>
      </c>
    </row>
    <row r="233" spans="1:4" x14ac:dyDescent="0.2">
      <c r="A233" s="1">
        <v>5411</v>
      </c>
      <c r="B233" s="1">
        <v>0.33540000000000009</v>
      </c>
      <c r="C233" s="1">
        <v>8.9640000000000039E-2</v>
      </c>
      <c r="D233" s="3">
        <v>5531000</v>
      </c>
    </row>
    <row r="234" spans="1:4" x14ac:dyDescent="0.2">
      <c r="A234" s="1">
        <v>5412</v>
      </c>
      <c r="B234" s="1">
        <v>0.26480000000000009</v>
      </c>
      <c r="C234" s="1">
        <v>4.2040000000000015E-2</v>
      </c>
      <c r="D234" s="3">
        <v>3992000</v>
      </c>
    </row>
    <row r="235" spans="1:4" x14ac:dyDescent="0.2">
      <c r="A235" s="1">
        <v>5413</v>
      </c>
      <c r="B235" s="1">
        <v>0.30820000000000008</v>
      </c>
      <c r="C235" s="1">
        <v>0.10300000000000004</v>
      </c>
      <c r="D235" s="3">
        <v>6888000</v>
      </c>
    </row>
    <row r="236" spans="1:4" x14ac:dyDescent="0.2">
      <c r="A236" s="1">
        <v>5414</v>
      </c>
      <c r="B236" s="1">
        <v>0.12410000000000004</v>
      </c>
      <c r="C236" s="1">
        <v>3.0530000000000012E-2</v>
      </c>
      <c r="D236" s="3">
        <v>586000</v>
      </c>
    </row>
    <row r="237" spans="1:4" x14ac:dyDescent="0.2">
      <c r="A237" s="1">
        <v>5415</v>
      </c>
      <c r="B237" s="1">
        <v>0.47470000000000018</v>
      </c>
      <c r="C237" s="1">
        <v>8.4230000000000041E-2</v>
      </c>
      <c r="D237" s="3">
        <v>9159000</v>
      </c>
    </row>
    <row r="238" spans="1:4" x14ac:dyDescent="0.2">
      <c r="A238" s="1">
        <v>5416</v>
      </c>
      <c r="B238" s="1">
        <v>0.37040000000000012</v>
      </c>
      <c r="C238" s="1">
        <v>6.3260000000000025E-2</v>
      </c>
      <c r="D238" s="3">
        <v>5499000</v>
      </c>
    </row>
    <row r="239" spans="1:4" x14ac:dyDescent="0.2">
      <c r="A239" s="1">
        <v>5417</v>
      </c>
      <c r="B239" s="1">
        <v>0.55590000000000017</v>
      </c>
      <c r="C239" s="1">
        <v>0.12950000000000003</v>
      </c>
      <c r="D239" s="3">
        <v>3432000</v>
      </c>
    </row>
    <row r="240" spans="1:4" x14ac:dyDescent="0.2">
      <c r="A240" s="1">
        <v>5418</v>
      </c>
      <c r="B240" s="1">
        <v>0.3272000000000001</v>
      </c>
      <c r="C240" s="1">
        <v>5.495000000000002E-2</v>
      </c>
      <c r="D240" s="3">
        <v>1976000</v>
      </c>
    </row>
    <row r="241" spans="1:4" x14ac:dyDescent="0.2">
      <c r="A241" s="1">
        <v>5419</v>
      </c>
      <c r="B241" s="1">
        <v>2.2080000000000009E-2</v>
      </c>
      <c r="C241" s="1">
        <v>2.8730000000000012E-2</v>
      </c>
      <c r="D241" s="3">
        <v>2343000</v>
      </c>
    </row>
    <row r="242" spans="1:4" x14ac:dyDescent="0.2">
      <c r="A242" s="1">
        <v>5511</v>
      </c>
      <c r="B242" s="1">
        <v>0.30740000000000012</v>
      </c>
      <c r="C242" s="1">
        <v>0.10120000000000003</v>
      </c>
      <c r="D242" s="3">
        <v>10910000</v>
      </c>
    </row>
    <row r="243" spans="1:4" x14ac:dyDescent="0.2">
      <c r="A243" s="1">
        <v>5611</v>
      </c>
      <c r="B243" s="1">
        <v>0.22370000000000007</v>
      </c>
      <c r="C243" s="1">
        <v>7.0630000000000026E-2</v>
      </c>
      <c r="D243" s="3">
        <v>2004000</v>
      </c>
    </row>
    <row r="244" spans="1:4" x14ac:dyDescent="0.2">
      <c r="A244" s="1">
        <v>5612</v>
      </c>
      <c r="B244" s="1">
        <v>-3.8710000000000015E-2</v>
      </c>
      <c r="C244" s="1">
        <v>9.2070000000000041E-2</v>
      </c>
      <c r="D244" s="3">
        <v>574000</v>
      </c>
    </row>
    <row r="245" spans="1:4" x14ac:dyDescent="0.2">
      <c r="A245" s="1">
        <v>5613</v>
      </c>
      <c r="B245" s="1">
        <v>-0.16200000000000006</v>
      </c>
      <c r="C245" s="1">
        <v>-7.6390000000000027E-2</v>
      </c>
      <c r="D245" s="3">
        <v>6443000</v>
      </c>
    </row>
    <row r="246" spans="1:4" x14ac:dyDescent="0.2">
      <c r="A246" s="1">
        <v>5614</v>
      </c>
      <c r="B246" s="1">
        <v>-0.12060000000000004</v>
      </c>
      <c r="C246" s="1">
        <v>1.8700000000000008E-2</v>
      </c>
      <c r="D246" s="3">
        <v>3087000</v>
      </c>
    </row>
    <row r="247" spans="1:4" x14ac:dyDescent="0.2">
      <c r="A247" s="1">
        <v>5615</v>
      </c>
      <c r="B247" s="1">
        <v>1.9740000000000008E-2</v>
      </c>
      <c r="C247" s="1">
        <v>3.9030000000000016E-2</v>
      </c>
      <c r="D247" s="3">
        <v>871000</v>
      </c>
    </row>
    <row r="248" spans="1:4" x14ac:dyDescent="0.2">
      <c r="A248" s="1">
        <v>5616</v>
      </c>
      <c r="B248" s="1">
        <v>-0.31520000000000009</v>
      </c>
      <c r="C248" s="1">
        <v>-5.0050000000000018E-2</v>
      </c>
      <c r="D248" s="3">
        <v>2650000</v>
      </c>
    </row>
    <row r="249" spans="1:4" x14ac:dyDescent="0.2">
      <c r="A249" s="1">
        <v>5617</v>
      </c>
      <c r="B249" s="1">
        <v>-0.3650000000000001</v>
      </c>
      <c r="C249" s="1">
        <v>-3.9500000000000014E-2</v>
      </c>
      <c r="D249" s="3">
        <v>5109000</v>
      </c>
    </row>
    <row r="250" spans="1:4" x14ac:dyDescent="0.2">
      <c r="A250" s="1">
        <v>5619</v>
      </c>
      <c r="B250" s="1">
        <v>-3.7600000000000015E-2</v>
      </c>
      <c r="C250" s="1">
        <v>4.1810000000000021E-2</v>
      </c>
      <c r="D250" s="3">
        <v>994000</v>
      </c>
    </row>
    <row r="251" spans="1:4" x14ac:dyDescent="0.2">
      <c r="A251" s="1">
        <v>5621</v>
      </c>
      <c r="B251" s="1">
        <v>-7.4520000000000031E-2</v>
      </c>
      <c r="C251" s="1">
        <v>0.11960000000000004</v>
      </c>
      <c r="D251" s="3">
        <v>745000</v>
      </c>
    </row>
    <row r="252" spans="1:4" x14ac:dyDescent="0.2">
      <c r="A252" s="1">
        <v>5622</v>
      </c>
      <c r="B252" s="1">
        <v>0.13980000000000004</v>
      </c>
      <c r="C252" s="1">
        <v>0.14300000000000004</v>
      </c>
      <c r="D252" s="3">
        <v>636000</v>
      </c>
    </row>
    <row r="253" spans="1:4" x14ac:dyDescent="0.2">
      <c r="A253" s="1">
        <v>5629</v>
      </c>
      <c r="B253" s="1">
        <v>-1.2730000000000005E-2</v>
      </c>
      <c r="C253" s="1">
        <v>0.10960000000000003</v>
      </c>
      <c r="D253" s="3">
        <v>559000</v>
      </c>
    </row>
    <row r="254" spans="1:4" x14ac:dyDescent="0.2">
      <c r="A254" s="1">
        <v>6111</v>
      </c>
      <c r="B254" s="1">
        <v>0</v>
      </c>
      <c r="C254" s="1">
        <v>0</v>
      </c>
      <c r="D254" s="3">
        <v>36170000</v>
      </c>
    </row>
    <row r="255" spans="1:4" x14ac:dyDescent="0.2">
      <c r="A255" s="1">
        <v>6112</v>
      </c>
      <c r="B255" s="1">
        <v>1.2480000000000005E-2</v>
      </c>
      <c r="C255" s="1">
        <v>-6.7360000000000031E-2</v>
      </c>
      <c r="D255" s="3">
        <v>2230000</v>
      </c>
    </row>
    <row r="256" spans="1:4" x14ac:dyDescent="0.2">
      <c r="A256" s="1">
        <v>6113</v>
      </c>
      <c r="B256" s="1">
        <v>0.13650000000000004</v>
      </c>
      <c r="C256" s="1">
        <v>-5.7230000000000024E-2</v>
      </c>
      <c r="D256" s="3">
        <v>12240000</v>
      </c>
    </row>
    <row r="257" spans="1:4" x14ac:dyDescent="0.2">
      <c r="A257" s="1">
        <v>6114</v>
      </c>
      <c r="B257" s="1">
        <v>0.18210000000000007</v>
      </c>
      <c r="C257" s="1">
        <v>3.5230000000000018E-2</v>
      </c>
      <c r="D257" s="3">
        <v>311000</v>
      </c>
    </row>
    <row r="258" spans="1:4" x14ac:dyDescent="0.2">
      <c r="A258" s="1">
        <v>6115</v>
      </c>
      <c r="B258" s="1">
        <v>-2.6450000000000012E-2</v>
      </c>
      <c r="C258" s="1">
        <v>9.9370000000000031E-3</v>
      </c>
      <c r="D258" s="3">
        <v>528000</v>
      </c>
    </row>
    <row r="259" spans="1:4" x14ac:dyDescent="0.2">
      <c r="A259" s="1">
        <v>6116</v>
      </c>
      <c r="B259" s="1">
        <v>-0.16010000000000005</v>
      </c>
      <c r="C259" s="1">
        <v>-8.3980000000000041E-2</v>
      </c>
      <c r="D259" s="3">
        <v>698000</v>
      </c>
    </row>
    <row r="260" spans="1:4" x14ac:dyDescent="0.2">
      <c r="A260" s="1">
        <v>6117</v>
      </c>
      <c r="B260" s="1">
        <v>0.11510000000000004</v>
      </c>
      <c r="C260" s="1">
        <v>-4.3810000000000021E-3</v>
      </c>
      <c r="D260" s="3">
        <v>529000</v>
      </c>
    </row>
    <row r="261" spans="1:4" x14ac:dyDescent="0.2">
      <c r="A261" s="1">
        <v>6211</v>
      </c>
      <c r="B261" s="1">
        <v>0.19070000000000006</v>
      </c>
      <c r="C261" s="1">
        <v>7.019000000000003E-2</v>
      </c>
      <c r="D261" s="3">
        <v>11040000</v>
      </c>
    </row>
    <row r="262" spans="1:4" x14ac:dyDescent="0.2">
      <c r="A262" s="1">
        <v>6212</v>
      </c>
      <c r="B262" s="1">
        <v>-3.1740000000000011E-2</v>
      </c>
      <c r="C262" s="1">
        <v>1.8340000000000009E-2</v>
      </c>
      <c r="D262" s="3">
        <v>3649000</v>
      </c>
    </row>
    <row r="263" spans="1:4" x14ac:dyDescent="0.2">
      <c r="A263" s="1">
        <v>6213</v>
      </c>
      <c r="B263" s="1">
        <v>-6.8660000000000027E-2</v>
      </c>
      <c r="C263" s="1">
        <v>-1.6630000000000006E-2</v>
      </c>
      <c r="D263" s="3">
        <v>2811000</v>
      </c>
    </row>
    <row r="264" spans="1:4" x14ac:dyDescent="0.2">
      <c r="A264" s="1">
        <v>6214</v>
      </c>
      <c r="B264" s="1">
        <v>0.11280000000000004</v>
      </c>
      <c r="C264" s="1">
        <v>5.9830000000000022E-2</v>
      </c>
      <c r="D264" s="3">
        <v>3369000</v>
      </c>
    </row>
    <row r="265" spans="1:4" x14ac:dyDescent="0.2">
      <c r="A265" s="1">
        <v>6215</v>
      </c>
      <c r="B265" s="1">
        <v>9.1020000000000031E-2</v>
      </c>
      <c r="C265" s="1">
        <v>7.9740000000000033E-2</v>
      </c>
      <c r="D265" s="3">
        <v>1180000</v>
      </c>
    </row>
    <row r="266" spans="1:4" x14ac:dyDescent="0.2">
      <c r="A266" s="1">
        <v>6216</v>
      </c>
      <c r="B266" s="1">
        <v>-0.10970000000000003</v>
      </c>
      <c r="C266" s="1">
        <v>9.3850000000000042E-4</v>
      </c>
      <c r="D266" s="3">
        <v>3004000</v>
      </c>
    </row>
    <row r="267" spans="1:4" x14ac:dyDescent="0.2">
      <c r="A267" s="1">
        <v>6219</v>
      </c>
      <c r="B267" s="1">
        <v>-5.0330000000000021E-2</v>
      </c>
      <c r="C267" s="1">
        <v>3.5750000000000018E-2</v>
      </c>
      <c r="D267" s="3">
        <v>1110000</v>
      </c>
    </row>
    <row r="268" spans="1:4" x14ac:dyDescent="0.2">
      <c r="A268" s="1">
        <v>6221</v>
      </c>
      <c r="B268" s="1">
        <v>0.15630000000000005</v>
      </c>
      <c r="C268" s="1">
        <v>5.0210000000000019E-2</v>
      </c>
      <c r="D268" s="3">
        <v>25440000</v>
      </c>
    </row>
    <row r="269" spans="1:4" x14ac:dyDescent="0.2">
      <c r="A269" s="1">
        <v>6222</v>
      </c>
      <c r="B269" s="1">
        <v>1.3230000000000006E-3</v>
      </c>
      <c r="C269" s="1">
        <v>4.6620000000000023E-2</v>
      </c>
      <c r="D269" s="3">
        <v>1077000</v>
      </c>
    </row>
    <row r="270" spans="1:4" x14ac:dyDescent="0.2">
      <c r="A270" s="1">
        <v>6223</v>
      </c>
      <c r="B270" s="1">
        <v>0.21110000000000007</v>
      </c>
      <c r="C270" s="1">
        <v>5.1740000000000022E-2</v>
      </c>
      <c r="D270" s="3">
        <v>1164000</v>
      </c>
    </row>
    <row r="271" spans="1:4" x14ac:dyDescent="0.2">
      <c r="A271" s="1">
        <v>6231</v>
      </c>
      <c r="B271" s="1">
        <v>-0.21360000000000007</v>
      </c>
      <c r="C271" s="1">
        <v>1.1550000000000005E-2</v>
      </c>
      <c r="D271" s="3">
        <v>5964000</v>
      </c>
    </row>
    <row r="272" spans="1:4" x14ac:dyDescent="0.2">
      <c r="A272" s="1">
        <v>6232</v>
      </c>
      <c r="B272" s="1">
        <v>-0.23740000000000008</v>
      </c>
      <c r="C272" s="1">
        <v>-9.3870000000000043E-4</v>
      </c>
      <c r="D272" s="3">
        <v>2477000</v>
      </c>
    </row>
    <row r="273" spans="1:4" x14ac:dyDescent="0.2">
      <c r="A273" s="1">
        <v>6233</v>
      </c>
      <c r="B273" s="1">
        <v>-0.32840000000000008</v>
      </c>
      <c r="C273" s="1">
        <v>-2.6760000000000013E-2</v>
      </c>
      <c r="D273" s="3">
        <v>2452000</v>
      </c>
    </row>
    <row r="274" spans="1:4" x14ac:dyDescent="0.2">
      <c r="A274" s="1">
        <v>6239</v>
      </c>
      <c r="B274" s="1">
        <v>-0.22270000000000006</v>
      </c>
      <c r="C274" s="1">
        <v>-1.2040000000000006E-2</v>
      </c>
      <c r="D274" s="3">
        <v>626000</v>
      </c>
    </row>
    <row r="275" spans="1:4" x14ac:dyDescent="0.2">
      <c r="A275" s="1">
        <v>6241</v>
      </c>
      <c r="B275" s="1">
        <v>-0.23450000000000007</v>
      </c>
      <c r="C275" s="1">
        <v>-3.9920000000000018E-2</v>
      </c>
      <c r="D275" s="3">
        <v>4909000</v>
      </c>
    </row>
    <row r="276" spans="1:4" x14ac:dyDescent="0.2">
      <c r="A276" s="1">
        <v>6242</v>
      </c>
      <c r="B276" s="1">
        <v>-0.14550000000000005</v>
      </c>
      <c r="C276" s="1">
        <v>-2.9490000000000013E-2</v>
      </c>
      <c r="D276" s="3">
        <v>574000</v>
      </c>
    </row>
    <row r="277" spans="1:4" x14ac:dyDescent="0.2">
      <c r="A277" s="1">
        <v>6243</v>
      </c>
      <c r="B277" s="1">
        <v>-0.3171000000000001</v>
      </c>
      <c r="C277" s="1">
        <v>-3.2060000000000012E-2</v>
      </c>
      <c r="D277" s="3">
        <v>1096000</v>
      </c>
    </row>
    <row r="278" spans="1:4" x14ac:dyDescent="0.2">
      <c r="A278" s="1">
        <v>6244</v>
      </c>
      <c r="B278" s="1">
        <v>-0.40830000000000011</v>
      </c>
      <c r="C278" s="1">
        <v>-0.10480000000000003</v>
      </c>
      <c r="D278" s="3">
        <v>2319000</v>
      </c>
    </row>
    <row r="279" spans="1:4" x14ac:dyDescent="0.2">
      <c r="A279" s="1">
        <v>7111</v>
      </c>
      <c r="B279" s="1">
        <v>-3.6660000000000012E-2</v>
      </c>
      <c r="C279" s="1">
        <v>-4.2090000000000016E-2</v>
      </c>
      <c r="D279" s="3">
        <v>288000</v>
      </c>
    </row>
    <row r="280" spans="1:4" x14ac:dyDescent="0.2">
      <c r="A280" s="1">
        <v>7112</v>
      </c>
      <c r="B280" s="1">
        <v>0.23060000000000008</v>
      </c>
      <c r="C280" s="1">
        <v>3.6980000000000013E-2</v>
      </c>
      <c r="D280" s="3">
        <v>358000</v>
      </c>
    </row>
    <row r="281" spans="1:4" x14ac:dyDescent="0.2">
      <c r="A281" s="1">
        <v>7113</v>
      </c>
      <c r="B281" s="1">
        <v>7.3220000000000035E-2</v>
      </c>
      <c r="C281" s="1">
        <v>2.347000000000001E-3</v>
      </c>
      <c r="D281" s="3">
        <v>264000</v>
      </c>
    </row>
    <row r="282" spans="1:4" x14ac:dyDescent="0.2">
      <c r="A282" s="1">
        <v>7114</v>
      </c>
      <c r="B282" s="1">
        <v>0.36680000000000013</v>
      </c>
      <c r="C282" s="1">
        <v>-2.7110000000000012E-3</v>
      </c>
      <c r="D282" s="3">
        <v>91000</v>
      </c>
    </row>
    <row r="283" spans="1:4" x14ac:dyDescent="0.2">
      <c r="A283" s="1">
        <v>7115</v>
      </c>
      <c r="B283" s="1">
        <v>0.17490000000000006</v>
      </c>
      <c r="C283" s="1">
        <v>1.9740000000000008E-2</v>
      </c>
      <c r="D283" s="3">
        <v>165000</v>
      </c>
    </row>
    <row r="284" spans="1:4" x14ac:dyDescent="0.2">
      <c r="A284" s="1">
        <v>7121</v>
      </c>
      <c r="B284" s="1">
        <v>-6.4470000000000027E-2</v>
      </c>
      <c r="C284" s="1">
        <v>-2.4890000000000009E-2</v>
      </c>
      <c r="D284" s="3">
        <v>738000</v>
      </c>
    </row>
    <row r="285" spans="1:4" x14ac:dyDescent="0.2">
      <c r="A285" s="1">
        <v>7131</v>
      </c>
      <c r="B285" s="1">
        <v>-0.23590000000000008</v>
      </c>
      <c r="C285" s="1">
        <v>-8.545000000000004E-2</v>
      </c>
      <c r="D285" s="3">
        <v>431000</v>
      </c>
    </row>
    <row r="286" spans="1:4" x14ac:dyDescent="0.2">
      <c r="A286" s="1">
        <v>7132</v>
      </c>
      <c r="B286" s="1">
        <v>-0.30540000000000012</v>
      </c>
      <c r="C286" s="1">
        <v>8.4100000000000025E-3</v>
      </c>
      <c r="D286" s="3">
        <v>1112000</v>
      </c>
    </row>
    <row r="287" spans="1:4" x14ac:dyDescent="0.2">
      <c r="A287" s="1">
        <v>7139</v>
      </c>
      <c r="B287" s="1">
        <v>-0.21890000000000007</v>
      </c>
      <c r="C287" s="1">
        <v>-6.7240000000000022E-2</v>
      </c>
      <c r="D287" s="3">
        <v>2485000</v>
      </c>
    </row>
    <row r="288" spans="1:4" x14ac:dyDescent="0.2">
      <c r="A288" s="1">
        <v>7211</v>
      </c>
      <c r="B288" s="1">
        <v>-0.2869000000000001</v>
      </c>
      <c r="C288" s="1">
        <v>-3.5830000000000015E-2</v>
      </c>
      <c r="D288" s="3">
        <v>5768000</v>
      </c>
    </row>
    <row r="289" spans="1:4" x14ac:dyDescent="0.2">
      <c r="A289" s="1">
        <v>7212</v>
      </c>
      <c r="B289" s="1">
        <v>-0.36190000000000011</v>
      </c>
      <c r="C289" s="1">
        <v>-0.11440000000000004</v>
      </c>
      <c r="D289" s="3">
        <v>109000</v>
      </c>
    </row>
    <row r="290" spans="1:4" x14ac:dyDescent="0.2">
      <c r="A290" s="1">
        <v>7213</v>
      </c>
      <c r="B290" s="1">
        <v>-0.34000000000000014</v>
      </c>
      <c r="C290" s="1">
        <v>-1.5170000000000006E-2</v>
      </c>
      <c r="D290" s="3">
        <v>26000</v>
      </c>
    </row>
    <row r="291" spans="1:4" x14ac:dyDescent="0.2">
      <c r="A291" s="1">
        <v>7223</v>
      </c>
      <c r="B291" s="1">
        <v>-0.34260000000000013</v>
      </c>
      <c r="C291" s="1">
        <v>-5.7440000000000026E-2</v>
      </c>
      <c r="D291" s="3">
        <v>1492000</v>
      </c>
    </row>
    <row r="292" spans="1:4" x14ac:dyDescent="0.2">
      <c r="A292" s="1">
        <v>7224</v>
      </c>
      <c r="B292" s="1">
        <v>-0.50990000000000013</v>
      </c>
      <c r="C292" s="1">
        <v>-0.17550000000000004</v>
      </c>
      <c r="D292" s="3">
        <v>538000</v>
      </c>
    </row>
    <row r="293" spans="1:4" x14ac:dyDescent="0.2">
      <c r="A293" s="1">
        <v>7225</v>
      </c>
      <c r="B293" s="1">
        <v>-0.44380000000000014</v>
      </c>
      <c r="C293" s="1">
        <v>-0.11950000000000004</v>
      </c>
      <c r="D293" s="3">
        <v>13740000</v>
      </c>
    </row>
    <row r="294" spans="1:4" x14ac:dyDescent="0.2">
      <c r="A294" s="1">
        <v>8111</v>
      </c>
      <c r="B294" s="1">
        <v>-0.28050000000000008</v>
      </c>
      <c r="C294" s="1">
        <v>-1.9300000000000008E-2</v>
      </c>
      <c r="D294" s="3">
        <v>3261000</v>
      </c>
    </row>
    <row r="295" spans="1:4" x14ac:dyDescent="0.2">
      <c r="A295" s="1">
        <v>8112</v>
      </c>
      <c r="B295" s="1">
        <v>-1.8580000000000006E-2</v>
      </c>
      <c r="C295" s="1">
        <v>4.8550000000000024E-2</v>
      </c>
      <c r="D295" s="3">
        <v>466000</v>
      </c>
    </row>
    <row r="296" spans="1:4" x14ac:dyDescent="0.2">
      <c r="A296" s="1">
        <v>8113</v>
      </c>
      <c r="B296" s="1">
        <v>-2.2030000000000008E-2</v>
      </c>
      <c r="C296" s="1">
        <v>8.4130000000000038E-2</v>
      </c>
      <c r="D296" s="3">
        <v>889000</v>
      </c>
    </row>
    <row r="297" spans="1:4" x14ac:dyDescent="0.2">
      <c r="A297" s="1">
        <v>8114</v>
      </c>
      <c r="B297" s="1">
        <v>-0.34340000000000009</v>
      </c>
      <c r="C297" s="1">
        <v>-3.2430000000000014E-2</v>
      </c>
      <c r="D297" s="3">
        <v>265000</v>
      </c>
    </row>
    <row r="298" spans="1:4" x14ac:dyDescent="0.2">
      <c r="A298" s="1">
        <v>8121</v>
      </c>
      <c r="B298" s="1">
        <v>-0.35310000000000014</v>
      </c>
      <c r="C298" s="1">
        <v>-9.8250000000000046E-2</v>
      </c>
      <c r="D298" s="3">
        <v>1644000</v>
      </c>
    </row>
    <row r="299" spans="1:4" x14ac:dyDescent="0.2">
      <c r="A299" s="1">
        <v>8122</v>
      </c>
      <c r="B299" s="1">
        <v>-0.14710000000000004</v>
      </c>
      <c r="C299" s="1">
        <v>-9.4370000000000044E-3</v>
      </c>
      <c r="D299" s="3">
        <v>414000</v>
      </c>
    </row>
    <row r="300" spans="1:4" x14ac:dyDescent="0.2">
      <c r="A300" s="1">
        <v>8123</v>
      </c>
      <c r="B300" s="1">
        <v>-0.39990000000000014</v>
      </c>
      <c r="C300" s="1">
        <v>4.6580000000000015E-3</v>
      </c>
      <c r="D300" s="3">
        <v>944000</v>
      </c>
    </row>
    <row r="301" spans="1:4" x14ac:dyDescent="0.2">
      <c r="A301" s="1">
        <v>8129</v>
      </c>
      <c r="B301" s="1">
        <v>-0.32300000000000012</v>
      </c>
      <c r="C301" s="1">
        <v>-7.044000000000003E-2</v>
      </c>
      <c r="D301" s="3">
        <v>711000</v>
      </c>
    </row>
    <row r="302" spans="1:4" x14ac:dyDescent="0.2">
      <c r="A302" s="1">
        <v>8131</v>
      </c>
      <c r="B302" s="1">
        <v>-0.25450000000000006</v>
      </c>
      <c r="C302" s="1">
        <v>-8.5240000000000038E-2</v>
      </c>
      <c r="D302" s="3">
        <v>513000</v>
      </c>
    </row>
    <row r="303" spans="1:4" x14ac:dyDescent="0.2">
      <c r="A303" s="1">
        <v>8132</v>
      </c>
      <c r="B303" s="1">
        <v>0.23580000000000007</v>
      </c>
      <c r="C303" s="1">
        <v>1.8560000000000007E-2</v>
      </c>
      <c r="D303" s="3">
        <v>600000</v>
      </c>
    </row>
    <row r="304" spans="1:4" x14ac:dyDescent="0.2">
      <c r="A304" s="1">
        <v>8133</v>
      </c>
      <c r="B304" s="1">
        <v>2.2390000000000011E-2</v>
      </c>
      <c r="C304" s="1">
        <v>-1.2970000000000006E-2</v>
      </c>
      <c r="D304" s="3">
        <v>826000</v>
      </c>
    </row>
    <row r="305" spans="1:4" x14ac:dyDescent="0.2">
      <c r="A305" s="1">
        <v>8134</v>
      </c>
      <c r="B305" s="1">
        <v>-0.18380000000000005</v>
      </c>
      <c r="C305" s="1">
        <v>-6.6800000000000026E-2</v>
      </c>
      <c r="D305" s="3">
        <v>652000</v>
      </c>
    </row>
    <row r="306" spans="1:4" x14ac:dyDescent="0.2">
      <c r="A306" s="1">
        <v>8139</v>
      </c>
      <c r="B306" s="1">
        <v>0.21320000000000006</v>
      </c>
      <c r="C306" s="1">
        <v>5.5410000000000022E-2</v>
      </c>
      <c r="D306" s="3">
        <v>1623000</v>
      </c>
    </row>
    <row r="307" spans="1:4" x14ac:dyDescent="0.2">
      <c r="A307" s="1">
        <v>8141</v>
      </c>
      <c r="B307" s="1">
        <v>-0.30630000000000007</v>
      </c>
      <c r="C307" s="1">
        <v>-7.4560000000000026E-3</v>
      </c>
      <c r="D307" s="3">
        <v>678000</v>
      </c>
    </row>
    <row r="308" spans="1:4" x14ac:dyDescent="0.2">
      <c r="A308" s="1">
        <v>9211</v>
      </c>
      <c r="B308" s="1">
        <v>1.1500000000000005E-2</v>
      </c>
      <c r="C308" s="1">
        <v>7.6540000000000039E-2</v>
      </c>
      <c r="D308" s="3">
        <v>13380000</v>
      </c>
    </row>
    <row r="309" spans="1:4" x14ac:dyDescent="0.2">
      <c r="A309" s="1">
        <v>9221</v>
      </c>
      <c r="B309" s="1">
        <v>0.10190000000000003</v>
      </c>
      <c r="C309" s="1">
        <v>9.2270000000000033E-2</v>
      </c>
      <c r="D309" s="3">
        <v>8480000</v>
      </c>
    </row>
    <row r="310" spans="1:4" x14ac:dyDescent="0.2">
      <c r="A310" s="1">
        <v>9231</v>
      </c>
      <c r="B310" s="1">
        <v>6.6450000000000023E-2</v>
      </c>
      <c r="C310" s="1">
        <v>4.6040000000000018E-2</v>
      </c>
      <c r="D310" s="3">
        <v>3160000</v>
      </c>
    </row>
    <row r="311" spans="1:4" x14ac:dyDescent="0.2">
      <c r="A311" s="1">
        <v>9241</v>
      </c>
      <c r="B311" s="1">
        <v>5.1240000000000022E-2</v>
      </c>
      <c r="C311" s="1">
        <v>4.4880000000000017E-2</v>
      </c>
      <c r="D311" s="3">
        <v>1051000</v>
      </c>
    </row>
    <row r="312" spans="1:4" x14ac:dyDescent="0.2">
      <c r="A312" s="1">
        <v>9251</v>
      </c>
      <c r="B312" s="1">
        <v>3.0240000000000013E-2</v>
      </c>
      <c r="C312" s="1">
        <v>5.8380000000000022E-2</v>
      </c>
      <c r="D312" s="3">
        <v>401000</v>
      </c>
    </row>
    <row r="313" spans="1:4" x14ac:dyDescent="0.2">
      <c r="A313" s="1">
        <v>9261</v>
      </c>
      <c r="B313" s="1">
        <v>3.4030000000000012E-2</v>
      </c>
      <c r="C313" s="1">
        <v>4.0320000000000016E-2</v>
      </c>
      <c r="D313" s="3">
        <v>1911000</v>
      </c>
    </row>
    <row r="314" spans="1:4" x14ac:dyDescent="0.2">
      <c r="A314" s="1">
        <v>9281</v>
      </c>
      <c r="B314" s="1">
        <v>-0.20500000000000007</v>
      </c>
      <c r="C314" s="1">
        <v>3.3140000000000017E-2</v>
      </c>
      <c r="D314" s="3">
        <v>81500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80BD-B364-4E37-8944-490E502DE349}">
  <dimension ref="A1:E625"/>
  <sheetViews>
    <sheetView zoomScale="85" zoomScaleNormal="85" workbookViewId="0">
      <selection activeCell="E625" sqref="C4:E625"/>
    </sheetView>
  </sheetViews>
  <sheetFormatPr baseColWidth="10" defaultColWidth="8.83203125" defaultRowHeight="15" x14ac:dyDescent="0.2"/>
  <cols>
    <col min="1" max="1" width="18" style="1" customWidth="1"/>
    <col min="2" max="2" width="29.6640625" style="1" customWidth="1"/>
    <col min="3" max="3" width="15.5" style="1" customWidth="1"/>
    <col min="4" max="4" width="20.6640625" style="1" customWidth="1"/>
    <col min="5" max="5" width="29.6640625" style="1" customWidth="1"/>
    <col min="6" max="16384" width="8.83203125" style="1"/>
  </cols>
  <sheetData>
    <row r="1" spans="1:5" x14ac:dyDescent="0.2">
      <c r="A1" s="2" t="s">
        <v>145</v>
      </c>
      <c r="E1" s="3"/>
    </row>
    <row r="2" spans="1:5" x14ac:dyDescent="0.2">
      <c r="E2" s="3"/>
    </row>
    <row r="3" spans="1:5" x14ac:dyDescent="0.2">
      <c r="A3" s="1" t="s">
        <v>16</v>
      </c>
      <c r="B3" s="1" t="s">
        <v>11</v>
      </c>
      <c r="C3" s="1" t="s">
        <v>13</v>
      </c>
      <c r="D3" s="1" t="s">
        <v>14</v>
      </c>
      <c r="E3" s="3" t="s">
        <v>15</v>
      </c>
    </row>
    <row r="4" spans="1:5" x14ac:dyDescent="0.2">
      <c r="A4" s="1" t="s">
        <v>17</v>
      </c>
      <c r="B4" s="1">
        <v>1111</v>
      </c>
      <c r="C4" s="1">
        <v>9.283000000000003</v>
      </c>
      <c r="D4" s="1">
        <v>0.14260000000000003</v>
      </c>
      <c r="E4" s="3">
        <v>79000</v>
      </c>
    </row>
    <row r="5" spans="1:5" x14ac:dyDescent="0.2">
      <c r="A5" s="1" t="s">
        <v>17</v>
      </c>
      <c r="B5" s="1">
        <v>1112</v>
      </c>
      <c r="C5" s="1">
        <v>9.2320000000000029</v>
      </c>
      <c r="D5" s="1">
        <v>0.15810000000000005</v>
      </c>
      <c r="E5" s="3">
        <v>86000</v>
      </c>
    </row>
    <row r="6" spans="1:5" x14ac:dyDescent="0.2">
      <c r="A6" s="1" t="s">
        <v>17</v>
      </c>
      <c r="B6" s="1">
        <v>1113</v>
      </c>
      <c r="C6" s="1">
        <v>9.1900000000000031</v>
      </c>
      <c r="D6" s="1">
        <v>0.10290000000000003</v>
      </c>
      <c r="E6" s="3">
        <v>114000</v>
      </c>
    </row>
    <row r="7" spans="1:5" x14ac:dyDescent="0.2">
      <c r="A7" s="1" t="s">
        <v>17</v>
      </c>
      <c r="B7" s="1">
        <v>1114</v>
      </c>
      <c r="C7" s="1">
        <v>9.1570000000000018</v>
      </c>
      <c r="D7" s="1">
        <v>0.10570000000000003</v>
      </c>
      <c r="E7" s="3">
        <v>141000</v>
      </c>
    </row>
    <row r="8" spans="1:5" x14ac:dyDescent="0.2">
      <c r="A8" s="1" t="s">
        <v>17</v>
      </c>
      <c r="B8" s="1">
        <v>1119</v>
      </c>
      <c r="C8" s="1">
        <v>9.2200000000000024</v>
      </c>
      <c r="D8" s="1">
        <v>0.12910000000000005</v>
      </c>
      <c r="E8" s="3">
        <v>76500</v>
      </c>
    </row>
    <row r="9" spans="1:5" x14ac:dyDescent="0.2">
      <c r="A9" s="1" t="s">
        <v>17</v>
      </c>
      <c r="B9" s="1">
        <v>1121</v>
      </c>
      <c r="C9" s="1">
        <v>9.1900000000000031</v>
      </c>
      <c r="D9" s="1">
        <v>0.16870000000000004</v>
      </c>
      <c r="E9" s="3">
        <v>183000</v>
      </c>
    </row>
    <row r="10" spans="1:5" x14ac:dyDescent="0.2">
      <c r="A10" s="1" t="s">
        <v>17</v>
      </c>
      <c r="B10" s="1">
        <v>1122</v>
      </c>
      <c r="C10" s="1">
        <v>9.1290000000000013</v>
      </c>
      <c r="D10" s="1">
        <v>0.25700000000000006</v>
      </c>
      <c r="E10" s="3">
        <v>59500</v>
      </c>
    </row>
    <row r="11" spans="1:5" x14ac:dyDescent="0.2">
      <c r="A11" s="1" t="s">
        <v>17</v>
      </c>
      <c r="B11" s="1">
        <v>1123</v>
      </c>
      <c r="C11" s="1">
        <v>9.1220000000000017</v>
      </c>
      <c r="D11" s="1">
        <v>0.23380000000000006</v>
      </c>
      <c r="E11" s="3">
        <v>73000</v>
      </c>
    </row>
    <row r="12" spans="1:5" x14ac:dyDescent="0.2">
      <c r="A12" s="1" t="s">
        <v>17</v>
      </c>
      <c r="B12" s="1">
        <v>1124</v>
      </c>
      <c r="C12" s="1">
        <v>9.2010000000000023</v>
      </c>
      <c r="D12" s="1">
        <v>9.4340000000000035E-2</v>
      </c>
      <c r="E12" s="3">
        <v>1000</v>
      </c>
    </row>
    <row r="13" spans="1:5" x14ac:dyDescent="0.2">
      <c r="A13" s="1" t="s">
        <v>17</v>
      </c>
      <c r="B13" s="1">
        <v>1125</v>
      </c>
      <c r="C13" s="1">
        <v>9.2470000000000017</v>
      </c>
      <c r="D13" s="1">
        <v>0.15160000000000004</v>
      </c>
      <c r="E13" s="3">
        <v>7100</v>
      </c>
    </row>
    <row r="14" spans="1:5" x14ac:dyDescent="0.2">
      <c r="A14" s="1" t="s">
        <v>17</v>
      </c>
      <c r="B14" s="1">
        <v>1129</v>
      </c>
      <c r="C14" s="1">
        <v>9.1960000000000015</v>
      </c>
      <c r="D14" s="1">
        <v>0.16280000000000006</v>
      </c>
      <c r="E14" s="3">
        <v>21000</v>
      </c>
    </row>
    <row r="15" spans="1:5" x14ac:dyDescent="0.2">
      <c r="A15" s="1" t="s">
        <v>17</v>
      </c>
      <c r="B15" s="1">
        <v>1131</v>
      </c>
      <c r="C15" s="1">
        <v>9.3130000000000024</v>
      </c>
      <c r="D15" s="1">
        <v>0.20290000000000005</v>
      </c>
      <c r="E15" s="3">
        <v>3600</v>
      </c>
    </row>
    <row r="16" spans="1:5" x14ac:dyDescent="0.2">
      <c r="A16" s="1" t="s">
        <v>17</v>
      </c>
      <c r="B16" s="1">
        <v>1132</v>
      </c>
      <c r="C16" s="1">
        <v>9.267000000000003</v>
      </c>
      <c r="D16" s="1">
        <v>8.9760000000000034E-2</v>
      </c>
      <c r="E16" s="3">
        <v>2700</v>
      </c>
    </row>
    <row r="17" spans="1:5" x14ac:dyDescent="0.2">
      <c r="A17" s="1" t="s">
        <v>17</v>
      </c>
      <c r="B17" s="1">
        <v>1133</v>
      </c>
      <c r="C17" s="1">
        <v>9.3080000000000016</v>
      </c>
      <c r="D17" s="1">
        <v>0.18930000000000005</v>
      </c>
      <c r="E17" s="3">
        <v>128000</v>
      </c>
    </row>
    <row r="18" spans="1:5" x14ac:dyDescent="0.2">
      <c r="A18" s="1" t="s">
        <v>17</v>
      </c>
      <c r="B18" s="1">
        <v>1141</v>
      </c>
      <c r="C18" s="1">
        <v>9.4870000000000019</v>
      </c>
      <c r="D18" s="1">
        <v>0.48780000000000018</v>
      </c>
      <c r="E18" s="3">
        <v>6400</v>
      </c>
    </row>
    <row r="19" spans="1:5" x14ac:dyDescent="0.2">
      <c r="A19" s="1" t="s">
        <v>17</v>
      </c>
      <c r="B19" s="1">
        <v>1142</v>
      </c>
      <c r="C19" s="1">
        <v>9.2450000000000028</v>
      </c>
      <c r="D19" s="1">
        <v>0.11320000000000004</v>
      </c>
      <c r="E19" s="3">
        <v>1800</v>
      </c>
    </row>
    <row r="20" spans="1:5" x14ac:dyDescent="0.2">
      <c r="A20" s="1" t="s">
        <v>17</v>
      </c>
      <c r="B20" s="1">
        <v>1151</v>
      </c>
      <c r="C20" s="1">
        <v>9.1670000000000016</v>
      </c>
      <c r="D20" s="1">
        <v>0.16020000000000006</v>
      </c>
      <c r="E20" s="3">
        <v>197000</v>
      </c>
    </row>
    <row r="21" spans="1:5" x14ac:dyDescent="0.2">
      <c r="A21" s="1" t="s">
        <v>17</v>
      </c>
      <c r="B21" s="1">
        <v>1152</v>
      </c>
      <c r="C21" s="1">
        <v>9.2490000000000023</v>
      </c>
      <c r="D21" s="1">
        <v>0.18020000000000005</v>
      </c>
      <c r="E21" s="3">
        <v>26500</v>
      </c>
    </row>
    <row r="22" spans="1:5" x14ac:dyDescent="0.2">
      <c r="A22" s="1" t="s">
        <v>17</v>
      </c>
      <c r="B22" s="1">
        <v>1153</v>
      </c>
      <c r="C22" s="1">
        <v>9.3130000000000024</v>
      </c>
      <c r="D22" s="1">
        <v>0.20480000000000007</v>
      </c>
      <c r="E22" s="3">
        <v>12000</v>
      </c>
    </row>
    <row r="23" spans="1:5" x14ac:dyDescent="0.2">
      <c r="A23" s="1" t="s">
        <v>17</v>
      </c>
      <c r="B23" s="1">
        <v>2111</v>
      </c>
      <c r="C23" s="1">
        <v>9.5650000000000031</v>
      </c>
      <c r="D23" s="1">
        <v>0.60250000000000015</v>
      </c>
      <c r="E23" s="3">
        <v>182000</v>
      </c>
    </row>
    <row r="24" spans="1:5" x14ac:dyDescent="0.2">
      <c r="A24" s="1" t="s">
        <v>17</v>
      </c>
      <c r="B24" s="1">
        <v>2121</v>
      </c>
      <c r="C24" s="1">
        <v>9.3210000000000015</v>
      </c>
      <c r="D24" s="1">
        <v>0.7876000000000003</v>
      </c>
      <c r="E24" s="3">
        <v>203000</v>
      </c>
    </row>
    <row r="25" spans="1:5" x14ac:dyDescent="0.2">
      <c r="A25" s="1" t="s">
        <v>17</v>
      </c>
      <c r="B25" s="1">
        <v>2122</v>
      </c>
      <c r="C25" s="1">
        <v>9.3900000000000023</v>
      </c>
      <c r="D25" s="1">
        <v>0.72690000000000021</v>
      </c>
      <c r="E25" s="3">
        <v>85000</v>
      </c>
    </row>
    <row r="26" spans="1:5" x14ac:dyDescent="0.2">
      <c r="A26" s="1" t="s">
        <v>17</v>
      </c>
      <c r="B26" s="1">
        <v>2123</v>
      </c>
      <c r="C26" s="1">
        <v>9.3470000000000031</v>
      </c>
      <c r="D26" s="1">
        <v>0.39290000000000014</v>
      </c>
      <c r="E26" s="3">
        <v>255000</v>
      </c>
    </row>
    <row r="27" spans="1:5" x14ac:dyDescent="0.2">
      <c r="A27" s="1" t="s">
        <v>17</v>
      </c>
      <c r="B27" s="1">
        <v>2131</v>
      </c>
      <c r="C27" s="1">
        <v>9.4110000000000014</v>
      </c>
      <c r="D27" s="1">
        <v>0.60850000000000015</v>
      </c>
      <c r="E27" s="3">
        <v>493000</v>
      </c>
    </row>
    <row r="28" spans="1:5" x14ac:dyDescent="0.2">
      <c r="A28" s="1" t="s">
        <v>17</v>
      </c>
      <c r="B28" s="1">
        <v>2211</v>
      </c>
      <c r="C28" s="1">
        <v>9.6560000000000024</v>
      </c>
      <c r="D28" s="1">
        <v>0.5405000000000002</v>
      </c>
      <c r="E28" s="3">
        <v>664000</v>
      </c>
    </row>
    <row r="29" spans="1:5" x14ac:dyDescent="0.2">
      <c r="A29" s="1" t="s">
        <v>17</v>
      </c>
      <c r="B29" s="1">
        <v>2212</v>
      </c>
      <c r="C29" s="1">
        <v>9.599000000000002</v>
      </c>
      <c r="D29" s="1">
        <v>0.49820000000000014</v>
      </c>
      <c r="E29" s="3">
        <v>164000</v>
      </c>
    </row>
    <row r="30" spans="1:5" x14ac:dyDescent="0.2">
      <c r="A30" s="1" t="s">
        <v>17</v>
      </c>
      <c r="B30" s="1">
        <v>2213</v>
      </c>
      <c r="C30" s="1">
        <v>9.4180000000000028</v>
      </c>
      <c r="D30" s="1">
        <v>0.27540000000000009</v>
      </c>
      <c r="E30" s="3">
        <v>290000</v>
      </c>
    </row>
    <row r="31" spans="1:5" x14ac:dyDescent="0.2">
      <c r="A31" s="1" t="s">
        <v>17</v>
      </c>
      <c r="B31" s="1">
        <v>2361</v>
      </c>
      <c r="C31" s="1">
        <v>9.4040000000000017</v>
      </c>
      <c r="D31" s="1">
        <v>0.13200000000000003</v>
      </c>
      <c r="E31" s="3">
        <v>670000</v>
      </c>
    </row>
    <row r="32" spans="1:5" x14ac:dyDescent="0.2">
      <c r="A32" s="1" t="s">
        <v>17</v>
      </c>
      <c r="B32" s="1">
        <v>2362</v>
      </c>
      <c r="C32" s="1">
        <v>9.4870000000000019</v>
      </c>
      <c r="D32" s="1">
        <v>0.3096000000000001</v>
      </c>
      <c r="E32" s="3">
        <v>1003000</v>
      </c>
    </row>
    <row r="33" spans="1:5" x14ac:dyDescent="0.2">
      <c r="A33" s="1" t="s">
        <v>17</v>
      </c>
      <c r="B33" s="1">
        <v>2371</v>
      </c>
      <c r="C33" s="1">
        <v>9.4730000000000025</v>
      </c>
      <c r="D33" s="1">
        <v>0.3590000000000001</v>
      </c>
      <c r="E33" s="3">
        <v>701000</v>
      </c>
    </row>
    <row r="34" spans="1:5" x14ac:dyDescent="0.2">
      <c r="A34" s="1" t="s">
        <v>17</v>
      </c>
      <c r="B34" s="1">
        <v>2372</v>
      </c>
      <c r="C34" s="1">
        <v>9.360000000000003</v>
      </c>
      <c r="D34" s="1">
        <v>0.22160000000000007</v>
      </c>
      <c r="E34" s="3">
        <v>30000</v>
      </c>
    </row>
    <row r="35" spans="1:5" x14ac:dyDescent="0.2">
      <c r="A35" s="1" t="s">
        <v>17</v>
      </c>
      <c r="B35" s="1">
        <v>2373</v>
      </c>
      <c r="C35" s="1">
        <v>9.4070000000000018</v>
      </c>
      <c r="D35" s="1">
        <v>0.30440000000000011</v>
      </c>
      <c r="E35" s="3">
        <v>941000</v>
      </c>
    </row>
    <row r="36" spans="1:5" x14ac:dyDescent="0.2">
      <c r="A36" s="1" t="s">
        <v>17</v>
      </c>
      <c r="B36" s="1">
        <v>2379</v>
      </c>
      <c r="C36" s="1">
        <v>9.4750000000000014</v>
      </c>
      <c r="D36" s="1">
        <v>0.36820000000000014</v>
      </c>
      <c r="E36" s="3">
        <v>143000</v>
      </c>
    </row>
    <row r="37" spans="1:5" x14ac:dyDescent="0.2">
      <c r="A37" s="1" t="s">
        <v>17</v>
      </c>
      <c r="B37" s="1">
        <v>2381</v>
      </c>
      <c r="C37" s="1">
        <v>9.4000000000000021</v>
      </c>
      <c r="D37" s="1">
        <v>0.19220000000000007</v>
      </c>
      <c r="E37" s="3">
        <v>1001000</v>
      </c>
    </row>
    <row r="38" spans="1:5" x14ac:dyDescent="0.2">
      <c r="A38" s="1" t="s">
        <v>17</v>
      </c>
      <c r="B38" s="1">
        <v>2382</v>
      </c>
      <c r="C38" s="1">
        <v>9.522000000000002</v>
      </c>
      <c r="D38" s="1">
        <v>0.22770000000000007</v>
      </c>
      <c r="E38" s="3">
        <v>2484000</v>
      </c>
    </row>
    <row r="39" spans="1:5" x14ac:dyDescent="0.2">
      <c r="A39" s="1" t="s">
        <v>17</v>
      </c>
      <c r="B39" s="1">
        <v>2383</v>
      </c>
      <c r="C39" s="1">
        <v>9.3930000000000025</v>
      </c>
      <c r="D39" s="1">
        <v>0.18100000000000005</v>
      </c>
      <c r="E39" s="3">
        <v>888000</v>
      </c>
    </row>
    <row r="40" spans="1:5" x14ac:dyDescent="0.2">
      <c r="A40" s="1" t="s">
        <v>17</v>
      </c>
      <c r="B40" s="1">
        <v>2389</v>
      </c>
      <c r="C40" s="1">
        <v>9.413000000000002</v>
      </c>
      <c r="D40" s="1">
        <v>0.24130000000000007</v>
      </c>
      <c r="E40" s="3">
        <v>941000</v>
      </c>
    </row>
    <row r="41" spans="1:5" x14ac:dyDescent="0.2">
      <c r="A41" s="1" t="s">
        <v>17</v>
      </c>
      <c r="B41" s="1">
        <v>3111</v>
      </c>
      <c r="C41" s="1">
        <v>9.2340000000000018</v>
      </c>
      <c r="D41" s="1">
        <v>0.35080000000000011</v>
      </c>
      <c r="E41" s="3">
        <v>124000</v>
      </c>
    </row>
    <row r="42" spans="1:5" x14ac:dyDescent="0.2">
      <c r="A42" s="1" t="s">
        <v>17</v>
      </c>
      <c r="B42" s="1">
        <v>3112</v>
      </c>
      <c r="C42" s="1">
        <v>9.2800000000000029</v>
      </c>
      <c r="D42" s="1">
        <v>0.43820000000000014</v>
      </c>
      <c r="E42" s="3">
        <v>136000</v>
      </c>
    </row>
    <row r="43" spans="1:5" x14ac:dyDescent="0.2">
      <c r="A43" s="1" t="s">
        <v>17</v>
      </c>
      <c r="B43" s="1">
        <v>3113</v>
      </c>
      <c r="C43" s="1">
        <v>9.2060000000000031</v>
      </c>
      <c r="D43" s="1">
        <v>0.36280000000000012</v>
      </c>
      <c r="E43" s="3">
        <v>127000</v>
      </c>
    </row>
    <row r="44" spans="1:5" x14ac:dyDescent="0.2">
      <c r="A44" s="1" t="s">
        <v>17</v>
      </c>
      <c r="B44" s="1">
        <v>3114</v>
      </c>
      <c r="C44" s="1">
        <v>9.1160000000000014</v>
      </c>
      <c r="D44" s="1">
        <v>0.33160000000000012</v>
      </c>
      <c r="E44" s="3">
        <v>364000</v>
      </c>
    </row>
    <row r="45" spans="1:5" x14ac:dyDescent="0.2">
      <c r="A45" s="1" t="s">
        <v>17</v>
      </c>
      <c r="B45" s="1">
        <v>3115</v>
      </c>
      <c r="C45" s="1">
        <v>9.2020000000000017</v>
      </c>
      <c r="D45" s="1">
        <v>0.41180000000000011</v>
      </c>
      <c r="E45" s="3">
        <v>346000</v>
      </c>
    </row>
    <row r="46" spans="1:5" x14ac:dyDescent="0.2">
      <c r="A46" s="1" t="s">
        <v>17</v>
      </c>
      <c r="B46" s="1">
        <v>3116</v>
      </c>
      <c r="C46" s="1">
        <v>9.0040000000000013</v>
      </c>
      <c r="D46" s="1">
        <v>0.29930000000000012</v>
      </c>
      <c r="E46" s="3">
        <v>983000</v>
      </c>
    </row>
    <row r="47" spans="1:5" x14ac:dyDescent="0.2">
      <c r="A47" s="1" t="s">
        <v>17</v>
      </c>
      <c r="B47" s="1">
        <v>3117</v>
      </c>
      <c r="C47" s="1">
        <v>9.1390000000000029</v>
      </c>
      <c r="D47" s="1">
        <v>0.25480000000000008</v>
      </c>
      <c r="E47" s="3">
        <v>43500</v>
      </c>
    </row>
    <row r="48" spans="1:5" x14ac:dyDescent="0.2">
      <c r="A48" s="1" t="s">
        <v>17</v>
      </c>
      <c r="B48" s="1">
        <v>3118</v>
      </c>
      <c r="C48" s="1">
        <v>9.1390000000000029</v>
      </c>
      <c r="D48" s="1">
        <v>0.30950000000000011</v>
      </c>
      <c r="E48" s="3">
        <v>400000</v>
      </c>
    </row>
    <row r="49" spans="1:5" x14ac:dyDescent="0.2">
      <c r="A49" s="1" t="s">
        <v>17</v>
      </c>
      <c r="B49" s="1">
        <v>3119</v>
      </c>
      <c r="C49" s="1">
        <v>9.1610000000000014</v>
      </c>
      <c r="D49" s="1">
        <v>0.33110000000000012</v>
      </c>
      <c r="E49" s="3">
        <v>311000</v>
      </c>
    </row>
    <row r="50" spans="1:5" x14ac:dyDescent="0.2">
      <c r="A50" s="1" t="s">
        <v>17</v>
      </c>
      <c r="B50" s="1">
        <v>3121</v>
      </c>
      <c r="C50" s="1">
        <v>9.3140000000000018</v>
      </c>
      <c r="D50" s="1">
        <v>0.33890000000000009</v>
      </c>
      <c r="E50" s="3">
        <v>242000</v>
      </c>
    </row>
    <row r="51" spans="1:5" x14ac:dyDescent="0.2">
      <c r="A51" s="1" t="s">
        <v>17</v>
      </c>
      <c r="B51" s="1">
        <v>3122</v>
      </c>
      <c r="C51" s="1">
        <v>9.2700000000000014</v>
      </c>
      <c r="D51" s="1">
        <v>0.50160000000000016</v>
      </c>
      <c r="E51" s="3">
        <v>22500</v>
      </c>
    </row>
    <row r="52" spans="1:5" x14ac:dyDescent="0.2">
      <c r="A52" s="1" t="s">
        <v>17</v>
      </c>
      <c r="B52" s="1">
        <v>3131</v>
      </c>
      <c r="C52" s="1">
        <v>8.9960000000000022</v>
      </c>
      <c r="D52" s="1">
        <v>0.23740000000000008</v>
      </c>
      <c r="E52" s="3">
        <v>63500</v>
      </c>
    </row>
    <row r="53" spans="1:5" x14ac:dyDescent="0.2">
      <c r="A53" s="1" t="s">
        <v>17</v>
      </c>
      <c r="B53" s="1">
        <v>3132</v>
      </c>
      <c r="C53" s="1">
        <v>9.0700000000000021</v>
      </c>
      <c r="D53" s="1">
        <v>0.25890000000000007</v>
      </c>
      <c r="E53" s="3">
        <v>121000</v>
      </c>
    </row>
    <row r="54" spans="1:5" x14ac:dyDescent="0.2">
      <c r="A54" s="1" t="s">
        <v>17</v>
      </c>
      <c r="B54" s="1">
        <v>3133</v>
      </c>
      <c r="C54" s="1">
        <v>9.1130000000000013</v>
      </c>
      <c r="D54" s="1">
        <v>0.22380000000000008</v>
      </c>
      <c r="E54" s="3">
        <v>53500</v>
      </c>
    </row>
    <row r="55" spans="1:5" x14ac:dyDescent="0.2">
      <c r="A55" s="1" t="s">
        <v>17</v>
      </c>
      <c r="B55" s="1">
        <v>3141</v>
      </c>
      <c r="C55" s="1">
        <v>9.038000000000002</v>
      </c>
      <c r="D55" s="1">
        <v>0.24160000000000006</v>
      </c>
      <c r="E55" s="3">
        <v>108000</v>
      </c>
    </row>
    <row r="56" spans="1:5" x14ac:dyDescent="0.2">
      <c r="A56" s="1" t="s">
        <v>17</v>
      </c>
      <c r="B56" s="1">
        <v>3149</v>
      </c>
      <c r="C56" s="1">
        <v>9.0840000000000014</v>
      </c>
      <c r="D56" s="1">
        <v>0.13010000000000005</v>
      </c>
      <c r="E56" s="3">
        <v>101000</v>
      </c>
    </row>
    <row r="57" spans="1:5" x14ac:dyDescent="0.2">
      <c r="A57" s="1" t="s">
        <v>17</v>
      </c>
      <c r="B57" s="1">
        <v>3151</v>
      </c>
      <c r="C57" s="1">
        <v>8.9870000000000019</v>
      </c>
      <c r="D57" s="1">
        <v>0.13370000000000004</v>
      </c>
      <c r="E57" s="3">
        <v>26500</v>
      </c>
    </row>
    <row r="58" spans="1:5" x14ac:dyDescent="0.2">
      <c r="A58" s="1" t="s">
        <v>17</v>
      </c>
      <c r="B58" s="1">
        <v>3152</v>
      </c>
      <c r="C58" s="1">
        <v>9.0480000000000018</v>
      </c>
      <c r="D58" s="1">
        <v>0.11060000000000003</v>
      </c>
      <c r="E58" s="3">
        <v>135000</v>
      </c>
    </row>
    <row r="59" spans="1:5" x14ac:dyDescent="0.2">
      <c r="A59" s="1" t="s">
        <v>17</v>
      </c>
      <c r="B59" s="1">
        <v>3159</v>
      </c>
      <c r="C59" s="1">
        <v>9.0400000000000027</v>
      </c>
      <c r="D59" s="1">
        <v>0.12110000000000004</v>
      </c>
      <c r="E59" s="3">
        <v>19000</v>
      </c>
    </row>
    <row r="60" spans="1:5" x14ac:dyDescent="0.2">
      <c r="A60" s="1" t="s">
        <v>17</v>
      </c>
      <c r="B60" s="1">
        <v>3161</v>
      </c>
      <c r="C60" s="1">
        <v>9.131000000000002</v>
      </c>
      <c r="D60" s="1">
        <v>0.24170000000000008</v>
      </c>
      <c r="E60" s="3">
        <v>8900</v>
      </c>
    </row>
    <row r="61" spans="1:5" x14ac:dyDescent="0.2">
      <c r="A61" s="1" t="s">
        <v>17</v>
      </c>
      <c r="B61" s="1">
        <v>3162</v>
      </c>
      <c r="C61" s="1">
        <v>9.0640000000000018</v>
      </c>
      <c r="D61" s="1">
        <v>0.15440000000000004</v>
      </c>
      <c r="E61" s="3">
        <v>35000</v>
      </c>
    </row>
    <row r="62" spans="1:5" x14ac:dyDescent="0.2">
      <c r="A62" s="1" t="s">
        <v>17</v>
      </c>
      <c r="B62" s="1">
        <v>3169</v>
      </c>
      <c r="C62" s="1">
        <v>9.0290000000000017</v>
      </c>
      <c r="D62" s="1">
        <v>9.1020000000000031E-2</v>
      </c>
      <c r="E62" s="3">
        <v>20000</v>
      </c>
    </row>
    <row r="63" spans="1:5" x14ac:dyDescent="0.2">
      <c r="A63" s="1" t="s">
        <v>17</v>
      </c>
      <c r="B63" s="1">
        <v>3211</v>
      </c>
      <c r="C63" s="1">
        <v>9.2290000000000028</v>
      </c>
      <c r="D63" s="1">
        <v>0.22530000000000008</v>
      </c>
      <c r="E63" s="3">
        <v>214000</v>
      </c>
    </row>
    <row r="64" spans="1:5" x14ac:dyDescent="0.2">
      <c r="A64" s="1" t="s">
        <v>17</v>
      </c>
      <c r="B64" s="1">
        <v>3212</v>
      </c>
      <c r="C64" s="1">
        <v>9.2040000000000024</v>
      </c>
      <c r="D64" s="1">
        <v>0.29170000000000007</v>
      </c>
      <c r="E64" s="3">
        <v>160000</v>
      </c>
    </row>
    <row r="65" spans="1:5" x14ac:dyDescent="0.2">
      <c r="A65" s="1" t="s">
        <v>17</v>
      </c>
      <c r="B65" s="1">
        <v>3219</v>
      </c>
      <c r="C65" s="1">
        <v>9.1700000000000017</v>
      </c>
      <c r="D65" s="1">
        <v>0.17560000000000006</v>
      </c>
      <c r="E65" s="3">
        <v>468000</v>
      </c>
    </row>
    <row r="66" spans="1:5" x14ac:dyDescent="0.2">
      <c r="A66" s="1" t="s">
        <v>17</v>
      </c>
      <c r="B66" s="1">
        <v>3221</v>
      </c>
      <c r="C66" s="1">
        <v>9.3990000000000027</v>
      </c>
      <c r="D66" s="1">
        <v>0.56240000000000023</v>
      </c>
      <c r="E66" s="3">
        <v>279000</v>
      </c>
    </row>
    <row r="67" spans="1:5" x14ac:dyDescent="0.2">
      <c r="A67" s="1" t="s">
        <v>17</v>
      </c>
      <c r="B67" s="1">
        <v>3222</v>
      </c>
      <c r="C67" s="1">
        <v>9.2230000000000025</v>
      </c>
      <c r="D67" s="1">
        <v>0.37200000000000011</v>
      </c>
      <c r="E67" s="3">
        <v>631000</v>
      </c>
    </row>
    <row r="68" spans="1:5" x14ac:dyDescent="0.2">
      <c r="A68" s="1" t="s">
        <v>17</v>
      </c>
      <c r="B68" s="1">
        <v>3231</v>
      </c>
      <c r="C68" s="1">
        <v>9.2470000000000017</v>
      </c>
      <c r="D68" s="1">
        <v>0.22630000000000008</v>
      </c>
      <c r="E68" s="3">
        <v>817000</v>
      </c>
    </row>
    <row r="69" spans="1:5" x14ac:dyDescent="0.2">
      <c r="A69" s="1" t="s">
        <v>17</v>
      </c>
      <c r="B69" s="1">
        <v>3241</v>
      </c>
      <c r="C69" s="1">
        <v>9.5200000000000031</v>
      </c>
      <c r="D69" s="1">
        <v>0.56760000000000022</v>
      </c>
      <c r="E69" s="3">
        <v>182000</v>
      </c>
    </row>
    <row r="70" spans="1:5" x14ac:dyDescent="0.2">
      <c r="A70" s="1" t="s">
        <v>17</v>
      </c>
      <c r="B70" s="1">
        <v>3251</v>
      </c>
      <c r="C70" s="1">
        <v>9.4460000000000015</v>
      </c>
      <c r="D70" s="1">
        <v>0.51610000000000011</v>
      </c>
      <c r="E70" s="3">
        <v>217000</v>
      </c>
    </row>
    <row r="71" spans="1:5" x14ac:dyDescent="0.2">
      <c r="A71" s="1" t="s">
        <v>17</v>
      </c>
      <c r="B71" s="1">
        <v>3252</v>
      </c>
      <c r="C71" s="1">
        <v>9.3710000000000022</v>
      </c>
      <c r="D71" s="1">
        <v>0.50170000000000015</v>
      </c>
      <c r="E71" s="3">
        <v>153000</v>
      </c>
    </row>
    <row r="72" spans="1:5" x14ac:dyDescent="0.2">
      <c r="A72" s="1" t="s">
        <v>17</v>
      </c>
      <c r="B72" s="1">
        <v>3253</v>
      </c>
      <c r="C72" s="1">
        <v>9.3880000000000017</v>
      </c>
      <c r="D72" s="1">
        <v>0.45250000000000012</v>
      </c>
      <c r="E72" s="3">
        <v>62500</v>
      </c>
    </row>
    <row r="73" spans="1:5" x14ac:dyDescent="0.2">
      <c r="A73" s="1" t="s">
        <v>17</v>
      </c>
      <c r="B73" s="1">
        <v>3254</v>
      </c>
      <c r="C73" s="1">
        <v>9.2970000000000024</v>
      </c>
      <c r="D73" s="1">
        <v>0.43340000000000012</v>
      </c>
      <c r="E73" s="3">
        <v>226000</v>
      </c>
    </row>
    <row r="74" spans="1:5" x14ac:dyDescent="0.2">
      <c r="A74" s="1" t="s">
        <v>17</v>
      </c>
      <c r="B74" s="1">
        <v>3255</v>
      </c>
      <c r="C74" s="1">
        <v>9.3110000000000017</v>
      </c>
      <c r="D74" s="1">
        <v>0.3363000000000001</v>
      </c>
      <c r="E74" s="3">
        <v>90500</v>
      </c>
    </row>
    <row r="75" spans="1:5" x14ac:dyDescent="0.2">
      <c r="A75" s="1" t="s">
        <v>17</v>
      </c>
      <c r="B75" s="1">
        <v>3256</v>
      </c>
      <c r="C75" s="1">
        <v>9.2040000000000024</v>
      </c>
      <c r="D75" s="1">
        <v>0.32110000000000011</v>
      </c>
      <c r="E75" s="3">
        <v>151000</v>
      </c>
    </row>
    <row r="76" spans="1:5" x14ac:dyDescent="0.2">
      <c r="A76" s="1" t="s">
        <v>17</v>
      </c>
      <c r="B76" s="1">
        <v>3259</v>
      </c>
      <c r="C76" s="1">
        <v>9.2800000000000029</v>
      </c>
      <c r="D76" s="1">
        <v>0.36840000000000012</v>
      </c>
      <c r="E76" s="3">
        <v>142000</v>
      </c>
    </row>
    <row r="77" spans="1:5" x14ac:dyDescent="0.2">
      <c r="A77" s="1" t="s">
        <v>17</v>
      </c>
      <c r="B77" s="1">
        <v>3261</v>
      </c>
      <c r="C77" s="1">
        <v>9.1680000000000028</v>
      </c>
      <c r="D77" s="1">
        <v>0.27540000000000009</v>
      </c>
      <c r="E77" s="3">
        <v>1140000</v>
      </c>
    </row>
    <row r="78" spans="1:5" x14ac:dyDescent="0.2">
      <c r="A78" s="1" t="s">
        <v>17</v>
      </c>
      <c r="B78" s="1">
        <v>3262</v>
      </c>
      <c r="C78" s="1">
        <v>9.1970000000000027</v>
      </c>
      <c r="D78" s="1">
        <v>0.37820000000000015</v>
      </c>
      <c r="E78" s="3">
        <v>306000</v>
      </c>
    </row>
    <row r="79" spans="1:5" x14ac:dyDescent="0.2">
      <c r="A79" s="1" t="s">
        <v>17</v>
      </c>
      <c r="B79" s="1">
        <v>3271</v>
      </c>
      <c r="C79" s="1">
        <v>9.1850000000000023</v>
      </c>
      <c r="D79" s="1">
        <v>0.29580000000000012</v>
      </c>
      <c r="E79" s="3">
        <v>90000</v>
      </c>
    </row>
    <row r="80" spans="1:5" x14ac:dyDescent="0.2">
      <c r="A80" s="1" t="s">
        <v>17</v>
      </c>
      <c r="B80" s="1">
        <v>3272</v>
      </c>
      <c r="C80" s="1">
        <v>9.2160000000000029</v>
      </c>
      <c r="D80" s="1">
        <v>0.40450000000000014</v>
      </c>
      <c r="E80" s="3">
        <v>187000</v>
      </c>
    </row>
    <row r="81" spans="1:5" x14ac:dyDescent="0.2">
      <c r="A81" s="1" t="s">
        <v>17</v>
      </c>
      <c r="B81" s="1">
        <v>3273</v>
      </c>
      <c r="C81" s="1">
        <v>9.3200000000000021</v>
      </c>
      <c r="D81" s="1">
        <v>0.30610000000000009</v>
      </c>
      <c r="E81" s="3">
        <v>409000</v>
      </c>
    </row>
    <row r="82" spans="1:5" x14ac:dyDescent="0.2">
      <c r="A82" s="1" t="s">
        <v>17</v>
      </c>
      <c r="B82" s="1">
        <v>3274</v>
      </c>
      <c r="C82" s="1">
        <v>9.2770000000000028</v>
      </c>
      <c r="D82" s="1">
        <v>0.51810000000000012</v>
      </c>
      <c r="E82" s="3">
        <v>40500</v>
      </c>
    </row>
    <row r="83" spans="1:5" x14ac:dyDescent="0.2">
      <c r="A83" s="1" t="s">
        <v>17</v>
      </c>
      <c r="B83" s="1">
        <v>3279</v>
      </c>
      <c r="C83" s="1">
        <v>9.2680000000000025</v>
      </c>
      <c r="D83" s="1">
        <v>0.31890000000000013</v>
      </c>
      <c r="E83" s="3">
        <v>137000</v>
      </c>
    </row>
    <row r="84" spans="1:5" x14ac:dyDescent="0.2">
      <c r="A84" s="1" t="s">
        <v>17</v>
      </c>
      <c r="B84" s="1">
        <v>3311</v>
      </c>
      <c r="C84" s="1">
        <v>9.3860000000000028</v>
      </c>
      <c r="D84" s="1">
        <v>0.65570000000000017</v>
      </c>
      <c r="E84" s="3">
        <v>198000</v>
      </c>
    </row>
    <row r="85" spans="1:5" x14ac:dyDescent="0.2">
      <c r="A85" s="1" t="s">
        <v>17</v>
      </c>
      <c r="B85" s="1">
        <v>3312</v>
      </c>
      <c r="C85" s="1">
        <v>9.2710000000000026</v>
      </c>
      <c r="D85" s="1">
        <v>0.42240000000000011</v>
      </c>
      <c r="E85" s="3">
        <v>132000</v>
      </c>
    </row>
    <row r="86" spans="1:5" x14ac:dyDescent="0.2">
      <c r="A86" s="1" t="s">
        <v>17</v>
      </c>
      <c r="B86" s="1">
        <v>3313</v>
      </c>
      <c r="C86" s="1">
        <v>9.2370000000000019</v>
      </c>
      <c r="D86" s="1">
        <v>0.48770000000000013</v>
      </c>
      <c r="E86" s="3">
        <v>139000</v>
      </c>
    </row>
    <row r="87" spans="1:5" x14ac:dyDescent="0.2">
      <c r="A87" s="1" t="s">
        <v>17</v>
      </c>
      <c r="B87" s="1">
        <v>3314</v>
      </c>
      <c r="C87" s="1">
        <v>9.2850000000000019</v>
      </c>
      <c r="D87" s="1">
        <v>0.44330000000000014</v>
      </c>
      <c r="E87" s="3">
        <v>141000</v>
      </c>
    </row>
    <row r="88" spans="1:5" x14ac:dyDescent="0.2">
      <c r="A88" s="1" t="s">
        <v>17</v>
      </c>
      <c r="B88" s="1">
        <v>3315</v>
      </c>
      <c r="C88" s="1">
        <v>9.224000000000002</v>
      </c>
      <c r="D88" s="1">
        <v>0.37250000000000011</v>
      </c>
      <c r="E88" s="3">
        <v>326000</v>
      </c>
    </row>
    <row r="89" spans="1:5" x14ac:dyDescent="0.2">
      <c r="A89" s="1" t="s">
        <v>17</v>
      </c>
      <c r="B89" s="1">
        <v>3321</v>
      </c>
      <c r="C89" s="1">
        <v>9.2680000000000025</v>
      </c>
      <c r="D89" s="1">
        <v>0.29920000000000008</v>
      </c>
      <c r="E89" s="3">
        <v>235000</v>
      </c>
    </row>
    <row r="90" spans="1:5" x14ac:dyDescent="0.2">
      <c r="A90" s="1" t="s">
        <v>17</v>
      </c>
      <c r="B90" s="1">
        <v>3322</v>
      </c>
      <c r="C90" s="1">
        <v>9.2300000000000022</v>
      </c>
      <c r="D90" s="1">
        <v>0.28430000000000011</v>
      </c>
      <c r="E90" s="3">
        <v>86000</v>
      </c>
    </row>
    <row r="91" spans="1:5" x14ac:dyDescent="0.2">
      <c r="A91" s="1" t="s">
        <v>17</v>
      </c>
      <c r="B91" s="1">
        <v>3323</v>
      </c>
      <c r="C91" s="1">
        <v>9.2890000000000015</v>
      </c>
      <c r="D91" s="1">
        <v>0.25450000000000006</v>
      </c>
      <c r="E91" s="3">
        <v>700000</v>
      </c>
    </row>
    <row r="92" spans="1:5" x14ac:dyDescent="0.2">
      <c r="A92" s="1" t="s">
        <v>17</v>
      </c>
      <c r="B92" s="1">
        <v>3324</v>
      </c>
      <c r="C92" s="1">
        <v>9.304000000000002</v>
      </c>
      <c r="D92" s="1">
        <v>0.38310000000000011</v>
      </c>
      <c r="E92" s="3">
        <v>210000</v>
      </c>
    </row>
    <row r="93" spans="1:5" x14ac:dyDescent="0.2">
      <c r="A93" s="1" t="s">
        <v>17</v>
      </c>
      <c r="B93" s="1">
        <v>3325</v>
      </c>
      <c r="C93" s="1">
        <v>9.1940000000000026</v>
      </c>
      <c r="D93" s="1">
        <v>0.26010000000000011</v>
      </c>
      <c r="E93" s="3">
        <v>50000</v>
      </c>
    </row>
    <row r="94" spans="1:5" x14ac:dyDescent="0.2">
      <c r="A94" s="1" t="s">
        <v>17</v>
      </c>
      <c r="B94" s="1">
        <v>3326</v>
      </c>
      <c r="C94" s="1">
        <v>9.2150000000000016</v>
      </c>
      <c r="D94" s="1">
        <v>0.24210000000000007</v>
      </c>
      <c r="E94" s="3">
        <v>97000</v>
      </c>
    </row>
    <row r="95" spans="1:5" x14ac:dyDescent="0.2">
      <c r="A95" s="1" t="s">
        <v>17</v>
      </c>
      <c r="B95" s="1">
        <v>3327</v>
      </c>
      <c r="C95" s="1">
        <v>9.3630000000000031</v>
      </c>
      <c r="D95" s="1">
        <v>0.24210000000000007</v>
      </c>
      <c r="E95" s="3">
        <v>729000</v>
      </c>
    </row>
    <row r="96" spans="1:5" x14ac:dyDescent="0.2">
      <c r="A96" s="1" t="s">
        <v>17</v>
      </c>
      <c r="B96" s="1">
        <v>3328</v>
      </c>
      <c r="C96" s="1">
        <v>9.2300000000000022</v>
      </c>
      <c r="D96" s="1">
        <v>0.25080000000000008</v>
      </c>
      <c r="E96" s="3">
        <v>251000</v>
      </c>
    </row>
    <row r="97" spans="1:5" x14ac:dyDescent="0.2">
      <c r="A97" s="1" t="s">
        <v>17</v>
      </c>
      <c r="B97" s="1">
        <v>3329</v>
      </c>
      <c r="C97" s="1">
        <v>9.2660000000000018</v>
      </c>
      <c r="D97" s="1">
        <v>0.32130000000000009</v>
      </c>
      <c r="E97" s="3">
        <v>540000</v>
      </c>
    </row>
    <row r="98" spans="1:5" x14ac:dyDescent="0.2">
      <c r="A98" s="1" t="s">
        <v>17</v>
      </c>
      <c r="B98" s="1">
        <v>3331</v>
      </c>
      <c r="C98" s="1">
        <v>9.2760000000000016</v>
      </c>
      <c r="D98" s="1">
        <v>0.37400000000000011</v>
      </c>
      <c r="E98" s="3">
        <v>492000</v>
      </c>
    </row>
    <row r="99" spans="1:5" x14ac:dyDescent="0.2">
      <c r="A99" s="1" t="s">
        <v>17</v>
      </c>
      <c r="B99" s="1">
        <v>3332</v>
      </c>
      <c r="C99" s="1">
        <v>9.3820000000000014</v>
      </c>
      <c r="D99" s="1">
        <v>0.29150000000000009</v>
      </c>
      <c r="E99" s="3">
        <v>175000</v>
      </c>
    </row>
    <row r="100" spans="1:5" x14ac:dyDescent="0.2">
      <c r="A100" s="1" t="s">
        <v>17</v>
      </c>
      <c r="B100" s="1">
        <v>3333</v>
      </c>
      <c r="C100" s="1">
        <v>9.2550000000000026</v>
      </c>
      <c r="D100" s="1">
        <v>0.28200000000000008</v>
      </c>
      <c r="E100" s="3">
        <v>138000</v>
      </c>
    </row>
    <row r="101" spans="1:5" x14ac:dyDescent="0.2">
      <c r="A101" s="1" t="s">
        <v>17</v>
      </c>
      <c r="B101" s="1">
        <v>3334</v>
      </c>
      <c r="C101" s="1">
        <v>9.1940000000000026</v>
      </c>
      <c r="D101" s="1">
        <v>0.28710000000000008</v>
      </c>
      <c r="E101" s="3">
        <v>281000</v>
      </c>
    </row>
    <row r="102" spans="1:5" x14ac:dyDescent="0.2">
      <c r="A102" s="1" t="s">
        <v>17</v>
      </c>
      <c r="B102" s="1">
        <v>3335</v>
      </c>
      <c r="C102" s="1">
        <v>9.3960000000000026</v>
      </c>
      <c r="D102" s="1">
        <v>0.26490000000000008</v>
      </c>
      <c r="E102" s="3">
        <v>367000</v>
      </c>
    </row>
    <row r="103" spans="1:5" x14ac:dyDescent="0.2">
      <c r="A103" s="1" t="s">
        <v>17</v>
      </c>
      <c r="B103" s="1">
        <v>3336</v>
      </c>
      <c r="C103" s="1">
        <v>9.3130000000000024</v>
      </c>
      <c r="D103" s="1">
        <v>0.38580000000000014</v>
      </c>
      <c r="E103" s="3">
        <v>158000</v>
      </c>
    </row>
    <row r="104" spans="1:5" x14ac:dyDescent="0.2">
      <c r="A104" s="1" t="s">
        <v>17</v>
      </c>
      <c r="B104" s="1">
        <v>3339</v>
      </c>
      <c r="C104" s="1">
        <v>9.3100000000000023</v>
      </c>
      <c r="D104" s="1">
        <v>0.32780000000000009</v>
      </c>
      <c r="E104" s="3">
        <v>501000</v>
      </c>
    </row>
    <row r="105" spans="1:5" x14ac:dyDescent="0.2">
      <c r="A105" s="1" t="s">
        <v>17</v>
      </c>
      <c r="B105" s="1">
        <v>3341</v>
      </c>
      <c r="C105" s="1">
        <v>9.3930000000000025</v>
      </c>
      <c r="D105" s="1">
        <v>0.40750000000000014</v>
      </c>
      <c r="E105" s="3">
        <v>65500</v>
      </c>
    </row>
    <row r="106" spans="1:5" x14ac:dyDescent="0.2">
      <c r="A106" s="1" t="s">
        <v>17</v>
      </c>
      <c r="B106" s="1">
        <v>3342</v>
      </c>
      <c r="C106" s="1">
        <v>9.2780000000000022</v>
      </c>
      <c r="D106" s="1">
        <v>0.32560000000000011</v>
      </c>
      <c r="E106" s="3">
        <v>82500</v>
      </c>
    </row>
    <row r="107" spans="1:5" x14ac:dyDescent="0.2">
      <c r="A107" s="1" t="s">
        <v>17</v>
      </c>
      <c r="B107" s="1">
        <v>3343</v>
      </c>
      <c r="C107" s="1">
        <v>9.2040000000000024</v>
      </c>
      <c r="D107" s="1">
        <v>0.24220000000000008</v>
      </c>
      <c r="E107" s="3">
        <v>18000</v>
      </c>
    </row>
    <row r="108" spans="1:5" x14ac:dyDescent="0.2">
      <c r="A108" s="1" t="s">
        <v>17</v>
      </c>
      <c r="B108" s="1">
        <v>3344</v>
      </c>
      <c r="C108" s="1">
        <v>9.2070000000000025</v>
      </c>
      <c r="D108" s="1">
        <v>0.28660000000000008</v>
      </c>
      <c r="E108" s="3">
        <v>425000</v>
      </c>
    </row>
    <row r="109" spans="1:5" x14ac:dyDescent="0.2">
      <c r="A109" s="1" t="s">
        <v>17</v>
      </c>
      <c r="B109" s="1">
        <v>3345</v>
      </c>
      <c r="C109" s="1">
        <v>9.299000000000003</v>
      </c>
      <c r="D109" s="1">
        <v>0.35220000000000012</v>
      </c>
      <c r="E109" s="3">
        <v>394000</v>
      </c>
    </row>
    <row r="110" spans="1:5" x14ac:dyDescent="0.2">
      <c r="A110" s="1" t="s">
        <v>17</v>
      </c>
      <c r="B110" s="1">
        <v>3346</v>
      </c>
      <c r="C110" s="1">
        <v>9.1860000000000017</v>
      </c>
      <c r="D110" s="1">
        <v>0.29760000000000009</v>
      </c>
      <c r="E110" s="3">
        <v>16000</v>
      </c>
    </row>
    <row r="111" spans="1:5" x14ac:dyDescent="0.2">
      <c r="A111" s="1" t="s">
        <v>17</v>
      </c>
      <c r="B111" s="1">
        <v>3351</v>
      </c>
      <c r="C111" s="1">
        <v>9.1540000000000017</v>
      </c>
      <c r="D111" s="1">
        <v>0.30670000000000008</v>
      </c>
      <c r="E111" s="3">
        <v>77500</v>
      </c>
    </row>
    <row r="112" spans="1:5" x14ac:dyDescent="0.2">
      <c r="A112" s="1" t="s">
        <v>17</v>
      </c>
      <c r="B112" s="1">
        <v>3352</v>
      </c>
      <c r="C112" s="1">
        <v>9.142000000000003</v>
      </c>
      <c r="D112" s="1">
        <v>0.31780000000000008</v>
      </c>
      <c r="E112" s="3">
        <v>131000</v>
      </c>
    </row>
    <row r="113" spans="1:5" x14ac:dyDescent="0.2">
      <c r="A113" s="1" t="s">
        <v>17</v>
      </c>
      <c r="B113" s="1">
        <v>3353</v>
      </c>
      <c r="C113" s="1">
        <v>9.2180000000000017</v>
      </c>
      <c r="D113" s="1">
        <v>0.3227000000000001</v>
      </c>
      <c r="E113" s="3">
        <v>234000</v>
      </c>
    </row>
    <row r="114" spans="1:5" x14ac:dyDescent="0.2">
      <c r="A114" s="1" t="s">
        <v>17</v>
      </c>
      <c r="B114" s="1">
        <v>3359</v>
      </c>
      <c r="C114" s="1">
        <v>9.1900000000000031</v>
      </c>
      <c r="D114" s="1">
        <v>0.35320000000000012</v>
      </c>
      <c r="E114" s="3">
        <v>250000</v>
      </c>
    </row>
    <row r="115" spans="1:5" x14ac:dyDescent="0.2">
      <c r="A115" s="1" t="s">
        <v>17</v>
      </c>
      <c r="B115" s="1">
        <v>3361</v>
      </c>
      <c r="C115" s="1">
        <v>9.413000000000002</v>
      </c>
      <c r="D115" s="1">
        <v>0.53180000000000016</v>
      </c>
      <c r="E115" s="3">
        <v>325000</v>
      </c>
    </row>
    <row r="116" spans="1:5" x14ac:dyDescent="0.2">
      <c r="A116" s="1" t="s">
        <v>17</v>
      </c>
      <c r="B116" s="1">
        <v>3362</v>
      </c>
      <c r="C116" s="1">
        <v>9.2060000000000031</v>
      </c>
      <c r="D116" s="1">
        <v>0.28210000000000007</v>
      </c>
      <c r="E116" s="3">
        <v>300000</v>
      </c>
    </row>
    <row r="117" spans="1:5" x14ac:dyDescent="0.2">
      <c r="A117" s="1" t="s">
        <v>17</v>
      </c>
      <c r="B117" s="1">
        <v>3363</v>
      </c>
      <c r="C117" s="1">
        <v>9.1590000000000025</v>
      </c>
      <c r="D117" s="1">
        <v>0.36970000000000014</v>
      </c>
      <c r="E117" s="3">
        <v>1083000</v>
      </c>
    </row>
    <row r="118" spans="1:5" x14ac:dyDescent="0.2">
      <c r="A118" s="1" t="s">
        <v>17</v>
      </c>
      <c r="B118" s="1">
        <v>3364</v>
      </c>
      <c r="C118" s="1">
        <v>9.5310000000000024</v>
      </c>
      <c r="D118" s="1">
        <v>0.43290000000000012</v>
      </c>
      <c r="E118" s="3">
        <v>555000</v>
      </c>
    </row>
    <row r="119" spans="1:5" x14ac:dyDescent="0.2">
      <c r="A119" s="1" t="s">
        <v>17</v>
      </c>
      <c r="B119" s="1">
        <v>3365</v>
      </c>
      <c r="C119" s="1">
        <v>9.2860000000000014</v>
      </c>
      <c r="D119" s="1">
        <v>0.46900000000000014</v>
      </c>
      <c r="E119" s="3">
        <v>55500</v>
      </c>
    </row>
    <row r="120" spans="1:5" x14ac:dyDescent="0.2">
      <c r="A120" s="1" t="s">
        <v>17</v>
      </c>
      <c r="B120" s="1">
        <v>3366</v>
      </c>
      <c r="C120" s="1">
        <v>9.328000000000003</v>
      </c>
      <c r="D120" s="1">
        <v>0.35740000000000011</v>
      </c>
      <c r="E120" s="3">
        <v>226000</v>
      </c>
    </row>
    <row r="121" spans="1:5" x14ac:dyDescent="0.2">
      <c r="A121" s="1" t="s">
        <v>17</v>
      </c>
      <c r="B121" s="1">
        <v>3369</v>
      </c>
      <c r="C121" s="1">
        <v>9.2160000000000029</v>
      </c>
      <c r="D121" s="1">
        <v>0.37490000000000012</v>
      </c>
      <c r="E121" s="3">
        <v>68500</v>
      </c>
    </row>
    <row r="122" spans="1:5" x14ac:dyDescent="0.2">
      <c r="A122" s="1" t="s">
        <v>17</v>
      </c>
      <c r="B122" s="1">
        <v>3371</v>
      </c>
      <c r="C122" s="1">
        <v>9.1610000000000014</v>
      </c>
      <c r="D122" s="1">
        <v>0.16950000000000007</v>
      </c>
      <c r="E122" s="3">
        <v>500000</v>
      </c>
    </row>
    <row r="123" spans="1:5" x14ac:dyDescent="0.2">
      <c r="A123" s="1" t="s">
        <v>17</v>
      </c>
      <c r="B123" s="1">
        <v>3372</v>
      </c>
      <c r="C123" s="1">
        <v>9.2260000000000026</v>
      </c>
      <c r="D123" s="1">
        <v>0.23540000000000008</v>
      </c>
      <c r="E123" s="3">
        <v>218000</v>
      </c>
    </row>
    <row r="124" spans="1:5" x14ac:dyDescent="0.2">
      <c r="A124" s="1" t="s">
        <v>17</v>
      </c>
      <c r="B124" s="1">
        <v>3379</v>
      </c>
      <c r="C124" s="1">
        <v>9.1160000000000014</v>
      </c>
      <c r="D124" s="1">
        <v>0.23440000000000008</v>
      </c>
      <c r="E124" s="3">
        <v>59500</v>
      </c>
    </row>
    <row r="125" spans="1:5" x14ac:dyDescent="0.2">
      <c r="A125" s="1" t="s">
        <v>17</v>
      </c>
      <c r="B125" s="1">
        <v>3391</v>
      </c>
      <c r="C125" s="1">
        <v>9.1890000000000018</v>
      </c>
      <c r="D125" s="1">
        <v>0.30740000000000012</v>
      </c>
      <c r="E125" s="3">
        <v>431000</v>
      </c>
    </row>
    <row r="126" spans="1:5" x14ac:dyDescent="0.2">
      <c r="A126" s="1" t="s">
        <v>17</v>
      </c>
      <c r="B126" s="1">
        <v>3399</v>
      </c>
      <c r="C126" s="1">
        <v>9.1970000000000027</v>
      </c>
      <c r="D126" s="1">
        <v>0.21540000000000006</v>
      </c>
      <c r="E126" s="3">
        <v>440000</v>
      </c>
    </row>
    <row r="127" spans="1:5" x14ac:dyDescent="0.2">
      <c r="A127" s="1" t="s">
        <v>17</v>
      </c>
      <c r="B127" s="1">
        <v>4231</v>
      </c>
      <c r="C127" s="1">
        <v>9.3380000000000027</v>
      </c>
      <c r="D127" s="1">
        <v>0.19580000000000006</v>
      </c>
      <c r="E127" s="3">
        <v>485000</v>
      </c>
    </row>
    <row r="128" spans="1:5" x14ac:dyDescent="0.2">
      <c r="A128" s="1" t="s">
        <v>17</v>
      </c>
      <c r="B128" s="1">
        <v>4232</v>
      </c>
      <c r="C128" s="1">
        <v>9.2640000000000029</v>
      </c>
      <c r="D128" s="1">
        <v>0.19950000000000007</v>
      </c>
      <c r="E128" s="3">
        <v>104000</v>
      </c>
    </row>
    <row r="129" spans="1:5" x14ac:dyDescent="0.2">
      <c r="A129" s="1" t="s">
        <v>17</v>
      </c>
      <c r="B129" s="1">
        <v>4233</v>
      </c>
      <c r="C129" s="1">
        <v>9.3480000000000025</v>
      </c>
      <c r="D129" s="1">
        <v>0.23280000000000006</v>
      </c>
      <c r="E129" s="3">
        <v>314000</v>
      </c>
    </row>
    <row r="130" spans="1:5" x14ac:dyDescent="0.2">
      <c r="A130" s="1" t="s">
        <v>17</v>
      </c>
      <c r="B130" s="1">
        <v>4234</v>
      </c>
      <c r="C130" s="1">
        <v>9.3500000000000014</v>
      </c>
      <c r="D130" s="1">
        <v>0.27060000000000006</v>
      </c>
      <c r="E130" s="3">
        <v>418000</v>
      </c>
    </row>
    <row r="131" spans="1:5" x14ac:dyDescent="0.2">
      <c r="A131" s="1" t="s">
        <v>17</v>
      </c>
      <c r="B131" s="1">
        <v>4235</v>
      </c>
      <c r="C131" s="1">
        <v>9.3270000000000017</v>
      </c>
      <c r="D131" s="1">
        <v>0.30260000000000009</v>
      </c>
      <c r="E131" s="3">
        <v>211000</v>
      </c>
    </row>
    <row r="132" spans="1:5" x14ac:dyDescent="0.2">
      <c r="A132" s="1" t="s">
        <v>17</v>
      </c>
      <c r="B132" s="1">
        <v>4236</v>
      </c>
      <c r="C132" s="1">
        <v>9.4040000000000017</v>
      </c>
      <c r="D132" s="1">
        <v>0.24510000000000007</v>
      </c>
      <c r="E132" s="3">
        <v>314000</v>
      </c>
    </row>
    <row r="133" spans="1:5" x14ac:dyDescent="0.2">
      <c r="A133" s="1" t="s">
        <v>17</v>
      </c>
      <c r="B133" s="1">
        <v>4237</v>
      </c>
      <c r="C133" s="1">
        <v>9.3850000000000016</v>
      </c>
      <c r="D133" s="1">
        <v>0.21690000000000006</v>
      </c>
      <c r="E133" s="3">
        <v>330000</v>
      </c>
    </row>
    <row r="134" spans="1:5" x14ac:dyDescent="0.2">
      <c r="A134" s="1" t="s">
        <v>17</v>
      </c>
      <c r="B134" s="1">
        <v>4238</v>
      </c>
      <c r="C134" s="1">
        <v>9.4230000000000018</v>
      </c>
      <c r="D134" s="1">
        <v>0.26240000000000008</v>
      </c>
      <c r="E134" s="3">
        <v>966000</v>
      </c>
    </row>
    <row r="135" spans="1:5" x14ac:dyDescent="0.2">
      <c r="A135" s="1" t="s">
        <v>17</v>
      </c>
      <c r="B135" s="1">
        <v>4239</v>
      </c>
      <c r="C135" s="1">
        <v>9.2570000000000014</v>
      </c>
      <c r="D135" s="1">
        <v>0.21070000000000005</v>
      </c>
      <c r="E135" s="3">
        <v>342000</v>
      </c>
    </row>
    <row r="136" spans="1:5" x14ac:dyDescent="0.2">
      <c r="A136" s="1" t="s">
        <v>17</v>
      </c>
      <c r="B136" s="1">
        <v>4241</v>
      </c>
      <c r="C136" s="1">
        <v>9.3120000000000029</v>
      </c>
      <c r="D136" s="1">
        <v>0.25220000000000009</v>
      </c>
      <c r="E136" s="3">
        <v>142000</v>
      </c>
    </row>
    <row r="137" spans="1:5" x14ac:dyDescent="0.2">
      <c r="A137" s="1" t="s">
        <v>17</v>
      </c>
      <c r="B137" s="1">
        <v>4242</v>
      </c>
      <c r="C137" s="1">
        <v>9.2680000000000025</v>
      </c>
      <c r="D137" s="1">
        <v>0.2829000000000001</v>
      </c>
      <c r="E137" s="3">
        <v>116000</v>
      </c>
    </row>
    <row r="138" spans="1:5" x14ac:dyDescent="0.2">
      <c r="A138" s="1" t="s">
        <v>17</v>
      </c>
      <c r="B138" s="1">
        <v>4243</v>
      </c>
      <c r="C138" s="1">
        <v>9.2160000000000029</v>
      </c>
      <c r="D138" s="1">
        <v>0.17840000000000006</v>
      </c>
      <c r="E138" s="3">
        <v>116000</v>
      </c>
    </row>
    <row r="139" spans="1:5" x14ac:dyDescent="0.2">
      <c r="A139" s="1" t="s">
        <v>17</v>
      </c>
      <c r="B139" s="1">
        <v>4244</v>
      </c>
      <c r="C139" s="1">
        <v>9.2980000000000018</v>
      </c>
      <c r="D139" s="1">
        <v>0.29960000000000009</v>
      </c>
      <c r="E139" s="3">
        <v>1036000</v>
      </c>
    </row>
    <row r="140" spans="1:5" x14ac:dyDescent="0.2">
      <c r="A140" s="1" t="s">
        <v>17</v>
      </c>
      <c r="B140" s="1">
        <v>4245</v>
      </c>
      <c r="C140" s="1">
        <v>9.3150000000000031</v>
      </c>
      <c r="D140" s="1">
        <v>0.25780000000000008</v>
      </c>
      <c r="E140" s="3">
        <v>152000</v>
      </c>
    </row>
    <row r="141" spans="1:5" x14ac:dyDescent="0.2">
      <c r="A141" s="1" t="s">
        <v>17</v>
      </c>
      <c r="B141" s="1">
        <v>4246</v>
      </c>
      <c r="C141" s="1">
        <v>9.3880000000000017</v>
      </c>
      <c r="D141" s="1">
        <v>0.3418000000000001</v>
      </c>
      <c r="E141" s="3">
        <v>157000</v>
      </c>
    </row>
    <row r="142" spans="1:5" x14ac:dyDescent="0.2">
      <c r="A142" s="1" t="s">
        <v>17</v>
      </c>
      <c r="B142" s="1">
        <v>4247</v>
      </c>
      <c r="C142" s="1">
        <v>9.3560000000000016</v>
      </c>
      <c r="D142" s="1">
        <v>0.30890000000000012</v>
      </c>
      <c r="E142" s="3">
        <v>160000</v>
      </c>
    </row>
    <row r="143" spans="1:5" x14ac:dyDescent="0.2">
      <c r="A143" s="1" t="s">
        <v>17</v>
      </c>
      <c r="B143" s="1">
        <v>4248</v>
      </c>
      <c r="C143" s="1">
        <v>9.3770000000000024</v>
      </c>
      <c r="D143" s="1">
        <v>0.2849000000000001</v>
      </c>
      <c r="E143" s="3">
        <v>206000</v>
      </c>
    </row>
    <row r="144" spans="1:5" x14ac:dyDescent="0.2">
      <c r="A144" s="1" t="s">
        <v>17</v>
      </c>
      <c r="B144" s="1">
        <v>4249</v>
      </c>
      <c r="C144" s="1">
        <v>9.2810000000000024</v>
      </c>
      <c r="D144" s="1">
        <v>0.18140000000000006</v>
      </c>
      <c r="E144" s="3">
        <v>429000</v>
      </c>
    </row>
    <row r="145" spans="1:5" x14ac:dyDescent="0.2">
      <c r="A145" s="1" t="s">
        <v>17</v>
      </c>
      <c r="B145" s="1">
        <v>4251</v>
      </c>
      <c r="C145" s="1">
        <v>9.413000000000002</v>
      </c>
      <c r="D145" s="1">
        <v>0.27920000000000011</v>
      </c>
      <c r="E145" s="3">
        <v>505000</v>
      </c>
    </row>
    <row r="146" spans="1:5" x14ac:dyDescent="0.2">
      <c r="A146" s="1" t="s">
        <v>17</v>
      </c>
      <c r="B146" s="1">
        <v>4411</v>
      </c>
      <c r="C146" s="1">
        <v>9.4540000000000024</v>
      </c>
      <c r="D146" s="1">
        <v>0.20470000000000008</v>
      </c>
      <c r="E146" s="3">
        <v>1423000</v>
      </c>
    </row>
    <row r="147" spans="1:5" x14ac:dyDescent="0.2">
      <c r="A147" s="1" t="s">
        <v>17</v>
      </c>
      <c r="B147" s="1">
        <v>4412</v>
      </c>
      <c r="C147" s="1">
        <v>9.3680000000000021</v>
      </c>
      <c r="D147" s="1">
        <v>0.10660000000000003</v>
      </c>
      <c r="E147" s="3">
        <v>179000</v>
      </c>
    </row>
    <row r="148" spans="1:5" x14ac:dyDescent="0.2">
      <c r="A148" s="1" t="s">
        <v>17</v>
      </c>
      <c r="B148" s="1">
        <v>4413</v>
      </c>
      <c r="C148" s="1">
        <v>9.2710000000000026</v>
      </c>
      <c r="D148" s="1">
        <v>0.10370000000000003</v>
      </c>
      <c r="E148" s="3">
        <v>619000</v>
      </c>
    </row>
    <row r="149" spans="1:5" x14ac:dyDescent="0.2">
      <c r="A149" s="1" t="s">
        <v>17</v>
      </c>
      <c r="B149" s="1">
        <v>4421</v>
      </c>
      <c r="C149" s="1">
        <v>9.2550000000000026</v>
      </c>
      <c r="D149" s="1">
        <v>0.12640000000000004</v>
      </c>
      <c r="E149" s="3">
        <v>183000</v>
      </c>
    </row>
    <row r="150" spans="1:5" x14ac:dyDescent="0.2">
      <c r="A150" s="1" t="s">
        <v>17</v>
      </c>
      <c r="B150" s="1">
        <v>4422</v>
      </c>
      <c r="C150" s="1">
        <v>9.3580000000000023</v>
      </c>
      <c r="D150" s="1">
        <v>0.12590000000000004</v>
      </c>
      <c r="E150" s="3">
        <v>155000</v>
      </c>
    </row>
    <row r="151" spans="1:5" x14ac:dyDescent="0.2">
      <c r="A151" s="1" t="s">
        <v>17</v>
      </c>
      <c r="B151" s="1">
        <v>4431</v>
      </c>
      <c r="C151" s="1">
        <v>9.3220000000000027</v>
      </c>
      <c r="D151" s="1">
        <v>0.17760000000000006</v>
      </c>
      <c r="E151" s="3">
        <v>206000</v>
      </c>
    </row>
    <row r="152" spans="1:5" x14ac:dyDescent="0.2">
      <c r="A152" s="1" t="s">
        <v>17</v>
      </c>
      <c r="B152" s="1">
        <v>4441</v>
      </c>
      <c r="C152" s="1">
        <v>9.2630000000000017</v>
      </c>
      <c r="D152" s="1">
        <v>8.5320000000000035E-2</v>
      </c>
      <c r="E152" s="3">
        <v>1139000</v>
      </c>
    </row>
    <row r="153" spans="1:5" x14ac:dyDescent="0.2">
      <c r="A153" s="1" t="s">
        <v>17</v>
      </c>
      <c r="B153" s="1">
        <v>4442</v>
      </c>
      <c r="C153" s="1">
        <v>9.2700000000000014</v>
      </c>
      <c r="D153" s="1">
        <v>7.3650000000000035E-2</v>
      </c>
      <c r="E153" s="3">
        <v>160000</v>
      </c>
    </row>
    <row r="154" spans="1:5" x14ac:dyDescent="0.2">
      <c r="A154" s="1" t="s">
        <v>17</v>
      </c>
      <c r="B154" s="1">
        <v>4451</v>
      </c>
      <c r="C154" s="1">
        <v>9.1910000000000025</v>
      </c>
      <c r="D154" s="1">
        <v>6.6880000000000023E-2</v>
      </c>
      <c r="E154" s="3">
        <v>2331000</v>
      </c>
    </row>
    <row r="155" spans="1:5" x14ac:dyDescent="0.2">
      <c r="A155" s="1" t="s">
        <v>17</v>
      </c>
      <c r="B155" s="1">
        <v>4452</v>
      </c>
      <c r="C155" s="1">
        <v>9.2280000000000015</v>
      </c>
      <c r="D155" s="1">
        <v>9.4670000000000046E-2</v>
      </c>
      <c r="E155" s="3">
        <v>143000</v>
      </c>
    </row>
    <row r="156" spans="1:5" x14ac:dyDescent="0.2">
      <c r="A156" s="1" t="s">
        <v>17</v>
      </c>
      <c r="B156" s="1">
        <v>4453</v>
      </c>
      <c r="C156" s="1">
        <v>9.2600000000000016</v>
      </c>
      <c r="D156" s="1">
        <v>-1.2420000000000006E-2</v>
      </c>
      <c r="E156" s="3">
        <v>79000</v>
      </c>
    </row>
    <row r="157" spans="1:5" x14ac:dyDescent="0.2">
      <c r="A157" s="1" t="s">
        <v>17</v>
      </c>
      <c r="B157" s="1">
        <v>4461</v>
      </c>
      <c r="C157" s="1">
        <v>9.131000000000002</v>
      </c>
      <c r="D157" s="1">
        <v>8.978000000000004E-2</v>
      </c>
      <c r="E157" s="3">
        <v>599000</v>
      </c>
    </row>
    <row r="158" spans="1:5" x14ac:dyDescent="0.2">
      <c r="A158" s="1" t="s">
        <v>17</v>
      </c>
      <c r="B158" s="1">
        <v>4471</v>
      </c>
      <c r="C158" s="1">
        <v>9.0640000000000018</v>
      </c>
      <c r="D158" s="1">
        <v>4.4850000000000022E-2</v>
      </c>
      <c r="E158" s="3">
        <v>689000</v>
      </c>
    </row>
    <row r="159" spans="1:5" x14ac:dyDescent="0.2">
      <c r="A159" s="1" t="s">
        <v>17</v>
      </c>
      <c r="B159" s="1">
        <v>4481</v>
      </c>
      <c r="C159" s="1">
        <v>9.1990000000000016</v>
      </c>
      <c r="D159" s="1">
        <v>0.10990000000000004</v>
      </c>
      <c r="E159" s="3">
        <v>245000</v>
      </c>
    </row>
    <row r="160" spans="1:5" x14ac:dyDescent="0.2">
      <c r="A160" s="1" t="s">
        <v>17</v>
      </c>
      <c r="B160" s="1">
        <v>4482</v>
      </c>
      <c r="C160" s="1">
        <v>9.224000000000002</v>
      </c>
      <c r="D160" s="1">
        <v>0.12560000000000004</v>
      </c>
      <c r="E160" s="3">
        <v>49500</v>
      </c>
    </row>
    <row r="161" spans="1:5" x14ac:dyDescent="0.2">
      <c r="A161" s="1" t="s">
        <v>17</v>
      </c>
      <c r="B161" s="1">
        <v>4483</v>
      </c>
      <c r="C161" s="1">
        <v>9.3690000000000015</v>
      </c>
      <c r="D161" s="1">
        <v>0.10830000000000004</v>
      </c>
      <c r="E161" s="3">
        <v>71500</v>
      </c>
    </row>
    <row r="162" spans="1:5" x14ac:dyDescent="0.2">
      <c r="A162" s="1" t="s">
        <v>17</v>
      </c>
      <c r="B162" s="1">
        <v>4511</v>
      </c>
      <c r="C162" s="1">
        <v>9.2180000000000017</v>
      </c>
      <c r="D162" s="1">
        <v>1.8680000000000009E-2</v>
      </c>
      <c r="E162" s="3">
        <v>177000</v>
      </c>
    </row>
    <row r="163" spans="1:5" x14ac:dyDescent="0.2">
      <c r="A163" s="1" t="s">
        <v>17</v>
      </c>
      <c r="B163" s="1">
        <v>4512</v>
      </c>
      <c r="C163" s="1">
        <v>9.1670000000000016</v>
      </c>
      <c r="D163" s="1">
        <v>4.1600000000000019E-2</v>
      </c>
      <c r="E163" s="3">
        <v>24500</v>
      </c>
    </row>
    <row r="164" spans="1:5" x14ac:dyDescent="0.2">
      <c r="A164" s="1" t="s">
        <v>17</v>
      </c>
      <c r="B164" s="1">
        <v>4521</v>
      </c>
      <c r="C164" s="1">
        <v>9.1030000000000015</v>
      </c>
      <c r="D164" s="1">
        <v>6.1740000000000024E-2</v>
      </c>
      <c r="E164" s="3">
        <v>921000</v>
      </c>
    </row>
    <row r="165" spans="1:5" x14ac:dyDescent="0.2">
      <c r="A165" s="1" t="s">
        <v>17</v>
      </c>
      <c r="B165" s="1">
        <v>4529</v>
      </c>
      <c r="C165" s="1">
        <v>9.1060000000000016</v>
      </c>
      <c r="D165" s="1">
        <v>5.5910000000000022E-2</v>
      </c>
      <c r="E165" s="3">
        <v>1941000</v>
      </c>
    </row>
    <row r="166" spans="1:5" x14ac:dyDescent="0.2">
      <c r="A166" s="1" t="s">
        <v>17</v>
      </c>
      <c r="B166" s="1">
        <v>4531</v>
      </c>
      <c r="C166" s="1">
        <v>9.1760000000000019</v>
      </c>
      <c r="D166" s="1">
        <v>-7.1260000000000032E-2</v>
      </c>
      <c r="E166" s="3">
        <v>36000</v>
      </c>
    </row>
    <row r="167" spans="1:5" x14ac:dyDescent="0.2">
      <c r="A167" s="1" t="s">
        <v>17</v>
      </c>
      <c r="B167" s="1">
        <v>4532</v>
      </c>
      <c r="C167" s="1">
        <v>9.208000000000002</v>
      </c>
      <c r="D167" s="1">
        <v>0.10240000000000003</v>
      </c>
      <c r="E167" s="3">
        <v>140000</v>
      </c>
    </row>
    <row r="168" spans="1:5" x14ac:dyDescent="0.2">
      <c r="A168" s="1" t="s">
        <v>17</v>
      </c>
      <c r="B168" s="1">
        <v>4533</v>
      </c>
      <c r="C168" s="1">
        <v>9.0120000000000022</v>
      </c>
      <c r="D168" s="1">
        <v>2.334000000000001E-2</v>
      </c>
      <c r="E168" s="3">
        <v>84000</v>
      </c>
    </row>
    <row r="169" spans="1:5" x14ac:dyDescent="0.2">
      <c r="A169" s="1" t="s">
        <v>17</v>
      </c>
      <c r="B169" s="1">
        <v>4539</v>
      </c>
      <c r="C169" s="1">
        <v>9.2270000000000021</v>
      </c>
      <c r="D169" s="1">
        <v>7.5200000000000031E-2</v>
      </c>
      <c r="E169" s="3">
        <v>161000</v>
      </c>
    </row>
    <row r="170" spans="1:5" x14ac:dyDescent="0.2">
      <c r="A170" s="1" t="s">
        <v>17</v>
      </c>
      <c r="B170" s="1">
        <v>4541</v>
      </c>
      <c r="C170" s="1">
        <v>9.131000000000002</v>
      </c>
      <c r="D170" s="1">
        <v>0.16720000000000004</v>
      </c>
      <c r="E170" s="3">
        <v>202000</v>
      </c>
    </row>
    <row r="171" spans="1:5" x14ac:dyDescent="0.2">
      <c r="A171" s="1" t="s">
        <v>17</v>
      </c>
      <c r="B171" s="1">
        <v>4542</v>
      </c>
      <c r="C171" s="1">
        <v>9.1410000000000018</v>
      </c>
      <c r="D171" s="1">
        <v>0.13190000000000004</v>
      </c>
      <c r="E171" s="3">
        <v>51500</v>
      </c>
    </row>
    <row r="172" spans="1:5" x14ac:dyDescent="0.2">
      <c r="A172" s="1" t="s">
        <v>17</v>
      </c>
      <c r="B172" s="1">
        <v>4543</v>
      </c>
      <c r="C172" s="1">
        <v>9.3340000000000014</v>
      </c>
      <c r="D172" s="1">
        <v>0.22070000000000006</v>
      </c>
      <c r="E172" s="3">
        <v>221000</v>
      </c>
    </row>
    <row r="173" spans="1:5" x14ac:dyDescent="0.2">
      <c r="A173" s="1" t="s">
        <v>17</v>
      </c>
      <c r="B173" s="1">
        <v>4811</v>
      </c>
      <c r="C173" s="1">
        <v>9.5590000000000028</v>
      </c>
      <c r="D173" s="1">
        <v>0.20390000000000005</v>
      </c>
      <c r="E173" s="3">
        <v>281000</v>
      </c>
    </row>
    <row r="174" spans="1:5" x14ac:dyDescent="0.2">
      <c r="A174" s="1" t="s">
        <v>17</v>
      </c>
      <c r="B174" s="1">
        <v>4812</v>
      </c>
      <c r="C174" s="1">
        <v>9.5290000000000017</v>
      </c>
      <c r="D174" s="1">
        <v>0.27360000000000007</v>
      </c>
      <c r="E174" s="3">
        <v>24000</v>
      </c>
    </row>
    <row r="175" spans="1:5" x14ac:dyDescent="0.2">
      <c r="A175" s="1" t="s">
        <v>17</v>
      </c>
      <c r="B175" s="1">
        <v>4821</v>
      </c>
      <c r="C175" s="1">
        <v>9.3710000000000022</v>
      </c>
      <c r="D175" s="1">
        <v>0.33670000000000011</v>
      </c>
      <c r="E175" s="3">
        <v>1600</v>
      </c>
    </row>
    <row r="176" spans="1:5" x14ac:dyDescent="0.2">
      <c r="A176" s="1" t="s">
        <v>17</v>
      </c>
      <c r="B176" s="1">
        <v>4831</v>
      </c>
      <c r="C176" s="1">
        <v>9.5580000000000016</v>
      </c>
      <c r="D176" s="1">
        <v>0.4038000000000001</v>
      </c>
      <c r="E176" s="3">
        <v>35000</v>
      </c>
    </row>
    <row r="177" spans="1:5" x14ac:dyDescent="0.2">
      <c r="A177" s="1" t="s">
        <v>17</v>
      </c>
      <c r="B177" s="1">
        <v>4832</v>
      </c>
      <c r="C177" s="1">
        <v>9.6070000000000029</v>
      </c>
      <c r="D177" s="1">
        <v>0.43810000000000016</v>
      </c>
      <c r="E177" s="3">
        <v>45500</v>
      </c>
    </row>
    <row r="178" spans="1:5" x14ac:dyDescent="0.2">
      <c r="A178" s="1" t="s">
        <v>17</v>
      </c>
      <c r="B178" s="1">
        <v>4841</v>
      </c>
      <c r="C178" s="1">
        <v>9.3510000000000026</v>
      </c>
      <c r="D178" s="1">
        <v>0.29720000000000008</v>
      </c>
      <c r="E178" s="3">
        <v>1896000</v>
      </c>
    </row>
    <row r="179" spans="1:5" x14ac:dyDescent="0.2">
      <c r="A179" s="1" t="s">
        <v>17</v>
      </c>
      <c r="B179" s="1">
        <v>4842</v>
      </c>
      <c r="C179" s="1">
        <v>9.3290000000000024</v>
      </c>
      <c r="D179" s="1">
        <v>0.29760000000000009</v>
      </c>
      <c r="E179" s="3">
        <v>823000</v>
      </c>
    </row>
    <row r="180" spans="1:5" x14ac:dyDescent="0.2">
      <c r="A180" s="1" t="s">
        <v>17</v>
      </c>
      <c r="B180" s="1">
        <v>4851</v>
      </c>
      <c r="C180" s="1">
        <v>9.4640000000000022</v>
      </c>
      <c r="D180" s="1">
        <v>0.38990000000000014</v>
      </c>
      <c r="E180" s="3">
        <v>365000</v>
      </c>
    </row>
    <row r="181" spans="1:5" x14ac:dyDescent="0.2">
      <c r="A181" s="1" t="s">
        <v>17</v>
      </c>
      <c r="B181" s="1">
        <v>4852</v>
      </c>
      <c r="C181" s="1">
        <v>9.2470000000000017</v>
      </c>
      <c r="D181" s="1">
        <v>0.26100000000000007</v>
      </c>
      <c r="E181" s="3">
        <v>34000</v>
      </c>
    </row>
    <row r="182" spans="1:5" x14ac:dyDescent="0.2">
      <c r="A182" s="1" t="s">
        <v>17</v>
      </c>
      <c r="B182" s="1">
        <v>4853</v>
      </c>
      <c r="C182" s="1">
        <v>9.2010000000000023</v>
      </c>
      <c r="D182" s="1">
        <v>3.4050000000000018E-2</v>
      </c>
      <c r="E182" s="3">
        <v>53500</v>
      </c>
    </row>
    <row r="183" spans="1:5" x14ac:dyDescent="0.2">
      <c r="A183" s="1" t="s">
        <v>17</v>
      </c>
      <c r="B183" s="1">
        <v>4854</v>
      </c>
      <c r="C183" s="1">
        <v>9.1810000000000027</v>
      </c>
      <c r="D183" s="1">
        <v>-1.1930000000000005E-2</v>
      </c>
      <c r="E183" s="3">
        <v>246000</v>
      </c>
    </row>
    <row r="184" spans="1:5" x14ac:dyDescent="0.2">
      <c r="A184" s="1" t="s">
        <v>17</v>
      </c>
      <c r="B184" s="1">
        <v>4855</v>
      </c>
      <c r="C184" s="1">
        <v>9.2640000000000029</v>
      </c>
      <c r="D184" s="1">
        <v>0.10910000000000003</v>
      </c>
      <c r="E184" s="3">
        <v>30000</v>
      </c>
    </row>
    <row r="185" spans="1:5" x14ac:dyDescent="0.2">
      <c r="A185" s="1" t="s">
        <v>17</v>
      </c>
      <c r="B185" s="1">
        <v>4859</v>
      </c>
      <c r="C185" s="1">
        <v>9.1330000000000027</v>
      </c>
      <c r="D185" s="1">
        <v>8.9420000000000041E-2</v>
      </c>
      <c r="E185" s="3">
        <v>94500</v>
      </c>
    </row>
    <row r="186" spans="1:5" x14ac:dyDescent="0.2">
      <c r="A186" s="1" t="s">
        <v>17</v>
      </c>
      <c r="B186" s="1">
        <v>4861</v>
      </c>
      <c r="C186" s="1">
        <v>9.6040000000000028</v>
      </c>
      <c r="D186" s="1">
        <v>0.65660000000000018</v>
      </c>
      <c r="E186" s="3">
        <v>11500</v>
      </c>
    </row>
    <row r="187" spans="1:5" x14ac:dyDescent="0.2">
      <c r="A187" s="1" t="s">
        <v>17</v>
      </c>
      <c r="B187" s="1">
        <v>4862</v>
      </c>
      <c r="C187" s="1">
        <v>9.6000000000000014</v>
      </c>
      <c r="D187" s="1">
        <v>0.57820000000000016</v>
      </c>
      <c r="E187" s="3">
        <v>44000</v>
      </c>
    </row>
    <row r="188" spans="1:5" x14ac:dyDescent="0.2">
      <c r="A188" s="1" t="s">
        <v>17</v>
      </c>
      <c r="B188" s="1">
        <v>4869</v>
      </c>
      <c r="C188" s="1">
        <v>9.6380000000000017</v>
      </c>
      <c r="D188" s="1">
        <v>0.60180000000000022</v>
      </c>
      <c r="E188" s="3">
        <v>9200</v>
      </c>
    </row>
    <row r="189" spans="1:5" x14ac:dyDescent="0.2">
      <c r="A189" s="1" t="s">
        <v>17</v>
      </c>
      <c r="B189" s="1">
        <v>4871</v>
      </c>
      <c r="C189" s="1">
        <v>9.2420000000000027</v>
      </c>
      <c r="D189" s="1">
        <v>0.13090000000000004</v>
      </c>
      <c r="E189" s="3">
        <v>8400</v>
      </c>
    </row>
    <row r="190" spans="1:5" x14ac:dyDescent="0.2">
      <c r="A190" s="1" t="s">
        <v>17</v>
      </c>
      <c r="B190" s="1">
        <v>4872</v>
      </c>
      <c r="C190" s="1">
        <v>9.3870000000000022</v>
      </c>
      <c r="D190" s="1">
        <v>2.522000000000001E-2</v>
      </c>
      <c r="E190" s="3">
        <v>5800</v>
      </c>
    </row>
    <row r="191" spans="1:5" x14ac:dyDescent="0.2">
      <c r="A191" s="1" t="s">
        <v>17</v>
      </c>
      <c r="B191" s="1">
        <v>4879</v>
      </c>
      <c r="C191" s="1">
        <v>9.4190000000000023</v>
      </c>
      <c r="D191" s="1">
        <v>0.15990000000000004</v>
      </c>
      <c r="E191" s="3">
        <v>1400</v>
      </c>
    </row>
    <row r="192" spans="1:5" x14ac:dyDescent="0.2">
      <c r="A192" s="1" t="s">
        <v>17</v>
      </c>
      <c r="B192" s="1">
        <v>4881</v>
      </c>
      <c r="C192" s="1">
        <v>9.3210000000000015</v>
      </c>
      <c r="D192" s="1">
        <v>0.24820000000000009</v>
      </c>
      <c r="E192" s="3">
        <v>189000</v>
      </c>
    </row>
    <row r="193" spans="1:5" x14ac:dyDescent="0.2">
      <c r="A193" s="1" t="s">
        <v>17</v>
      </c>
      <c r="B193" s="1">
        <v>4882</v>
      </c>
      <c r="C193" s="1">
        <v>9.2820000000000018</v>
      </c>
      <c r="D193" s="1">
        <v>0.34560000000000013</v>
      </c>
      <c r="E193" s="3">
        <v>50500</v>
      </c>
    </row>
    <row r="194" spans="1:5" x14ac:dyDescent="0.2">
      <c r="A194" s="1" t="s">
        <v>17</v>
      </c>
      <c r="B194" s="1">
        <v>4883</v>
      </c>
      <c r="C194" s="1">
        <v>9.6010000000000026</v>
      </c>
      <c r="D194" s="1">
        <v>0.42450000000000015</v>
      </c>
      <c r="E194" s="3">
        <v>118000</v>
      </c>
    </row>
    <row r="195" spans="1:5" x14ac:dyDescent="0.2">
      <c r="A195" s="1" t="s">
        <v>17</v>
      </c>
      <c r="B195" s="1">
        <v>4884</v>
      </c>
      <c r="C195" s="1">
        <v>9.2960000000000029</v>
      </c>
      <c r="D195" s="1">
        <v>0.20930000000000007</v>
      </c>
      <c r="E195" s="3">
        <v>149000</v>
      </c>
    </row>
    <row r="196" spans="1:5" x14ac:dyDescent="0.2">
      <c r="A196" s="1" t="s">
        <v>17</v>
      </c>
      <c r="B196" s="1">
        <v>4885</v>
      </c>
      <c r="C196" s="1">
        <v>9.3420000000000023</v>
      </c>
      <c r="D196" s="1">
        <v>0.24000000000000007</v>
      </c>
      <c r="E196" s="3">
        <v>182000</v>
      </c>
    </row>
    <row r="197" spans="1:5" x14ac:dyDescent="0.2">
      <c r="A197" s="1" t="s">
        <v>17</v>
      </c>
      <c r="B197" s="1">
        <v>4889</v>
      </c>
      <c r="C197" s="1">
        <v>9.1700000000000017</v>
      </c>
      <c r="D197" s="1">
        <v>0.20290000000000005</v>
      </c>
      <c r="E197" s="3">
        <v>34000</v>
      </c>
    </row>
    <row r="198" spans="1:5" x14ac:dyDescent="0.2">
      <c r="A198" s="1" t="s">
        <v>17</v>
      </c>
      <c r="B198" s="1">
        <v>4911</v>
      </c>
      <c r="C198" s="1">
        <v>9.2130000000000027</v>
      </c>
      <c r="D198" s="1">
        <v>0.21160000000000007</v>
      </c>
      <c r="E198" s="3">
        <v>5300</v>
      </c>
    </row>
    <row r="199" spans="1:5" x14ac:dyDescent="0.2">
      <c r="A199" s="1" t="s">
        <v>17</v>
      </c>
      <c r="B199" s="1">
        <v>4921</v>
      </c>
      <c r="C199" s="1">
        <v>9.5530000000000026</v>
      </c>
      <c r="D199" s="1">
        <v>0.15230000000000005</v>
      </c>
      <c r="E199" s="3">
        <v>476000</v>
      </c>
    </row>
    <row r="200" spans="1:5" x14ac:dyDescent="0.2">
      <c r="A200" s="1" t="s">
        <v>17</v>
      </c>
      <c r="B200" s="1">
        <v>4922</v>
      </c>
      <c r="C200" s="1">
        <v>9.1830000000000016</v>
      </c>
      <c r="D200" s="1">
        <v>0.16740000000000005</v>
      </c>
      <c r="E200" s="3">
        <v>47500</v>
      </c>
    </row>
    <row r="201" spans="1:5" x14ac:dyDescent="0.2">
      <c r="A201" s="1" t="s">
        <v>17</v>
      </c>
      <c r="B201" s="1">
        <v>4931</v>
      </c>
      <c r="C201" s="1">
        <v>9.1560000000000024</v>
      </c>
      <c r="D201" s="1">
        <v>0.22100000000000006</v>
      </c>
      <c r="E201" s="3">
        <v>1119000</v>
      </c>
    </row>
    <row r="202" spans="1:5" x14ac:dyDescent="0.2">
      <c r="A202" s="1" t="s">
        <v>17</v>
      </c>
      <c r="B202" s="1">
        <v>5111</v>
      </c>
      <c r="C202" s="1">
        <v>9.267000000000003</v>
      </c>
      <c r="D202" s="1">
        <v>0.22800000000000006</v>
      </c>
      <c r="E202" s="3">
        <v>284000</v>
      </c>
    </row>
    <row r="203" spans="1:5" x14ac:dyDescent="0.2">
      <c r="A203" s="1" t="s">
        <v>17</v>
      </c>
      <c r="B203" s="1">
        <v>5112</v>
      </c>
      <c r="C203" s="1">
        <v>9.6640000000000015</v>
      </c>
      <c r="D203" s="1">
        <v>0.39660000000000012</v>
      </c>
      <c r="E203" s="3">
        <v>61000</v>
      </c>
    </row>
    <row r="204" spans="1:5" x14ac:dyDescent="0.2">
      <c r="A204" s="1" t="s">
        <v>17</v>
      </c>
      <c r="B204" s="1">
        <v>5121</v>
      </c>
      <c r="C204" s="1">
        <v>9.5690000000000026</v>
      </c>
      <c r="D204" s="1">
        <v>0.27440000000000009</v>
      </c>
      <c r="E204" s="3">
        <v>65000</v>
      </c>
    </row>
    <row r="205" spans="1:5" x14ac:dyDescent="0.2">
      <c r="A205" s="1" t="s">
        <v>17</v>
      </c>
      <c r="B205" s="1">
        <v>5122</v>
      </c>
      <c r="C205" s="1">
        <v>9.5050000000000026</v>
      </c>
      <c r="D205" s="1">
        <v>0.19430000000000006</v>
      </c>
      <c r="E205" s="3">
        <v>6400</v>
      </c>
    </row>
    <row r="206" spans="1:5" x14ac:dyDescent="0.2">
      <c r="A206" s="1" t="s">
        <v>17</v>
      </c>
      <c r="B206" s="1">
        <v>5151</v>
      </c>
      <c r="C206" s="1">
        <v>9.4870000000000019</v>
      </c>
      <c r="D206" s="1">
        <v>0.20640000000000006</v>
      </c>
      <c r="E206" s="3">
        <v>76000</v>
      </c>
    </row>
    <row r="207" spans="1:5" x14ac:dyDescent="0.2">
      <c r="A207" s="1" t="s">
        <v>17</v>
      </c>
      <c r="B207" s="1">
        <v>5152</v>
      </c>
      <c r="C207" s="1">
        <v>9.4520000000000017</v>
      </c>
      <c r="D207" s="1">
        <v>0.38550000000000012</v>
      </c>
      <c r="E207" s="3">
        <v>39500</v>
      </c>
    </row>
    <row r="208" spans="1:5" x14ac:dyDescent="0.2">
      <c r="A208" s="1" t="s">
        <v>17</v>
      </c>
      <c r="B208" s="1">
        <v>5171</v>
      </c>
      <c r="C208" s="1">
        <v>9.408000000000003</v>
      </c>
      <c r="D208" s="1">
        <v>0.49540000000000017</v>
      </c>
      <c r="E208" s="3">
        <v>562000</v>
      </c>
    </row>
    <row r="209" spans="1:5" x14ac:dyDescent="0.2">
      <c r="A209" s="1" t="s">
        <v>17</v>
      </c>
      <c r="B209" s="1">
        <v>5172</v>
      </c>
      <c r="C209" s="1">
        <v>9.3620000000000019</v>
      </c>
      <c r="D209" s="1">
        <v>0.44100000000000011</v>
      </c>
      <c r="E209" s="3">
        <v>64000</v>
      </c>
    </row>
    <row r="210" spans="1:5" x14ac:dyDescent="0.2">
      <c r="A210" s="1" t="s">
        <v>17</v>
      </c>
      <c r="B210" s="1">
        <v>5174</v>
      </c>
      <c r="C210" s="1">
        <v>9.4800000000000022</v>
      </c>
      <c r="D210" s="1">
        <v>0.47330000000000017</v>
      </c>
      <c r="E210" s="3">
        <v>5900</v>
      </c>
    </row>
    <row r="211" spans="1:5" x14ac:dyDescent="0.2">
      <c r="A211" s="1" t="s">
        <v>17</v>
      </c>
      <c r="B211" s="1">
        <v>5179</v>
      </c>
      <c r="C211" s="1">
        <v>9.4510000000000023</v>
      </c>
      <c r="D211" s="1">
        <v>0.39650000000000013</v>
      </c>
      <c r="E211" s="3">
        <v>51500</v>
      </c>
    </row>
    <row r="212" spans="1:5" x14ac:dyDescent="0.2">
      <c r="A212" s="1" t="s">
        <v>17</v>
      </c>
      <c r="B212" s="1">
        <v>5182</v>
      </c>
      <c r="C212" s="1">
        <v>9.3540000000000028</v>
      </c>
      <c r="D212" s="1">
        <v>0.2854000000000001</v>
      </c>
      <c r="E212" s="3">
        <v>127000</v>
      </c>
    </row>
    <row r="213" spans="1:5" x14ac:dyDescent="0.2">
      <c r="A213" s="1" t="s">
        <v>17</v>
      </c>
      <c r="B213" s="1">
        <v>5191</v>
      </c>
      <c r="C213" s="1">
        <v>9.3710000000000022</v>
      </c>
      <c r="D213" s="1">
        <v>0.21280000000000007</v>
      </c>
      <c r="E213" s="3">
        <v>108000</v>
      </c>
    </row>
    <row r="214" spans="1:5" x14ac:dyDescent="0.2">
      <c r="A214" s="1" t="s">
        <v>17</v>
      </c>
      <c r="B214" s="1">
        <v>5211</v>
      </c>
      <c r="C214" s="1">
        <v>9.5320000000000018</v>
      </c>
      <c r="D214" s="1">
        <v>0.4018000000000001</v>
      </c>
      <c r="E214" s="3">
        <v>8700</v>
      </c>
    </row>
    <row r="215" spans="1:5" x14ac:dyDescent="0.2">
      <c r="A215" s="1" t="s">
        <v>17</v>
      </c>
      <c r="B215" s="1">
        <v>5221</v>
      </c>
      <c r="C215" s="1">
        <v>9.256000000000002</v>
      </c>
      <c r="D215" s="1">
        <v>0.20790000000000006</v>
      </c>
      <c r="E215" s="3">
        <v>1455000</v>
      </c>
    </row>
    <row r="216" spans="1:5" x14ac:dyDescent="0.2">
      <c r="A216" s="1" t="s">
        <v>17</v>
      </c>
      <c r="B216" s="1">
        <v>5222</v>
      </c>
      <c r="C216" s="1">
        <v>9.3400000000000016</v>
      </c>
      <c r="D216" s="1">
        <v>0.28730000000000011</v>
      </c>
      <c r="E216" s="3">
        <v>345000</v>
      </c>
    </row>
    <row r="217" spans="1:5" x14ac:dyDescent="0.2">
      <c r="A217" s="1" t="s">
        <v>17</v>
      </c>
      <c r="B217" s="1">
        <v>5223</v>
      </c>
      <c r="C217" s="1">
        <v>9.3110000000000017</v>
      </c>
      <c r="D217" s="1">
        <v>0.25990000000000008</v>
      </c>
      <c r="E217" s="3">
        <v>154000</v>
      </c>
    </row>
    <row r="218" spans="1:5" x14ac:dyDescent="0.2">
      <c r="A218" s="1" t="s">
        <v>17</v>
      </c>
      <c r="B218" s="1">
        <v>5231</v>
      </c>
      <c r="C218" s="1">
        <v>9.6800000000000015</v>
      </c>
      <c r="D218" s="1">
        <v>0.35150000000000009</v>
      </c>
      <c r="E218" s="3">
        <v>139000</v>
      </c>
    </row>
    <row r="219" spans="1:5" x14ac:dyDescent="0.2">
      <c r="A219" s="1" t="s">
        <v>17</v>
      </c>
      <c r="B219" s="1">
        <v>5232</v>
      </c>
      <c r="C219" s="1">
        <v>9.7250000000000032</v>
      </c>
      <c r="D219" s="1">
        <v>0.49650000000000016</v>
      </c>
      <c r="E219" s="3">
        <v>2100</v>
      </c>
    </row>
    <row r="220" spans="1:5" x14ac:dyDescent="0.2">
      <c r="A220" s="1" t="s">
        <v>17</v>
      </c>
      <c r="B220" s="1">
        <v>5239</v>
      </c>
      <c r="C220" s="1">
        <v>9.5270000000000028</v>
      </c>
      <c r="D220" s="1">
        <v>0.34470000000000012</v>
      </c>
      <c r="E220" s="3">
        <v>116000</v>
      </c>
    </row>
    <row r="221" spans="1:5" x14ac:dyDescent="0.2">
      <c r="A221" s="1" t="s">
        <v>17</v>
      </c>
      <c r="B221" s="1">
        <v>5241</v>
      </c>
      <c r="C221" s="1">
        <v>9.3740000000000023</v>
      </c>
      <c r="D221" s="1">
        <v>0.35280000000000011</v>
      </c>
      <c r="E221" s="3">
        <v>827000</v>
      </c>
    </row>
    <row r="222" spans="1:5" x14ac:dyDescent="0.2">
      <c r="A222" s="1" t="s">
        <v>17</v>
      </c>
      <c r="B222" s="1">
        <v>5242</v>
      </c>
      <c r="C222" s="1">
        <v>9.3710000000000022</v>
      </c>
      <c r="D222" s="1">
        <v>0.21100000000000008</v>
      </c>
      <c r="E222" s="3">
        <v>673000</v>
      </c>
    </row>
    <row r="223" spans="1:5" x14ac:dyDescent="0.2">
      <c r="A223" s="1" t="s">
        <v>17</v>
      </c>
      <c r="B223" s="1">
        <v>5251</v>
      </c>
      <c r="C223" s="1">
        <v>9.3590000000000018</v>
      </c>
      <c r="D223" s="1">
        <v>0.2627000000000001</v>
      </c>
      <c r="E223" s="3">
        <v>34000</v>
      </c>
    </row>
    <row r="224" spans="1:5" x14ac:dyDescent="0.2">
      <c r="A224" s="1" t="s">
        <v>17</v>
      </c>
      <c r="B224" s="1">
        <v>5259</v>
      </c>
      <c r="C224" s="1">
        <v>9.4190000000000023</v>
      </c>
      <c r="D224" s="1">
        <v>0.37840000000000013</v>
      </c>
      <c r="E224" s="3">
        <v>6800</v>
      </c>
    </row>
    <row r="225" spans="1:5" x14ac:dyDescent="0.2">
      <c r="A225" s="1" t="s">
        <v>17</v>
      </c>
      <c r="B225" s="1">
        <v>5311</v>
      </c>
      <c r="C225" s="1">
        <v>9.2750000000000021</v>
      </c>
      <c r="D225" s="1">
        <v>0.17500000000000004</v>
      </c>
      <c r="E225" s="3">
        <v>548000</v>
      </c>
    </row>
    <row r="226" spans="1:5" x14ac:dyDescent="0.2">
      <c r="A226" s="1" t="s">
        <v>17</v>
      </c>
      <c r="B226" s="1">
        <v>5312</v>
      </c>
      <c r="C226" s="1">
        <v>9.333000000000002</v>
      </c>
      <c r="D226" s="1">
        <v>0.17210000000000006</v>
      </c>
      <c r="E226" s="3">
        <v>158000</v>
      </c>
    </row>
    <row r="227" spans="1:5" x14ac:dyDescent="0.2">
      <c r="A227" s="1" t="s">
        <v>17</v>
      </c>
      <c r="B227" s="1">
        <v>5313</v>
      </c>
      <c r="C227" s="1">
        <v>9.2760000000000016</v>
      </c>
      <c r="D227" s="1">
        <v>0.18880000000000005</v>
      </c>
      <c r="E227" s="3">
        <v>510000</v>
      </c>
    </row>
    <row r="228" spans="1:5" x14ac:dyDescent="0.2">
      <c r="A228" s="1" t="s">
        <v>17</v>
      </c>
      <c r="B228" s="1">
        <v>5321</v>
      </c>
      <c r="C228" s="1">
        <v>9.2860000000000014</v>
      </c>
      <c r="D228" s="1">
        <v>0.24770000000000009</v>
      </c>
      <c r="E228" s="3">
        <v>158000</v>
      </c>
    </row>
    <row r="229" spans="1:5" x14ac:dyDescent="0.2">
      <c r="A229" s="1" t="s">
        <v>17</v>
      </c>
      <c r="B229" s="1">
        <v>5322</v>
      </c>
      <c r="C229" s="1">
        <v>9.1760000000000019</v>
      </c>
      <c r="D229" s="1">
        <v>0.18730000000000005</v>
      </c>
      <c r="E229" s="3">
        <v>117000</v>
      </c>
    </row>
    <row r="230" spans="1:5" x14ac:dyDescent="0.2">
      <c r="A230" s="1" t="s">
        <v>17</v>
      </c>
      <c r="B230" s="1">
        <v>5323</v>
      </c>
      <c r="C230" s="1">
        <v>9.3410000000000029</v>
      </c>
      <c r="D230" s="1">
        <v>0.19770000000000007</v>
      </c>
      <c r="E230" s="3">
        <v>45500</v>
      </c>
    </row>
    <row r="231" spans="1:5" x14ac:dyDescent="0.2">
      <c r="A231" s="1" t="s">
        <v>17</v>
      </c>
      <c r="B231" s="1">
        <v>5324</v>
      </c>
      <c r="C231" s="1">
        <v>9.4300000000000015</v>
      </c>
      <c r="D231" s="1">
        <v>0.3701000000000001</v>
      </c>
      <c r="E231" s="3">
        <v>167000</v>
      </c>
    </row>
    <row r="232" spans="1:5" x14ac:dyDescent="0.2">
      <c r="A232" s="1" t="s">
        <v>17</v>
      </c>
      <c r="B232" s="1">
        <v>5331</v>
      </c>
      <c r="C232" s="1">
        <v>9.5030000000000019</v>
      </c>
      <c r="D232" s="1">
        <v>0.27940000000000009</v>
      </c>
      <c r="E232" s="3">
        <v>10500</v>
      </c>
    </row>
    <row r="233" spans="1:5" x14ac:dyDescent="0.2">
      <c r="A233" s="1" t="s">
        <v>17</v>
      </c>
      <c r="B233" s="1">
        <v>5411</v>
      </c>
      <c r="C233" s="1">
        <v>9.3570000000000029</v>
      </c>
      <c r="D233" s="1">
        <v>0.2728000000000001</v>
      </c>
      <c r="E233" s="3">
        <v>533000</v>
      </c>
    </row>
    <row r="234" spans="1:5" x14ac:dyDescent="0.2">
      <c r="A234" s="1" t="s">
        <v>17</v>
      </c>
      <c r="B234" s="1">
        <v>5412</v>
      </c>
      <c r="C234" s="1">
        <v>9.3270000000000017</v>
      </c>
      <c r="D234" s="1">
        <v>0.19260000000000005</v>
      </c>
      <c r="E234" s="3">
        <v>356000</v>
      </c>
    </row>
    <row r="235" spans="1:5" x14ac:dyDescent="0.2">
      <c r="A235" s="1" t="s">
        <v>17</v>
      </c>
      <c r="B235" s="1">
        <v>5413</v>
      </c>
      <c r="C235" s="1">
        <v>9.4600000000000026</v>
      </c>
      <c r="D235" s="1">
        <v>0.33710000000000012</v>
      </c>
      <c r="E235" s="3">
        <v>669000</v>
      </c>
    </row>
    <row r="236" spans="1:5" x14ac:dyDescent="0.2">
      <c r="A236" s="1" t="s">
        <v>17</v>
      </c>
      <c r="B236" s="1">
        <v>5414</v>
      </c>
      <c r="C236" s="1">
        <v>9.3820000000000014</v>
      </c>
      <c r="D236" s="1">
        <v>0.18810000000000007</v>
      </c>
      <c r="E236" s="3">
        <v>52500</v>
      </c>
    </row>
    <row r="237" spans="1:5" x14ac:dyDescent="0.2">
      <c r="A237" s="1" t="s">
        <v>17</v>
      </c>
      <c r="B237" s="1">
        <v>5415</v>
      </c>
      <c r="C237" s="1">
        <v>9.5560000000000027</v>
      </c>
      <c r="D237" s="1">
        <v>0.34300000000000008</v>
      </c>
      <c r="E237" s="3">
        <v>453000</v>
      </c>
    </row>
    <row r="238" spans="1:5" x14ac:dyDescent="0.2">
      <c r="A238" s="1" t="s">
        <v>17</v>
      </c>
      <c r="B238" s="1">
        <v>5416</v>
      </c>
      <c r="C238" s="1">
        <v>9.3980000000000015</v>
      </c>
      <c r="D238" s="1">
        <v>0.27220000000000011</v>
      </c>
      <c r="E238" s="3">
        <v>419000</v>
      </c>
    </row>
    <row r="239" spans="1:5" x14ac:dyDescent="0.2">
      <c r="A239" s="1" t="s">
        <v>17</v>
      </c>
      <c r="B239" s="1">
        <v>5417</v>
      </c>
      <c r="C239" s="1">
        <v>9.4820000000000029</v>
      </c>
      <c r="D239" s="1">
        <v>0.43220000000000014</v>
      </c>
      <c r="E239" s="3">
        <v>227000</v>
      </c>
    </row>
    <row r="240" spans="1:5" x14ac:dyDescent="0.2">
      <c r="A240" s="1" t="s">
        <v>17</v>
      </c>
      <c r="B240" s="1">
        <v>5418</v>
      </c>
      <c r="C240" s="1">
        <v>9.328000000000003</v>
      </c>
      <c r="D240" s="1">
        <v>0.20780000000000007</v>
      </c>
      <c r="E240" s="3">
        <v>181000</v>
      </c>
    </row>
    <row r="241" spans="1:5" x14ac:dyDescent="0.2">
      <c r="A241" s="1" t="s">
        <v>17</v>
      </c>
      <c r="B241" s="1">
        <v>5419</v>
      </c>
      <c r="C241" s="1">
        <v>9.2160000000000029</v>
      </c>
      <c r="D241" s="1">
        <v>0.11960000000000004</v>
      </c>
      <c r="E241" s="3">
        <v>265000</v>
      </c>
    </row>
    <row r="242" spans="1:5" x14ac:dyDescent="0.2">
      <c r="A242" s="1" t="s">
        <v>17</v>
      </c>
      <c r="B242" s="1">
        <v>5511</v>
      </c>
      <c r="C242" s="1">
        <v>9.3310000000000031</v>
      </c>
      <c r="D242" s="1">
        <v>0.30090000000000011</v>
      </c>
      <c r="E242" s="3">
        <v>1704000</v>
      </c>
    </row>
    <row r="243" spans="1:5" x14ac:dyDescent="0.2">
      <c r="A243" s="1" t="s">
        <v>17</v>
      </c>
      <c r="B243" s="1">
        <v>5611</v>
      </c>
      <c r="C243" s="1">
        <v>9.3270000000000017</v>
      </c>
      <c r="D243" s="1">
        <v>0.23900000000000007</v>
      </c>
      <c r="E243" s="3">
        <v>266000</v>
      </c>
    </row>
    <row r="244" spans="1:5" x14ac:dyDescent="0.2">
      <c r="A244" s="1" t="s">
        <v>17</v>
      </c>
      <c r="B244" s="1">
        <v>5612</v>
      </c>
      <c r="C244" s="1">
        <v>9.1770000000000014</v>
      </c>
      <c r="D244" s="1">
        <v>0.30850000000000011</v>
      </c>
      <c r="E244" s="3">
        <v>145000</v>
      </c>
    </row>
    <row r="245" spans="1:5" x14ac:dyDescent="0.2">
      <c r="A245" s="1" t="s">
        <v>17</v>
      </c>
      <c r="B245" s="1">
        <v>5613</v>
      </c>
      <c r="C245" s="1">
        <v>9.1010000000000026</v>
      </c>
      <c r="D245" s="1">
        <v>0.10710000000000003</v>
      </c>
      <c r="E245" s="3">
        <v>1066000</v>
      </c>
    </row>
    <row r="246" spans="1:5" x14ac:dyDescent="0.2">
      <c r="A246" s="1" t="s">
        <v>17</v>
      </c>
      <c r="B246" s="1">
        <v>5614</v>
      </c>
      <c r="C246" s="1">
        <v>9.1510000000000016</v>
      </c>
      <c r="D246" s="1">
        <v>0.16670000000000004</v>
      </c>
      <c r="E246" s="3">
        <v>440000</v>
      </c>
    </row>
    <row r="247" spans="1:5" x14ac:dyDescent="0.2">
      <c r="A247" s="1" t="s">
        <v>17</v>
      </c>
      <c r="B247" s="1">
        <v>5615</v>
      </c>
      <c r="C247" s="1">
        <v>9.2870000000000026</v>
      </c>
      <c r="D247" s="1">
        <v>0.18350000000000005</v>
      </c>
      <c r="E247" s="3">
        <v>118000</v>
      </c>
    </row>
    <row r="248" spans="1:5" x14ac:dyDescent="0.2">
      <c r="A248" s="1" t="s">
        <v>17</v>
      </c>
      <c r="B248" s="1">
        <v>5616</v>
      </c>
      <c r="C248" s="1">
        <v>9.1500000000000021</v>
      </c>
      <c r="D248" s="1">
        <v>0.12110000000000004</v>
      </c>
      <c r="E248" s="3">
        <v>583000</v>
      </c>
    </row>
    <row r="249" spans="1:5" x14ac:dyDescent="0.2">
      <c r="A249" s="1" t="s">
        <v>17</v>
      </c>
      <c r="B249" s="1">
        <v>5617</v>
      </c>
      <c r="C249" s="1">
        <v>9.1600000000000019</v>
      </c>
      <c r="D249" s="1">
        <v>0.11130000000000004</v>
      </c>
      <c r="E249" s="3">
        <v>1534000</v>
      </c>
    </row>
    <row r="250" spans="1:5" x14ac:dyDescent="0.2">
      <c r="A250" s="1" t="s">
        <v>17</v>
      </c>
      <c r="B250" s="1">
        <v>5619</v>
      </c>
      <c r="C250" s="1">
        <v>9.2220000000000013</v>
      </c>
      <c r="D250" s="1">
        <v>0.19230000000000005</v>
      </c>
      <c r="E250" s="3">
        <v>220000</v>
      </c>
    </row>
    <row r="251" spans="1:5" x14ac:dyDescent="0.2">
      <c r="A251" s="1" t="s">
        <v>17</v>
      </c>
      <c r="B251" s="1">
        <v>5621</v>
      </c>
      <c r="C251" s="1">
        <v>9.3170000000000019</v>
      </c>
      <c r="D251" s="1">
        <v>0.33320000000000011</v>
      </c>
      <c r="E251" s="3">
        <v>322000</v>
      </c>
    </row>
    <row r="252" spans="1:5" x14ac:dyDescent="0.2">
      <c r="A252" s="1" t="s">
        <v>17</v>
      </c>
      <c r="B252" s="1">
        <v>5622</v>
      </c>
      <c r="C252" s="1">
        <v>9.3880000000000017</v>
      </c>
      <c r="D252" s="1">
        <v>0.40420000000000011</v>
      </c>
      <c r="E252" s="3">
        <v>219000</v>
      </c>
    </row>
    <row r="253" spans="1:5" x14ac:dyDescent="0.2">
      <c r="A253" s="1" t="s">
        <v>17</v>
      </c>
      <c r="B253" s="1">
        <v>5629</v>
      </c>
      <c r="C253" s="1">
        <v>9.365000000000002</v>
      </c>
      <c r="D253" s="1">
        <v>0.30570000000000008</v>
      </c>
      <c r="E253" s="3">
        <v>178000</v>
      </c>
    </row>
    <row r="254" spans="1:5" x14ac:dyDescent="0.2">
      <c r="A254" s="1" t="s">
        <v>17</v>
      </c>
      <c r="B254" s="1">
        <v>6111</v>
      </c>
      <c r="C254" s="1">
        <v>9.1180000000000021</v>
      </c>
      <c r="D254" s="1">
        <v>0.12890000000000004</v>
      </c>
      <c r="E254" s="3">
        <v>4471000</v>
      </c>
    </row>
    <row r="255" spans="1:5" x14ac:dyDescent="0.2">
      <c r="A255" s="1" t="s">
        <v>17</v>
      </c>
      <c r="B255" s="1">
        <v>6112</v>
      </c>
      <c r="C255" s="1">
        <v>9.3740000000000023</v>
      </c>
      <c r="D255" s="1">
        <v>8.9610000000000037E-2</v>
      </c>
      <c r="E255" s="3">
        <v>177000</v>
      </c>
    </row>
    <row r="256" spans="1:5" x14ac:dyDescent="0.2">
      <c r="A256" s="1" t="s">
        <v>17</v>
      </c>
      <c r="B256" s="1">
        <v>6113</v>
      </c>
      <c r="C256" s="1">
        <v>9.3470000000000031</v>
      </c>
      <c r="D256" s="1">
        <v>0.15100000000000005</v>
      </c>
      <c r="E256" s="3">
        <v>1107000</v>
      </c>
    </row>
    <row r="257" spans="1:5" x14ac:dyDescent="0.2">
      <c r="A257" s="1" t="s">
        <v>17</v>
      </c>
      <c r="B257" s="1">
        <v>6114</v>
      </c>
      <c r="C257" s="1">
        <v>9.3690000000000015</v>
      </c>
      <c r="D257" s="1">
        <v>0.21300000000000008</v>
      </c>
      <c r="E257" s="3">
        <v>21000</v>
      </c>
    </row>
    <row r="258" spans="1:5" x14ac:dyDescent="0.2">
      <c r="A258" s="1" t="s">
        <v>17</v>
      </c>
      <c r="B258" s="1">
        <v>6115</v>
      </c>
      <c r="C258" s="1">
        <v>9.3070000000000022</v>
      </c>
      <c r="D258" s="1">
        <v>0.18770000000000006</v>
      </c>
      <c r="E258" s="3">
        <v>71000</v>
      </c>
    </row>
    <row r="259" spans="1:5" x14ac:dyDescent="0.2">
      <c r="A259" s="1" t="s">
        <v>17</v>
      </c>
      <c r="B259" s="1">
        <v>6116</v>
      </c>
      <c r="C259" s="1">
        <v>9.299000000000003</v>
      </c>
      <c r="D259" s="1">
        <v>6.3250000000000028E-2</v>
      </c>
      <c r="E259" s="3">
        <v>47500</v>
      </c>
    </row>
    <row r="260" spans="1:5" x14ac:dyDescent="0.2">
      <c r="A260" s="1" t="s">
        <v>17</v>
      </c>
      <c r="B260" s="1">
        <v>6117</v>
      </c>
      <c r="C260" s="1">
        <v>9.203000000000003</v>
      </c>
      <c r="D260" s="1">
        <v>0.14190000000000005</v>
      </c>
      <c r="E260" s="3">
        <v>39000</v>
      </c>
    </row>
    <row r="261" spans="1:5" x14ac:dyDescent="0.2">
      <c r="A261" s="1" t="s">
        <v>17</v>
      </c>
      <c r="B261" s="1">
        <v>6211</v>
      </c>
      <c r="C261" s="1">
        <v>9.1530000000000022</v>
      </c>
      <c r="D261" s="1">
        <v>0.19010000000000007</v>
      </c>
      <c r="E261" s="3">
        <v>1393000</v>
      </c>
    </row>
    <row r="262" spans="1:5" x14ac:dyDescent="0.2">
      <c r="A262" s="1" t="s">
        <v>17</v>
      </c>
      <c r="B262" s="1">
        <v>6212</v>
      </c>
      <c r="C262" s="1">
        <v>9.1890000000000018</v>
      </c>
      <c r="D262" s="1">
        <v>0.11890000000000003</v>
      </c>
      <c r="E262" s="3">
        <v>524000</v>
      </c>
    </row>
    <row r="263" spans="1:5" x14ac:dyDescent="0.2">
      <c r="A263" s="1" t="s">
        <v>17</v>
      </c>
      <c r="B263" s="1">
        <v>6213</v>
      </c>
      <c r="C263" s="1">
        <v>9.1410000000000018</v>
      </c>
      <c r="D263" s="1">
        <v>8.4000000000000033E-2</v>
      </c>
      <c r="E263" s="3">
        <v>291000</v>
      </c>
    </row>
    <row r="264" spans="1:5" x14ac:dyDescent="0.2">
      <c r="A264" s="1" t="s">
        <v>17</v>
      </c>
      <c r="B264" s="1">
        <v>6214</v>
      </c>
      <c r="C264" s="1">
        <v>9.1570000000000018</v>
      </c>
      <c r="D264" s="1">
        <v>0.22380000000000008</v>
      </c>
      <c r="E264" s="3">
        <v>377000</v>
      </c>
    </row>
    <row r="265" spans="1:5" x14ac:dyDescent="0.2">
      <c r="A265" s="1" t="s">
        <v>17</v>
      </c>
      <c r="B265" s="1">
        <v>6215</v>
      </c>
      <c r="C265" s="1">
        <v>9.1820000000000022</v>
      </c>
      <c r="D265" s="1">
        <v>0.25790000000000007</v>
      </c>
      <c r="E265" s="3">
        <v>143000</v>
      </c>
    </row>
    <row r="266" spans="1:5" x14ac:dyDescent="0.2">
      <c r="A266" s="1" t="s">
        <v>17</v>
      </c>
      <c r="B266" s="1">
        <v>6216</v>
      </c>
      <c r="C266" s="1">
        <v>9.0110000000000028</v>
      </c>
      <c r="D266" s="1">
        <v>0.10570000000000003</v>
      </c>
      <c r="E266" s="3">
        <v>524000</v>
      </c>
    </row>
    <row r="267" spans="1:5" x14ac:dyDescent="0.2">
      <c r="A267" s="1" t="s">
        <v>17</v>
      </c>
      <c r="B267" s="1">
        <v>6219</v>
      </c>
      <c r="C267" s="1">
        <v>9.2210000000000019</v>
      </c>
      <c r="D267" s="1">
        <v>0.20160000000000006</v>
      </c>
      <c r="E267" s="3">
        <v>143000</v>
      </c>
    </row>
    <row r="268" spans="1:5" x14ac:dyDescent="0.2">
      <c r="A268" s="1" t="s">
        <v>17</v>
      </c>
      <c r="B268" s="1">
        <v>6221</v>
      </c>
      <c r="C268" s="1">
        <v>9.163000000000002</v>
      </c>
      <c r="D268" s="1">
        <v>0.22860000000000008</v>
      </c>
      <c r="E268" s="3">
        <v>3231000</v>
      </c>
    </row>
    <row r="269" spans="1:5" x14ac:dyDescent="0.2">
      <c r="A269" s="1" t="s">
        <v>17</v>
      </c>
      <c r="B269" s="1">
        <v>6222</v>
      </c>
      <c r="C269" s="1">
        <v>9.1460000000000026</v>
      </c>
      <c r="D269" s="1">
        <v>0.24430000000000007</v>
      </c>
      <c r="E269" s="3">
        <v>180000</v>
      </c>
    </row>
    <row r="270" spans="1:5" x14ac:dyDescent="0.2">
      <c r="A270" s="1" t="s">
        <v>17</v>
      </c>
      <c r="B270" s="1">
        <v>6223</v>
      </c>
      <c r="C270" s="1">
        <v>9.1800000000000015</v>
      </c>
      <c r="D270" s="1">
        <v>0.24830000000000008</v>
      </c>
      <c r="E270" s="3">
        <v>120000</v>
      </c>
    </row>
    <row r="271" spans="1:5" x14ac:dyDescent="0.2">
      <c r="A271" s="1" t="s">
        <v>17</v>
      </c>
      <c r="B271" s="1">
        <v>6231</v>
      </c>
      <c r="C271" s="1">
        <v>8.9890000000000025</v>
      </c>
      <c r="D271" s="1">
        <v>0.15500000000000005</v>
      </c>
      <c r="E271" s="3">
        <v>1695000</v>
      </c>
    </row>
    <row r="272" spans="1:5" x14ac:dyDescent="0.2">
      <c r="A272" s="1" t="s">
        <v>17</v>
      </c>
      <c r="B272" s="1">
        <v>6232</v>
      </c>
      <c r="C272" s="1">
        <v>9.0370000000000026</v>
      </c>
      <c r="D272" s="1">
        <v>0.15730000000000005</v>
      </c>
      <c r="E272" s="3">
        <v>519000</v>
      </c>
    </row>
    <row r="273" spans="1:5" x14ac:dyDescent="0.2">
      <c r="A273" s="1" t="s">
        <v>17</v>
      </c>
      <c r="B273" s="1">
        <v>6233</v>
      </c>
      <c r="C273" s="1">
        <v>8.9820000000000029</v>
      </c>
      <c r="D273" s="1">
        <v>0.10580000000000003</v>
      </c>
      <c r="E273" s="3">
        <v>710000</v>
      </c>
    </row>
    <row r="274" spans="1:5" x14ac:dyDescent="0.2">
      <c r="A274" s="1" t="s">
        <v>17</v>
      </c>
      <c r="B274" s="1">
        <v>6239</v>
      </c>
      <c r="C274" s="1">
        <v>9.0650000000000013</v>
      </c>
      <c r="D274" s="1">
        <v>0.13360000000000005</v>
      </c>
      <c r="E274" s="3">
        <v>102000</v>
      </c>
    </row>
    <row r="275" spans="1:5" x14ac:dyDescent="0.2">
      <c r="A275" s="1" t="s">
        <v>17</v>
      </c>
      <c r="B275" s="1">
        <v>6241</v>
      </c>
      <c r="C275" s="1">
        <v>9.0410000000000021</v>
      </c>
      <c r="D275" s="1">
        <v>8.7520000000000042E-2</v>
      </c>
      <c r="E275" s="3">
        <v>810000</v>
      </c>
    </row>
    <row r="276" spans="1:5" x14ac:dyDescent="0.2">
      <c r="A276" s="1" t="s">
        <v>17</v>
      </c>
      <c r="B276" s="1">
        <v>6242</v>
      </c>
      <c r="C276" s="1">
        <v>9.1410000000000018</v>
      </c>
      <c r="D276" s="1">
        <v>0.11340000000000004</v>
      </c>
      <c r="E276" s="3">
        <v>82000</v>
      </c>
    </row>
    <row r="277" spans="1:5" x14ac:dyDescent="0.2">
      <c r="A277" s="1" t="s">
        <v>17</v>
      </c>
      <c r="B277" s="1">
        <v>6243</v>
      </c>
      <c r="C277" s="1">
        <v>9.017000000000003</v>
      </c>
      <c r="D277" s="1">
        <v>9.4760000000000039E-2</v>
      </c>
      <c r="E277" s="3">
        <v>260000</v>
      </c>
    </row>
    <row r="278" spans="1:5" x14ac:dyDescent="0.2">
      <c r="A278" s="1" t="s">
        <v>17</v>
      </c>
      <c r="B278" s="1">
        <v>6244</v>
      </c>
      <c r="C278" s="1">
        <v>8.9500000000000028</v>
      </c>
      <c r="D278" s="1">
        <v>3.4870000000000018E-4</v>
      </c>
      <c r="E278" s="3">
        <v>330000</v>
      </c>
    </row>
    <row r="279" spans="1:5" x14ac:dyDescent="0.2">
      <c r="A279" s="1" t="s">
        <v>17</v>
      </c>
      <c r="B279" s="1">
        <v>7111</v>
      </c>
      <c r="C279" s="1">
        <v>9.4610000000000021</v>
      </c>
      <c r="D279" s="1">
        <v>0.15570000000000006</v>
      </c>
      <c r="E279" s="3">
        <v>24000</v>
      </c>
    </row>
    <row r="280" spans="1:5" x14ac:dyDescent="0.2">
      <c r="A280" s="1" t="s">
        <v>17</v>
      </c>
      <c r="B280" s="1">
        <v>7112</v>
      </c>
      <c r="C280" s="1">
        <v>9.4310000000000027</v>
      </c>
      <c r="D280" s="1">
        <v>0.15610000000000004</v>
      </c>
      <c r="E280" s="3">
        <v>51500</v>
      </c>
    </row>
    <row r="281" spans="1:5" x14ac:dyDescent="0.2">
      <c r="A281" s="1" t="s">
        <v>17</v>
      </c>
      <c r="B281" s="1">
        <v>7113</v>
      </c>
      <c r="C281" s="1">
        <v>9.4160000000000021</v>
      </c>
      <c r="D281" s="1">
        <v>0.13370000000000004</v>
      </c>
      <c r="E281" s="3">
        <v>32000</v>
      </c>
    </row>
    <row r="282" spans="1:5" x14ac:dyDescent="0.2">
      <c r="A282" s="1" t="s">
        <v>17</v>
      </c>
      <c r="B282" s="1">
        <v>7114</v>
      </c>
      <c r="C282" s="1">
        <v>9.5950000000000024</v>
      </c>
      <c r="D282" s="1">
        <v>0.21110000000000007</v>
      </c>
      <c r="E282" s="3">
        <v>4100</v>
      </c>
    </row>
    <row r="283" spans="1:5" x14ac:dyDescent="0.2">
      <c r="A283" s="1" t="s">
        <v>17</v>
      </c>
      <c r="B283" s="1">
        <v>7115</v>
      </c>
      <c r="C283" s="1">
        <v>9.4600000000000026</v>
      </c>
      <c r="D283" s="1">
        <v>0.16890000000000005</v>
      </c>
      <c r="E283" s="3">
        <v>12000</v>
      </c>
    </row>
    <row r="284" spans="1:5" x14ac:dyDescent="0.2">
      <c r="A284" s="1" t="s">
        <v>17</v>
      </c>
      <c r="B284" s="1">
        <v>7121</v>
      </c>
      <c r="C284" s="1">
        <v>9.2920000000000016</v>
      </c>
      <c r="D284" s="1">
        <v>0.13770000000000004</v>
      </c>
      <c r="E284" s="3">
        <v>99500</v>
      </c>
    </row>
    <row r="285" spans="1:5" x14ac:dyDescent="0.2">
      <c r="A285" s="1" t="s">
        <v>17</v>
      </c>
      <c r="B285" s="1">
        <v>7131</v>
      </c>
      <c r="C285" s="1">
        <v>9.2700000000000014</v>
      </c>
      <c r="D285" s="1">
        <v>5.8820000000000025E-2</v>
      </c>
      <c r="E285" s="3">
        <v>75000</v>
      </c>
    </row>
    <row r="286" spans="1:5" x14ac:dyDescent="0.2">
      <c r="A286" s="1" t="s">
        <v>17</v>
      </c>
      <c r="B286" s="1">
        <v>7132</v>
      </c>
      <c r="C286" s="1">
        <v>9.0870000000000015</v>
      </c>
      <c r="D286" s="1">
        <v>0.15800000000000006</v>
      </c>
      <c r="E286" s="3">
        <v>362000</v>
      </c>
    </row>
    <row r="287" spans="1:5" x14ac:dyDescent="0.2">
      <c r="A287" s="1" t="s">
        <v>17</v>
      </c>
      <c r="B287" s="1">
        <v>7139</v>
      </c>
      <c r="C287" s="1">
        <v>9.256000000000002</v>
      </c>
      <c r="D287" s="1">
        <v>7.8350000000000031E-2</v>
      </c>
      <c r="E287" s="3">
        <v>466000</v>
      </c>
    </row>
    <row r="288" spans="1:5" x14ac:dyDescent="0.2">
      <c r="A288" s="1" t="s">
        <v>17</v>
      </c>
      <c r="B288" s="1">
        <v>7211</v>
      </c>
      <c r="C288" s="1">
        <v>9.1190000000000015</v>
      </c>
      <c r="D288" s="1">
        <v>0.12870000000000004</v>
      </c>
      <c r="E288" s="3">
        <v>1577000</v>
      </c>
    </row>
    <row r="289" spans="1:5" x14ac:dyDescent="0.2">
      <c r="A289" s="1" t="s">
        <v>17</v>
      </c>
      <c r="B289" s="1">
        <v>7212</v>
      </c>
      <c r="C289" s="1">
        <v>9.2360000000000024</v>
      </c>
      <c r="D289" s="1">
        <v>-1.0070000000000004E-2</v>
      </c>
      <c r="E289" s="3">
        <v>26500</v>
      </c>
    </row>
    <row r="290" spans="1:5" x14ac:dyDescent="0.2">
      <c r="A290" s="1" t="s">
        <v>17</v>
      </c>
      <c r="B290" s="1">
        <v>7213</v>
      </c>
      <c r="C290" s="1">
        <v>9.0740000000000016</v>
      </c>
      <c r="D290" s="1">
        <v>9.1900000000000037E-2</v>
      </c>
      <c r="E290" s="3">
        <v>7100</v>
      </c>
    </row>
    <row r="291" spans="1:5" x14ac:dyDescent="0.2">
      <c r="A291" s="1" t="s">
        <v>17</v>
      </c>
      <c r="B291" s="1">
        <v>7223</v>
      </c>
      <c r="C291" s="1">
        <v>9.0490000000000013</v>
      </c>
      <c r="D291" s="1">
        <v>9.0110000000000037E-2</v>
      </c>
      <c r="E291" s="3">
        <v>437000</v>
      </c>
    </row>
    <row r="292" spans="1:5" x14ac:dyDescent="0.2">
      <c r="A292" s="1" t="s">
        <v>17</v>
      </c>
      <c r="B292" s="1">
        <v>7224</v>
      </c>
      <c r="C292" s="1">
        <v>9.163000000000002</v>
      </c>
      <c r="D292" s="1">
        <v>-0.11070000000000003</v>
      </c>
      <c r="E292" s="3">
        <v>93000</v>
      </c>
    </row>
    <row r="293" spans="1:5" x14ac:dyDescent="0.2">
      <c r="A293" s="1" t="s">
        <v>17</v>
      </c>
      <c r="B293" s="1">
        <v>7225</v>
      </c>
      <c r="C293" s="1">
        <v>9.1010000000000026</v>
      </c>
      <c r="D293" s="1">
        <v>-7.6280000000000028E-3</v>
      </c>
      <c r="E293" s="3">
        <v>2635000</v>
      </c>
    </row>
    <row r="294" spans="1:5" x14ac:dyDescent="0.2">
      <c r="A294" s="1" t="s">
        <v>17</v>
      </c>
      <c r="B294" s="1">
        <v>8111</v>
      </c>
      <c r="C294" s="1">
        <v>9.3830000000000027</v>
      </c>
      <c r="D294" s="1">
        <v>0.11750000000000003</v>
      </c>
      <c r="E294" s="3">
        <v>1118000</v>
      </c>
    </row>
    <row r="295" spans="1:5" x14ac:dyDescent="0.2">
      <c r="A295" s="1" t="s">
        <v>17</v>
      </c>
      <c r="B295" s="1">
        <v>8112</v>
      </c>
      <c r="C295" s="1">
        <v>9.3320000000000025</v>
      </c>
      <c r="D295" s="1">
        <v>0.22990000000000008</v>
      </c>
      <c r="E295" s="3">
        <v>74500</v>
      </c>
    </row>
    <row r="296" spans="1:5" x14ac:dyDescent="0.2">
      <c r="A296" s="1" t="s">
        <v>17</v>
      </c>
      <c r="B296" s="1">
        <v>8113</v>
      </c>
      <c r="C296" s="1">
        <v>9.4370000000000029</v>
      </c>
      <c r="D296" s="1">
        <v>0.25960000000000011</v>
      </c>
      <c r="E296" s="3">
        <v>295000</v>
      </c>
    </row>
    <row r="297" spans="1:5" x14ac:dyDescent="0.2">
      <c r="A297" s="1" t="s">
        <v>17</v>
      </c>
      <c r="B297" s="1">
        <v>8114</v>
      </c>
      <c r="C297" s="1">
        <v>9.3170000000000019</v>
      </c>
      <c r="D297" s="1">
        <v>7.1360000000000035E-2</v>
      </c>
      <c r="E297" s="3">
        <v>70000</v>
      </c>
    </row>
    <row r="298" spans="1:5" x14ac:dyDescent="0.2">
      <c r="A298" s="1" t="s">
        <v>17</v>
      </c>
      <c r="B298" s="1">
        <v>8121</v>
      </c>
      <c r="C298" s="1">
        <v>9.2170000000000023</v>
      </c>
      <c r="D298" s="1">
        <v>-4.1930000000000016E-2</v>
      </c>
      <c r="E298" s="3">
        <v>327000</v>
      </c>
    </row>
    <row r="299" spans="1:5" x14ac:dyDescent="0.2">
      <c r="A299" s="1" t="s">
        <v>17</v>
      </c>
      <c r="B299" s="1">
        <v>8122</v>
      </c>
      <c r="C299" s="1">
        <v>9.2750000000000021</v>
      </c>
      <c r="D299" s="1">
        <v>0.12470000000000003</v>
      </c>
      <c r="E299" s="3">
        <v>84500</v>
      </c>
    </row>
    <row r="300" spans="1:5" x14ac:dyDescent="0.2">
      <c r="A300" s="1" t="s">
        <v>17</v>
      </c>
      <c r="B300" s="1">
        <v>8123</v>
      </c>
      <c r="C300" s="1">
        <v>9.0280000000000022</v>
      </c>
      <c r="D300" s="1">
        <v>0.14120000000000005</v>
      </c>
      <c r="E300" s="3">
        <v>327000</v>
      </c>
    </row>
    <row r="301" spans="1:5" x14ac:dyDescent="0.2">
      <c r="A301" s="1" t="s">
        <v>17</v>
      </c>
      <c r="B301" s="1">
        <v>8129</v>
      </c>
      <c r="C301" s="1">
        <v>9.1400000000000023</v>
      </c>
      <c r="D301" s="1">
        <v>5.069000000000002E-2</v>
      </c>
      <c r="E301" s="3">
        <v>137000</v>
      </c>
    </row>
    <row r="302" spans="1:5" x14ac:dyDescent="0.2">
      <c r="A302" s="1" t="s">
        <v>17</v>
      </c>
      <c r="B302" s="1">
        <v>8131</v>
      </c>
      <c r="C302" s="1">
        <v>9.2570000000000014</v>
      </c>
      <c r="D302" s="1">
        <v>1.9550000000000008E-2</v>
      </c>
      <c r="E302" s="3">
        <v>66000</v>
      </c>
    </row>
    <row r="303" spans="1:5" x14ac:dyDescent="0.2">
      <c r="A303" s="1" t="s">
        <v>17</v>
      </c>
      <c r="B303" s="1">
        <v>8132</v>
      </c>
      <c r="C303" s="1">
        <v>9.3240000000000016</v>
      </c>
      <c r="D303" s="1">
        <v>0.20700000000000007</v>
      </c>
      <c r="E303" s="3">
        <v>40500</v>
      </c>
    </row>
    <row r="304" spans="1:5" x14ac:dyDescent="0.2">
      <c r="A304" s="1" t="s">
        <v>17</v>
      </c>
      <c r="B304" s="1">
        <v>8133</v>
      </c>
      <c r="C304" s="1">
        <v>9.1700000000000017</v>
      </c>
      <c r="D304" s="1">
        <v>0.12050000000000004</v>
      </c>
      <c r="E304" s="3">
        <v>81000</v>
      </c>
    </row>
    <row r="305" spans="1:5" x14ac:dyDescent="0.2">
      <c r="A305" s="1" t="s">
        <v>17</v>
      </c>
      <c r="B305" s="1">
        <v>8134</v>
      </c>
      <c r="C305" s="1">
        <v>9.1590000000000025</v>
      </c>
      <c r="D305" s="1">
        <v>5.2330000000000022E-2</v>
      </c>
      <c r="E305" s="3">
        <v>100000</v>
      </c>
    </row>
    <row r="306" spans="1:5" x14ac:dyDescent="0.2">
      <c r="A306" s="1" t="s">
        <v>17</v>
      </c>
      <c r="B306" s="1">
        <v>8139</v>
      </c>
      <c r="C306" s="1">
        <v>9.4010000000000016</v>
      </c>
      <c r="D306" s="1">
        <v>0.2592000000000001</v>
      </c>
      <c r="E306" s="3">
        <v>227000</v>
      </c>
    </row>
    <row r="307" spans="1:5" x14ac:dyDescent="0.2">
      <c r="A307" s="1" t="s">
        <v>17</v>
      </c>
      <c r="B307" s="1">
        <v>8141</v>
      </c>
      <c r="C307" s="1">
        <v>9.0760000000000023</v>
      </c>
      <c r="D307" s="1">
        <v>0.22780000000000009</v>
      </c>
      <c r="E307" s="3">
        <v>91000</v>
      </c>
    </row>
    <row r="308" spans="1:5" x14ac:dyDescent="0.2">
      <c r="A308" s="1" t="s">
        <v>17</v>
      </c>
      <c r="B308" s="1">
        <v>9211</v>
      </c>
      <c r="C308" s="1">
        <v>9.304000000000002</v>
      </c>
      <c r="D308" s="1">
        <v>0.23390000000000008</v>
      </c>
      <c r="E308" s="3">
        <v>3082000</v>
      </c>
    </row>
    <row r="309" spans="1:5" x14ac:dyDescent="0.2">
      <c r="A309" s="1" t="s">
        <v>17</v>
      </c>
      <c r="B309" s="1">
        <v>9221</v>
      </c>
      <c r="C309" s="1">
        <v>9.3060000000000027</v>
      </c>
      <c r="D309" s="1">
        <v>0.30630000000000007</v>
      </c>
      <c r="E309" s="3">
        <v>1534000</v>
      </c>
    </row>
    <row r="310" spans="1:5" x14ac:dyDescent="0.2">
      <c r="A310" s="1" t="s">
        <v>17</v>
      </c>
      <c r="B310" s="1">
        <v>9231</v>
      </c>
      <c r="C310" s="1">
        <v>9.2740000000000027</v>
      </c>
      <c r="D310" s="1">
        <v>0.24020000000000008</v>
      </c>
      <c r="E310" s="3">
        <v>410000</v>
      </c>
    </row>
    <row r="311" spans="1:5" x14ac:dyDescent="0.2">
      <c r="A311" s="1" t="s">
        <v>17</v>
      </c>
      <c r="B311" s="1">
        <v>9241</v>
      </c>
      <c r="C311" s="1">
        <v>9.3510000000000026</v>
      </c>
      <c r="D311" s="1">
        <v>0.21610000000000007</v>
      </c>
      <c r="E311" s="3">
        <v>164000</v>
      </c>
    </row>
    <row r="312" spans="1:5" x14ac:dyDescent="0.2">
      <c r="A312" s="1" t="s">
        <v>17</v>
      </c>
      <c r="B312" s="1">
        <v>9251</v>
      </c>
      <c r="C312" s="1">
        <v>9.3290000000000024</v>
      </c>
      <c r="D312" s="1">
        <v>0.22610000000000008</v>
      </c>
      <c r="E312" s="3">
        <v>90500</v>
      </c>
    </row>
    <row r="313" spans="1:5" x14ac:dyDescent="0.2">
      <c r="A313" s="1" t="s">
        <v>17</v>
      </c>
      <c r="B313" s="1">
        <v>9261</v>
      </c>
      <c r="C313" s="1">
        <v>9.3460000000000019</v>
      </c>
      <c r="D313" s="1">
        <v>0.22210000000000008</v>
      </c>
      <c r="E313" s="3">
        <v>408000</v>
      </c>
    </row>
    <row r="314" spans="1:5" x14ac:dyDescent="0.2">
      <c r="A314" s="1" t="s">
        <v>17</v>
      </c>
      <c r="B314" s="1">
        <v>9281</v>
      </c>
      <c r="C314" s="1">
        <v>9.2530000000000019</v>
      </c>
      <c r="D314" s="1">
        <v>0.17950000000000005</v>
      </c>
      <c r="E314" s="3">
        <v>20500</v>
      </c>
    </row>
    <row r="315" spans="1:5" x14ac:dyDescent="0.2">
      <c r="A315" s="1" t="s">
        <v>18</v>
      </c>
      <c r="B315" s="1">
        <v>1111</v>
      </c>
      <c r="C315" s="1">
        <v>9.4280000000000026</v>
      </c>
      <c r="D315" s="1">
        <v>0.16350000000000006</v>
      </c>
      <c r="E315" s="3">
        <v>73500</v>
      </c>
    </row>
    <row r="316" spans="1:5" x14ac:dyDescent="0.2">
      <c r="A316" s="1" t="s">
        <v>18</v>
      </c>
      <c r="B316" s="1">
        <v>1112</v>
      </c>
      <c r="C316" s="1">
        <v>9.5550000000000015</v>
      </c>
      <c r="D316" s="1">
        <v>0.14310000000000003</v>
      </c>
      <c r="E316" s="3">
        <v>48500</v>
      </c>
    </row>
    <row r="317" spans="1:5" x14ac:dyDescent="0.2">
      <c r="A317" s="1" t="s">
        <v>18</v>
      </c>
      <c r="B317" s="1">
        <v>1113</v>
      </c>
      <c r="C317" s="1">
        <v>9.533000000000003</v>
      </c>
      <c r="D317" s="1">
        <v>9.9530000000000035E-2</v>
      </c>
      <c r="E317" s="3">
        <v>57500</v>
      </c>
    </row>
    <row r="318" spans="1:5" x14ac:dyDescent="0.2">
      <c r="A318" s="1" t="s">
        <v>18</v>
      </c>
      <c r="B318" s="1">
        <v>1114</v>
      </c>
      <c r="C318" s="1">
        <v>9.485000000000003</v>
      </c>
      <c r="D318" s="1">
        <v>8.1930000000000031E-2</v>
      </c>
      <c r="E318" s="3">
        <v>112000</v>
      </c>
    </row>
    <row r="319" spans="1:5" x14ac:dyDescent="0.2">
      <c r="A319" s="1" t="s">
        <v>18</v>
      </c>
      <c r="B319" s="1">
        <v>1119</v>
      </c>
      <c r="C319" s="1">
        <v>9.453000000000003</v>
      </c>
      <c r="D319" s="1">
        <v>0.12600000000000003</v>
      </c>
      <c r="E319" s="3">
        <v>41000</v>
      </c>
    </row>
    <row r="320" spans="1:5" x14ac:dyDescent="0.2">
      <c r="A320" s="1" t="s">
        <v>18</v>
      </c>
      <c r="B320" s="1">
        <v>1121</v>
      </c>
      <c r="C320" s="1">
        <v>9.3100000000000023</v>
      </c>
      <c r="D320" s="1">
        <v>0.15650000000000006</v>
      </c>
      <c r="E320" s="3">
        <v>125000</v>
      </c>
    </row>
    <row r="321" spans="1:5" x14ac:dyDescent="0.2">
      <c r="A321" s="1" t="s">
        <v>18</v>
      </c>
      <c r="B321" s="1">
        <v>1122</v>
      </c>
      <c r="C321" s="1">
        <v>9.3050000000000015</v>
      </c>
      <c r="D321" s="1">
        <v>0.24560000000000007</v>
      </c>
      <c r="E321" s="3">
        <v>49000</v>
      </c>
    </row>
    <row r="322" spans="1:5" x14ac:dyDescent="0.2">
      <c r="A322" s="1" t="s">
        <v>18</v>
      </c>
      <c r="B322" s="1">
        <v>1123</v>
      </c>
      <c r="C322" s="1">
        <v>9.4090000000000025</v>
      </c>
      <c r="D322" s="1">
        <v>0.24810000000000007</v>
      </c>
      <c r="E322" s="3">
        <v>43000</v>
      </c>
    </row>
    <row r="323" spans="1:5" x14ac:dyDescent="0.2">
      <c r="A323" s="1" t="s">
        <v>18</v>
      </c>
      <c r="B323" s="1">
        <v>1124</v>
      </c>
      <c r="C323" s="1">
        <v>9.4600000000000026</v>
      </c>
      <c r="D323" s="1">
        <v>6.1720000000000025E-2</v>
      </c>
      <c r="E323" s="3">
        <v>1100</v>
      </c>
    </row>
    <row r="324" spans="1:5" x14ac:dyDescent="0.2">
      <c r="A324" s="1" t="s">
        <v>18</v>
      </c>
      <c r="B324" s="1">
        <v>1125</v>
      </c>
      <c r="C324" s="1">
        <v>9.4930000000000021</v>
      </c>
      <c r="D324" s="1">
        <v>0.15700000000000006</v>
      </c>
      <c r="E324" s="3">
        <v>9300</v>
      </c>
    </row>
    <row r="325" spans="1:5" x14ac:dyDescent="0.2">
      <c r="A325" s="1" t="s">
        <v>18</v>
      </c>
      <c r="B325" s="1">
        <v>1129</v>
      </c>
      <c r="C325" s="1">
        <v>9.4300000000000015</v>
      </c>
      <c r="D325" s="1">
        <v>0.18710000000000007</v>
      </c>
      <c r="E325" s="3">
        <v>20500</v>
      </c>
    </row>
    <row r="326" spans="1:5" x14ac:dyDescent="0.2">
      <c r="A326" s="1" t="s">
        <v>18</v>
      </c>
      <c r="B326" s="1">
        <v>1131</v>
      </c>
      <c r="C326" s="1">
        <v>9.7450000000000028</v>
      </c>
      <c r="D326" s="1">
        <v>0.29580000000000012</v>
      </c>
      <c r="E326" s="3">
        <v>7700</v>
      </c>
    </row>
    <row r="327" spans="1:5" x14ac:dyDescent="0.2">
      <c r="A327" s="1" t="s">
        <v>18</v>
      </c>
      <c r="B327" s="1">
        <v>1132</v>
      </c>
      <c r="C327" s="1">
        <v>9.6030000000000015</v>
      </c>
      <c r="D327" s="1">
        <v>0.17640000000000006</v>
      </c>
      <c r="E327" s="3">
        <v>2900</v>
      </c>
    </row>
    <row r="328" spans="1:5" x14ac:dyDescent="0.2">
      <c r="A328" s="1" t="s">
        <v>18</v>
      </c>
      <c r="B328" s="1">
        <v>1133</v>
      </c>
      <c r="C328" s="1">
        <v>9.4090000000000025</v>
      </c>
      <c r="D328" s="1">
        <v>0.21810000000000007</v>
      </c>
      <c r="E328" s="3">
        <v>48000</v>
      </c>
    </row>
    <row r="329" spans="1:5" x14ac:dyDescent="0.2">
      <c r="A329" s="1" t="s">
        <v>18</v>
      </c>
      <c r="B329" s="1">
        <v>1141</v>
      </c>
      <c r="C329" s="1">
        <v>9.5420000000000016</v>
      </c>
      <c r="D329" s="1">
        <v>0.39420000000000011</v>
      </c>
      <c r="E329" s="3">
        <v>4000</v>
      </c>
    </row>
    <row r="330" spans="1:5" x14ac:dyDescent="0.2">
      <c r="A330" s="1" t="s">
        <v>18</v>
      </c>
      <c r="B330" s="1">
        <v>1142</v>
      </c>
      <c r="C330" s="1">
        <v>9.3870000000000022</v>
      </c>
      <c r="D330" s="1">
        <v>9.9070000000000047E-2</v>
      </c>
      <c r="E330" s="3">
        <v>2000</v>
      </c>
    </row>
    <row r="331" spans="1:5" x14ac:dyDescent="0.2">
      <c r="A331" s="1" t="s">
        <v>18</v>
      </c>
      <c r="B331" s="1">
        <v>1151</v>
      </c>
      <c r="C331" s="1">
        <v>9.554000000000002</v>
      </c>
      <c r="D331" s="1">
        <v>0.19770000000000007</v>
      </c>
      <c r="E331" s="3">
        <v>122000</v>
      </c>
    </row>
    <row r="332" spans="1:5" x14ac:dyDescent="0.2">
      <c r="A332" s="1" t="s">
        <v>18</v>
      </c>
      <c r="B332" s="1">
        <v>1152</v>
      </c>
      <c r="C332" s="1">
        <v>9.4800000000000022</v>
      </c>
      <c r="D332" s="1">
        <v>0.19620000000000007</v>
      </c>
      <c r="E332" s="3">
        <v>34000</v>
      </c>
    </row>
    <row r="333" spans="1:5" x14ac:dyDescent="0.2">
      <c r="A333" s="1" t="s">
        <v>18</v>
      </c>
      <c r="B333" s="1">
        <v>1153</v>
      </c>
      <c r="C333" s="1">
        <v>9.5930000000000017</v>
      </c>
      <c r="D333" s="1">
        <v>0.20140000000000005</v>
      </c>
      <c r="E333" s="3">
        <v>25500</v>
      </c>
    </row>
    <row r="334" spans="1:5" x14ac:dyDescent="0.2">
      <c r="A334" s="1" t="s">
        <v>18</v>
      </c>
      <c r="B334" s="1">
        <v>2111</v>
      </c>
      <c r="C334" s="1">
        <v>10.020000000000001</v>
      </c>
      <c r="D334" s="1">
        <v>0.62690000000000023</v>
      </c>
      <c r="E334" s="3">
        <v>511000</v>
      </c>
    </row>
    <row r="335" spans="1:5" x14ac:dyDescent="0.2">
      <c r="A335" s="1" t="s">
        <v>18</v>
      </c>
      <c r="B335" s="1">
        <v>2121</v>
      </c>
      <c r="C335" s="1">
        <v>9.4310000000000027</v>
      </c>
      <c r="D335" s="1">
        <v>0.79510000000000025</v>
      </c>
      <c r="E335" s="3">
        <v>122000</v>
      </c>
    </row>
    <row r="336" spans="1:5" x14ac:dyDescent="0.2">
      <c r="A336" s="1" t="s">
        <v>18</v>
      </c>
      <c r="B336" s="1">
        <v>2122</v>
      </c>
      <c r="C336" s="1">
        <v>9.5080000000000027</v>
      </c>
      <c r="D336" s="1">
        <v>0.72670000000000023</v>
      </c>
      <c r="E336" s="3">
        <v>114000</v>
      </c>
    </row>
    <row r="337" spans="1:5" x14ac:dyDescent="0.2">
      <c r="A337" s="1" t="s">
        <v>18</v>
      </c>
      <c r="B337" s="1">
        <v>2123</v>
      </c>
      <c r="C337" s="1">
        <v>9.5150000000000023</v>
      </c>
      <c r="D337" s="1">
        <v>0.43510000000000015</v>
      </c>
      <c r="E337" s="3">
        <v>157000</v>
      </c>
    </row>
    <row r="338" spans="1:5" x14ac:dyDescent="0.2">
      <c r="A338" s="1" t="s">
        <v>18</v>
      </c>
      <c r="B338" s="1">
        <v>2131</v>
      </c>
      <c r="C338" s="1">
        <v>9.6090000000000018</v>
      </c>
      <c r="D338" s="1">
        <v>0.62070000000000025</v>
      </c>
      <c r="E338" s="3">
        <v>428000</v>
      </c>
    </row>
    <row r="339" spans="1:5" x14ac:dyDescent="0.2">
      <c r="A339" s="1" t="s">
        <v>18</v>
      </c>
      <c r="B339" s="1">
        <v>2211</v>
      </c>
      <c r="C339" s="1">
        <v>9.767000000000003</v>
      </c>
      <c r="D339" s="1">
        <v>0.55410000000000015</v>
      </c>
      <c r="E339" s="3">
        <v>1816000</v>
      </c>
    </row>
    <row r="340" spans="1:5" x14ac:dyDescent="0.2">
      <c r="A340" s="1" t="s">
        <v>18</v>
      </c>
      <c r="B340" s="1">
        <v>2212</v>
      </c>
      <c r="C340" s="1">
        <v>9.7800000000000029</v>
      </c>
      <c r="D340" s="1">
        <v>0.52920000000000011</v>
      </c>
      <c r="E340" s="3">
        <v>382000</v>
      </c>
    </row>
    <row r="341" spans="1:5" x14ac:dyDescent="0.2">
      <c r="A341" s="1" t="s">
        <v>18</v>
      </c>
      <c r="B341" s="1">
        <v>2213</v>
      </c>
      <c r="C341" s="1">
        <v>9.6410000000000018</v>
      </c>
      <c r="D341" s="1">
        <v>0.33620000000000011</v>
      </c>
      <c r="E341" s="3">
        <v>552000</v>
      </c>
    </row>
    <row r="342" spans="1:5" x14ac:dyDescent="0.2">
      <c r="A342" s="1" t="s">
        <v>18</v>
      </c>
      <c r="B342" s="1">
        <v>2361</v>
      </c>
      <c r="C342" s="1">
        <v>9.6250000000000018</v>
      </c>
      <c r="D342" s="1">
        <v>0.19650000000000006</v>
      </c>
      <c r="E342" s="3">
        <v>905000</v>
      </c>
    </row>
    <row r="343" spans="1:5" x14ac:dyDescent="0.2">
      <c r="A343" s="1" t="s">
        <v>18</v>
      </c>
      <c r="B343" s="1">
        <v>2362</v>
      </c>
      <c r="C343" s="1">
        <v>9.7650000000000023</v>
      </c>
      <c r="D343" s="1">
        <v>0.33300000000000013</v>
      </c>
      <c r="E343" s="3">
        <v>1275000</v>
      </c>
    </row>
    <row r="344" spans="1:5" x14ac:dyDescent="0.2">
      <c r="A344" s="1" t="s">
        <v>18</v>
      </c>
      <c r="B344" s="1">
        <v>2371</v>
      </c>
      <c r="C344" s="1">
        <v>9.6340000000000021</v>
      </c>
      <c r="D344" s="1">
        <v>0.37780000000000014</v>
      </c>
      <c r="E344" s="3">
        <v>526000</v>
      </c>
    </row>
    <row r="345" spans="1:5" x14ac:dyDescent="0.2">
      <c r="A345" s="1" t="s">
        <v>18</v>
      </c>
      <c r="B345" s="1">
        <v>2372</v>
      </c>
      <c r="C345" s="1">
        <v>9.8580000000000023</v>
      </c>
      <c r="D345" s="1">
        <v>0.2899000000000001</v>
      </c>
      <c r="E345" s="3">
        <v>90000</v>
      </c>
    </row>
    <row r="346" spans="1:5" x14ac:dyDescent="0.2">
      <c r="A346" s="1" t="s">
        <v>18</v>
      </c>
      <c r="B346" s="1">
        <v>2373</v>
      </c>
      <c r="C346" s="1">
        <v>9.5970000000000031</v>
      </c>
      <c r="D346" s="1">
        <v>0.29510000000000008</v>
      </c>
      <c r="E346" s="3">
        <v>910000</v>
      </c>
    </row>
    <row r="347" spans="1:5" x14ac:dyDescent="0.2">
      <c r="A347" s="1" t="s">
        <v>18</v>
      </c>
      <c r="B347" s="1">
        <v>2379</v>
      </c>
      <c r="C347" s="1">
        <v>9.7320000000000029</v>
      </c>
      <c r="D347" s="1">
        <v>0.38880000000000015</v>
      </c>
      <c r="E347" s="3">
        <v>133000</v>
      </c>
    </row>
    <row r="348" spans="1:5" x14ac:dyDescent="0.2">
      <c r="A348" s="1" t="s">
        <v>18</v>
      </c>
      <c r="B348" s="1">
        <v>2381</v>
      </c>
      <c r="C348" s="1">
        <v>9.5610000000000017</v>
      </c>
      <c r="D348" s="1">
        <v>0.20830000000000007</v>
      </c>
      <c r="E348" s="3">
        <v>651000</v>
      </c>
    </row>
    <row r="349" spans="1:5" x14ac:dyDescent="0.2">
      <c r="A349" s="1" t="s">
        <v>18</v>
      </c>
      <c r="B349" s="1">
        <v>2382</v>
      </c>
      <c r="C349" s="1">
        <v>9.6410000000000018</v>
      </c>
      <c r="D349" s="1">
        <v>0.25180000000000008</v>
      </c>
      <c r="E349" s="3">
        <v>3068000</v>
      </c>
    </row>
    <row r="350" spans="1:5" x14ac:dyDescent="0.2">
      <c r="A350" s="1" t="s">
        <v>18</v>
      </c>
      <c r="B350" s="1">
        <v>2383</v>
      </c>
      <c r="C350" s="1">
        <v>9.5460000000000029</v>
      </c>
      <c r="D350" s="1">
        <v>0.18660000000000007</v>
      </c>
      <c r="E350" s="3">
        <v>673000</v>
      </c>
    </row>
    <row r="351" spans="1:5" x14ac:dyDescent="0.2">
      <c r="A351" s="1" t="s">
        <v>18</v>
      </c>
      <c r="B351" s="1">
        <v>2389</v>
      </c>
      <c r="C351" s="1">
        <v>9.5430000000000028</v>
      </c>
      <c r="D351" s="1">
        <v>0.25390000000000007</v>
      </c>
      <c r="E351" s="3">
        <v>570000</v>
      </c>
    </row>
    <row r="352" spans="1:5" x14ac:dyDescent="0.2">
      <c r="A352" s="1" t="s">
        <v>18</v>
      </c>
      <c r="B352" s="1">
        <v>3111</v>
      </c>
      <c r="C352" s="1">
        <v>9.5370000000000026</v>
      </c>
      <c r="D352" s="1">
        <v>0.37770000000000015</v>
      </c>
      <c r="E352" s="3">
        <v>126000</v>
      </c>
    </row>
    <row r="353" spans="1:5" x14ac:dyDescent="0.2">
      <c r="A353" s="1" t="s">
        <v>18</v>
      </c>
      <c r="B353" s="1">
        <v>3112</v>
      </c>
      <c r="C353" s="1">
        <v>9.5480000000000018</v>
      </c>
      <c r="D353" s="1">
        <v>0.47030000000000016</v>
      </c>
      <c r="E353" s="3">
        <v>173000</v>
      </c>
    </row>
    <row r="354" spans="1:5" x14ac:dyDescent="0.2">
      <c r="A354" s="1" t="s">
        <v>18</v>
      </c>
      <c r="B354" s="1">
        <v>3113</v>
      </c>
      <c r="C354" s="1">
        <v>9.5400000000000027</v>
      </c>
      <c r="D354" s="1">
        <v>0.37000000000000011</v>
      </c>
      <c r="E354" s="3">
        <v>117000</v>
      </c>
    </row>
    <row r="355" spans="1:5" x14ac:dyDescent="0.2">
      <c r="A355" s="1" t="s">
        <v>18</v>
      </c>
      <c r="B355" s="1">
        <v>3114</v>
      </c>
      <c r="C355" s="1">
        <v>9.4870000000000019</v>
      </c>
      <c r="D355" s="1">
        <v>0.34920000000000012</v>
      </c>
      <c r="E355" s="3">
        <v>267000</v>
      </c>
    </row>
    <row r="356" spans="1:5" x14ac:dyDescent="0.2">
      <c r="A356" s="1" t="s">
        <v>18</v>
      </c>
      <c r="B356" s="1">
        <v>3115</v>
      </c>
      <c r="C356" s="1">
        <v>9.4490000000000016</v>
      </c>
      <c r="D356" s="1">
        <v>0.41840000000000016</v>
      </c>
      <c r="E356" s="3">
        <v>314000</v>
      </c>
    </row>
    <row r="357" spans="1:5" x14ac:dyDescent="0.2">
      <c r="A357" s="1" t="s">
        <v>18</v>
      </c>
      <c r="B357" s="1">
        <v>3116</v>
      </c>
      <c r="C357" s="1">
        <v>9.3180000000000014</v>
      </c>
      <c r="D357" s="1">
        <v>0.30730000000000007</v>
      </c>
      <c r="E357" s="3">
        <v>453000</v>
      </c>
    </row>
    <row r="358" spans="1:5" x14ac:dyDescent="0.2">
      <c r="A358" s="1" t="s">
        <v>18</v>
      </c>
      <c r="B358" s="1">
        <v>3117</v>
      </c>
      <c r="C358" s="1">
        <v>9.5240000000000027</v>
      </c>
      <c r="D358" s="1">
        <v>0.27540000000000009</v>
      </c>
      <c r="E358" s="3">
        <v>34500</v>
      </c>
    </row>
    <row r="359" spans="1:5" x14ac:dyDescent="0.2">
      <c r="A359" s="1" t="s">
        <v>18</v>
      </c>
      <c r="B359" s="1">
        <v>3118</v>
      </c>
      <c r="C359" s="1">
        <v>9.4350000000000023</v>
      </c>
      <c r="D359" s="1">
        <v>0.3055000000000001</v>
      </c>
      <c r="E359" s="3">
        <v>308000</v>
      </c>
    </row>
    <row r="360" spans="1:5" x14ac:dyDescent="0.2">
      <c r="A360" s="1" t="s">
        <v>18</v>
      </c>
      <c r="B360" s="1">
        <v>3119</v>
      </c>
      <c r="C360" s="1">
        <v>9.599000000000002</v>
      </c>
      <c r="D360" s="1">
        <v>0.35330000000000011</v>
      </c>
      <c r="E360" s="3">
        <v>317000</v>
      </c>
    </row>
    <row r="361" spans="1:5" x14ac:dyDescent="0.2">
      <c r="A361" s="1" t="s">
        <v>18</v>
      </c>
      <c r="B361" s="1">
        <v>3121</v>
      </c>
      <c r="C361" s="1">
        <v>9.583000000000002</v>
      </c>
      <c r="D361" s="1">
        <v>0.31720000000000009</v>
      </c>
      <c r="E361" s="3">
        <v>359000</v>
      </c>
    </row>
    <row r="362" spans="1:5" x14ac:dyDescent="0.2">
      <c r="A362" s="1" t="s">
        <v>18</v>
      </c>
      <c r="B362" s="1">
        <v>3122</v>
      </c>
      <c r="C362" s="1">
        <v>9.6450000000000031</v>
      </c>
      <c r="D362" s="1">
        <v>0.56710000000000016</v>
      </c>
      <c r="E362" s="3">
        <v>32500</v>
      </c>
    </row>
    <row r="363" spans="1:5" x14ac:dyDescent="0.2">
      <c r="A363" s="1" t="s">
        <v>18</v>
      </c>
      <c r="B363" s="1">
        <v>3131</v>
      </c>
      <c r="C363" s="1">
        <v>9.3360000000000021</v>
      </c>
      <c r="D363" s="1">
        <v>0.24130000000000007</v>
      </c>
      <c r="E363" s="3">
        <v>33500</v>
      </c>
    </row>
    <row r="364" spans="1:5" x14ac:dyDescent="0.2">
      <c r="A364" s="1" t="s">
        <v>18</v>
      </c>
      <c r="B364" s="1">
        <v>3132</v>
      </c>
      <c r="C364" s="1">
        <v>9.4650000000000016</v>
      </c>
      <c r="D364" s="1">
        <v>0.30040000000000011</v>
      </c>
      <c r="E364" s="3">
        <v>84500</v>
      </c>
    </row>
    <row r="365" spans="1:5" x14ac:dyDescent="0.2">
      <c r="A365" s="1" t="s">
        <v>18</v>
      </c>
      <c r="B365" s="1">
        <v>3133</v>
      </c>
      <c r="C365" s="1">
        <v>9.5600000000000023</v>
      </c>
      <c r="D365" s="1">
        <v>0.24410000000000007</v>
      </c>
      <c r="E365" s="3">
        <v>50500</v>
      </c>
    </row>
    <row r="366" spans="1:5" x14ac:dyDescent="0.2">
      <c r="A366" s="1" t="s">
        <v>18</v>
      </c>
      <c r="B366" s="1">
        <v>3141</v>
      </c>
      <c r="C366" s="1">
        <v>9.4480000000000022</v>
      </c>
      <c r="D366" s="1">
        <v>0.24290000000000009</v>
      </c>
      <c r="E366" s="3">
        <v>65500</v>
      </c>
    </row>
    <row r="367" spans="1:5" x14ac:dyDescent="0.2">
      <c r="A367" s="1" t="s">
        <v>18</v>
      </c>
      <c r="B367" s="1">
        <v>3149</v>
      </c>
      <c r="C367" s="1">
        <v>9.4540000000000024</v>
      </c>
      <c r="D367" s="1">
        <v>0.13450000000000004</v>
      </c>
      <c r="E367" s="3">
        <v>83500</v>
      </c>
    </row>
    <row r="368" spans="1:5" x14ac:dyDescent="0.2">
      <c r="A368" s="1" t="s">
        <v>18</v>
      </c>
      <c r="B368" s="1">
        <v>3151</v>
      </c>
      <c r="C368" s="1">
        <v>9.4600000000000026</v>
      </c>
      <c r="D368" s="1">
        <v>0.15330000000000005</v>
      </c>
      <c r="E368" s="3">
        <v>16000</v>
      </c>
    </row>
    <row r="369" spans="1:5" x14ac:dyDescent="0.2">
      <c r="A369" s="1" t="s">
        <v>18</v>
      </c>
      <c r="B369" s="1">
        <v>3152</v>
      </c>
      <c r="C369" s="1">
        <v>9.6180000000000021</v>
      </c>
      <c r="D369" s="1">
        <v>0.17780000000000007</v>
      </c>
      <c r="E369" s="3">
        <v>112000</v>
      </c>
    </row>
    <row r="370" spans="1:5" x14ac:dyDescent="0.2">
      <c r="A370" s="1" t="s">
        <v>18</v>
      </c>
      <c r="B370" s="1">
        <v>3159</v>
      </c>
      <c r="C370" s="1">
        <v>9.4820000000000029</v>
      </c>
      <c r="D370" s="1">
        <v>0.16490000000000005</v>
      </c>
      <c r="E370" s="3">
        <v>16500</v>
      </c>
    </row>
    <row r="371" spans="1:5" x14ac:dyDescent="0.2">
      <c r="A371" s="1" t="s">
        <v>18</v>
      </c>
      <c r="B371" s="1">
        <v>3161</v>
      </c>
      <c r="C371" s="1">
        <v>9.6030000000000015</v>
      </c>
      <c r="D371" s="1">
        <v>0.28080000000000011</v>
      </c>
      <c r="E371" s="3">
        <v>5400</v>
      </c>
    </row>
    <row r="372" spans="1:5" x14ac:dyDescent="0.2">
      <c r="A372" s="1" t="s">
        <v>18</v>
      </c>
      <c r="B372" s="1">
        <v>3162</v>
      </c>
      <c r="C372" s="1">
        <v>9.5450000000000017</v>
      </c>
      <c r="D372" s="1">
        <v>0.19380000000000006</v>
      </c>
      <c r="E372" s="3">
        <v>19500</v>
      </c>
    </row>
    <row r="373" spans="1:5" x14ac:dyDescent="0.2">
      <c r="A373" s="1" t="s">
        <v>18</v>
      </c>
      <c r="B373" s="1">
        <v>3169</v>
      </c>
      <c r="C373" s="1">
        <v>9.4840000000000018</v>
      </c>
      <c r="D373" s="1">
        <v>0.14030000000000004</v>
      </c>
      <c r="E373" s="3">
        <v>13500</v>
      </c>
    </row>
    <row r="374" spans="1:5" x14ac:dyDescent="0.2">
      <c r="A374" s="1" t="s">
        <v>18</v>
      </c>
      <c r="B374" s="1">
        <v>3211</v>
      </c>
      <c r="C374" s="1">
        <v>9.469000000000003</v>
      </c>
      <c r="D374" s="1">
        <v>0.26240000000000008</v>
      </c>
      <c r="E374" s="3">
        <v>117000</v>
      </c>
    </row>
    <row r="375" spans="1:5" x14ac:dyDescent="0.2">
      <c r="A375" s="1" t="s">
        <v>18</v>
      </c>
      <c r="B375" s="1">
        <v>3212</v>
      </c>
      <c r="C375" s="1">
        <v>9.4420000000000019</v>
      </c>
      <c r="D375" s="1">
        <v>0.3071000000000001</v>
      </c>
      <c r="E375" s="3">
        <v>115000</v>
      </c>
    </row>
    <row r="376" spans="1:5" x14ac:dyDescent="0.2">
      <c r="A376" s="1" t="s">
        <v>18</v>
      </c>
      <c r="B376" s="1">
        <v>3219</v>
      </c>
      <c r="C376" s="1">
        <v>9.429000000000002</v>
      </c>
      <c r="D376" s="1">
        <v>0.19960000000000006</v>
      </c>
      <c r="E376" s="3">
        <v>297000</v>
      </c>
    </row>
    <row r="377" spans="1:5" x14ac:dyDescent="0.2">
      <c r="A377" s="1" t="s">
        <v>18</v>
      </c>
      <c r="B377" s="1">
        <v>3221</v>
      </c>
      <c r="C377" s="1">
        <v>9.5590000000000028</v>
      </c>
      <c r="D377" s="1">
        <v>0.57060000000000022</v>
      </c>
      <c r="E377" s="3">
        <v>341000</v>
      </c>
    </row>
    <row r="378" spans="1:5" x14ac:dyDescent="0.2">
      <c r="A378" s="1" t="s">
        <v>18</v>
      </c>
      <c r="B378" s="1">
        <v>3222</v>
      </c>
      <c r="C378" s="1">
        <v>9.5440000000000023</v>
      </c>
      <c r="D378" s="1">
        <v>0.39410000000000012</v>
      </c>
      <c r="E378" s="3">
        <v>568000</v>
      </c>
    </row>
    <row r="379" spans="1:5" x14ac:dyDescent="0.2">
      <c r="A379" s="1" t="s">
        <v>18</v>
      </c>
      <c r="B379" s="1">
        <v>3231</v>
      </c>
      <c r="C379" s="1">
        <v>9.4960000000000022</v>
      </c>
      <c r="D379" s="1">
        <v>0.22210000000000008</v>
      </c>
      <c r="E379" s="3">
        <v>972000</v>
      </c>
    </row>
    <row r="380" spans="1:5" x14ac:dyDescent="0.2">
      <c r="A380" s="1" t="s">
        <v>18</v>
      </c>
      <c r="B380" s="1">
        <v>3241</v>
      </c>
      <c r="C380" s="1">
        <v>9.8110000000000017</v>
      </c>
      <c r="D380" s="1">
        <v>0.64710000000000023</v>
      </c>
      <c r="E380" s="3">
        <v>345000</v>
      </c>
    </row>
    <row r="381" spans="1:5" x14ac:dyDescent="0.2">
      <c r="A381" s="1" t="s">
        <v>18</v>
      </c>
      <c r="B381" s="1">
        <v>3251</v>
      </c>
      <c r="C381" s="1">
        <v>9.7110000000000021</v>
      </c>
      <c r="D381" s="1">
        <v>0.55250000000000021</v>
      </c>
      <c r="E381" s="3">
        <v>477000</v>
      </c>
    </row>
    <row r="382" spans="1:5" x14ac:dyDescent="0.2">
      <c r="A382" s="1" t="s">
        <v>18</v>
      </c>
      <c r="B382" s="1">
        <v>3252</v>
      </c>
      <c r="C382" s="1">
        <v>9.6900000000000031</v>
      </c>
      <c r="D382" s="1">
        <v>0.54640000000000022</v>
      </c>
      <c r="E382" s="3">
        <v>283000</v>
      </c>
    </row>
    <row r="383" spans="1:5" x14ac:dyDescent="0.2">
      <c r="A383" s="1" t="s">
        <v>18</v>
      </c>
      <c r="B383" s="1">
        <v>3253</v>
      </c>
      <c r="C383" s="1">
        <v>9.6960000000000015</v>
      </c>
      <c r="D383" s="1">
        <v>0.47950000000000015</v>
      </c>
      <c r="E383" s="3">
        <v>94500</v>
      </c>
    </row>
    <row r="384" spans="1:5" x14ac:dyDescent="0.2">
      <c r="A384" s="1" t="s">
        <v>18</v>
      </c>
      <c r="B384" s="1">
        <v>3254</v>
      </c>
      <c r="C384" s="1">
        <v>9.881000000000002</v>
      </c>
      <c r="D384" s="1">
        <v>0.52530000000000021</v>
      </c>
      <c r="E384" s="3">
        <v>995000</v>
      </c>
    </row>
    <row r="385" spans="1:5" x14ac:dyDescent="0.2">
      <c r="A385" s="1" t="s">
        <v>18</v>
      </c>
      <c r="B385" s="1">
        <v>3255</v>
      </c>
      <c r="C385" s="1">
        <v>9.7110000000000021</v>
      </c>
      <c r="D385" s="1">
        <v>0.36990000000000012</v>
      </c>
      <c r="E385" s="3">
        <v>146000</v>
      </c>
    </row>
    <row r="386" spans="1:5" x14ac:dyDescent="0.2">
      <c r="A386" s="1" t="s">
        <v>18</v>
      </c>
      <c r="B386" s="1">
        <v>3256</v>
      </c>
      <c r="C386" s="1">
        <v>9.6800000000000015</v>
      </c>
      <c r="D386" s="1">
        <v>0.3660000000000001</v>
      </c>
      <c r="E386" s="3">
        <v>235000</v>
      </c>
    </row>
    <row r="387" spans="1:5" x14ac:dyDescent="0.2">
      <c r="A387" s="1" t="s">
        <v>18</v>
      </c>
      <c r="B387" s="1">
        <v>3259</v>
      </c>
      <c r="C387" s="1">
        <v>9.6530000000000022</v>
      </c>
      <c r="D387" s="1">
        <v>0.40610000000000013</v>
      </c>
      <c r="E387" s="3">
        <v>206000</v>
      </c>
    </row>
    <row r="388" spans="1:5" x14ac:dyDescent="0.2">
      <c r="A388" s="1" t="s">
        <v>18</v>
      </c>
      <c r="B388" s="1">
        <v>3261</v>
      </c>
      <c r="C388" s="1">
        <v>9.522000000000002</v>
      </c>
      <c r="D388" s="1">
        <v>0.29880000000000012</v>
      </c>
      <c r="E388" s="3">
        <v>972000</v>
      </c>
    </row>
    <row r="389" spans="1:5" x14ac:dyDescent="0.2">
      <c r="A389" s="1" t="s">
        <v>18</v>
      </c>
      <c r="B389" s="1">
        <v>3262</v>
      </c>
      <c r="C389" s="1">
        <v>9.4550000000000018</v>
      </c>
      <c r="D389" s="1">
        <v>0.40570000000000012</v>
      </c>
      <c r="E389" s="3">
        <v>293000</v>
      </c>
    </row>
    <row r="390" spans="1:5" x14ac:dyDescent="0.2">
      <c r="A390" s="1" t="s">
        <v>18</v>
      </c>
      <c r="B390" s="1">
        <v>3271</v>
      </c>
      <c r="C390" s="1">
        <v>9.5450000000000017</v>
      </c>
      <c r="D390" s="1">
        <v>0.32590000000000008</v>
      </c>
      <c r="E390" s="3">
        <v>79500</v>
      </c>
    </row>
    <row r="391" spans="1:5" x14ac:dyDescent="0.2">
      <c r="A391" s="1" t="s">
        <v>18</v>
      </c>
      <c r="B391" s="1">
        <v>3272</v>
      </c>
      <c r="C391" s="1">
        <v>9.4650000000000016</v>
      </c>
      <c r="D391" s="1">
        <v>0.41180000000000011</v>
      </c>
      <c r="E391" s="3">
        <v>174000</v>
      </c>
    </row>
    <row r="392" spans="1:5" x14ac:dyDescent="0.2">
      <c r="A392" s="1" t="s">
        <v>18</v>
      </c>
      <c r="B392" s="1">
        <v>3273</v>
      </c>
      <c r="C392" s="1">
        <v>9.5210000000000026</v>
      </c>
      <c r="D392" s="1">
        <v>0.32840000000000008</v>
      </c>
      <c r="E392" s="3">
        <v>273000</v>
      </c>
    </row>
    <row r="393" spans="1:5" x14ac:dyDescent="0.2">
      <c r="A393" s="1" t="s">
        <v>18</v>
      </c>
      <c r="B393" s="1">
        <v>3274</v>
      </c>
      <c r="C393" s="1">
        <v>9.474000000000002</v>
      </c>
      <c r="D393" s="1">
        <v>0.5173000000000002</v>
      </c>
      <c r="E393" s="3">
        <v>34000</v>
      </c>
    </row>
    <row r="394" spans="1:5" x14ac:dyDescent="0.2">
      <c r="A394" s="1" t="s">
        <v>18</v>
      </c>
      <c r="B394" s="1">
        <v>3279</v>
      </c>
      <c r="C394" s="1">
        <v>9.533000000000003</v>
      </c>
      <c r="D394" s="1">
        <v>0.35740000000000011</v>
      </c>
      <c r="E394" s="3">
        <v>137000</v>
      </c>
    </row>
    <row r="395" spans="1:5" x14ac:dyDescent="0.2">
      <c r="A395" s="1" t="s">
        <v>18</v>
      </c>
      <c r="B395" s="1">
        <v>3311</v>
      </c>
      <c r="C395" s="1">
        <v>9.4950000000000028</v>
      </c>
      <c r="D395" s="1">
        <v>0.67780000000000018</v>
      </c>
      <c r="E395" s="3">
        <v>234000</v>
      </c>
    </row>
    <row r="396" spans="1:5" x14ac:dyDescent="0.2">
      <c r="A396" s="1" t="s">
        <v>18</v>
      </c>
      <c r="B396" s="1">
        <v>3312</v>
      </c>
      <c r="C396" s="1">
        <v>9.5190000000000019</v>
      </c>
      <c r="D396" s="1">
        <v>0.45020000000000016</v>
      </c>
      <c r="E396" s="3">
        <v>118000</v>
      </c>
    </row>
    <row r="397" spans="1:5" x14ac:dyDescent="0.2">
      <c r="A397" s="1" t="s">
        <v>18</v>
      </c>
      <c r="B397" s="1">
        <v>3313</v>
      </c>
      <c r="C397" s="1">
        <v>9.4620000000000015</v>
      </c>
      <c r="D397" s="1">
        <v>0.52600000000000013</v>
      </c>
      <c r="E397" s="3">
        <v>130000</v>
      </c>
    </row>
    <row r="398" spans="1:5" x14ac:dyDescent="0.2">
      <c r="A398" s="1" t="s">
        <v>18</v>
      </c>
      <c r="B398" s="1">
        <v>3314</v>
      </c>
      <c r="C398" s="1">
        <v>9.5550000000000015</v>
      </c>
      <c r="D398" s="1">
        <v>0.45800000000000013</v>
      </c>
      <c r="E398" s="3">
        <v>144000</v>
      </c>
    </row>
    <row r="399" spans="1:5" x14ac:dyDescent="0.2">
      <c r="A399" s="1" t="s">
        <v>18</v>
      </c>
      <c r="B399" s="1">
        <v>3315</v>
      </c>
      <c r="C399" s="1">
        <v>9.4860000000000024</v>
      </c>
      <c r="D399" s="1">
        <v>0.40300000000000014</v>
      </c>
      <c r="E399" s="3">
        <v>242000</v>
      </c>
    </row>
    <row r="400" spans="1:5" x14ac:dyDescent="0.2">
      <c r="A400" s="1" t="s">
        <v>18</v>
      </c>
      <c r="B400" s="1">
        <v>3321</v>
      </c>
      <c r="C400" s="1">
        <v>9.5550000000000015</v>
      </c>
      <c r="D400" s="1">
        <v>0.31240000000000012</v>
      </c>
      <c r="E400" s="3">
        <v>198000</v>
      </c>
    </row>
    <row r="401" spans="1:5" x14ac:dyDescent="0.2">
      <c r="A401" s="1" t="s">
        <v>18</v>
      </c>
      <c r="B401" s="1">
        <v>3322</v>
      </c>
      <c r="C401" s="1">
        <v>9.5860000000000021</v>
      </c>
      <c r="D401" s="1">
        <v>0.3207000000000001</v>
      </c>
      <c r="E401" s="3">
        <v>89000</v>
      </c>
    </row>
    <row r="402" spans="1:5" x14ac:dyDescent="0.2">
      <c r="A402" s="1" t="s">
        <v>18</v>
      </c>
      <c r="B402" s="1">
        <v>3323</v>
      </c>
      <c r="C402" s="1">
        <v>9.5400000000000027</v>
      </c>
      <c r="D402" s="1">
        <v>0.26950000000000007</v>
      </c>
      <c r="E402" s="3">
        <v>593000</v>
      </c>
    </row>
    <row r="403" spans="1:5" x14ac:dyDescent="0.2">
      <c r="A403" s="1" t="s">
        <v>18</v>
      </c>
      <c r="B403" s="1">
        <v>3324</v>
      </c>
      <c r="C403" s="1">
        <v>9.5530000000000026</v>
      </c>
      <c r="D403" s="1">
        <v>0.4008000000000001</v>
      </c>
      <c r="E403" s="3">
        <v>188000</v>
      </c>
    </row>
    <row r="404" spans="1:5" x14ac:dyDescent="0.2">
      <c r="A404" s="1" t="s">
        <v>18</v>
      </c>
      <c r="B404" s="1">
        <v>3325</v>
      </c>
      <c r="C404" s="1">
        <v>9.6090000000000018</v>
      </c>
      <c r="D404" s="1">
        <v>0.28870000000000007</v>
      </c>
      <c r="E404" s="3">
        <v>52000</v>
      </c>
    </row>
    <row r="405" spans="1:5" x14ac:dyDescent="0.2">
      <c r="A405" s="1" t="s">
        <v>18</v>
      </c>
      <c r="B405" s="1">
        <v>3326</v>
      </c>
      <c r="C405" s="1">
        <v>9.5400000000000027</v>
      </c>
      <c r="D405" s="1">
        <v>0.26350000000000007</v>
      </c>
      <c r="E405" s="3">
        <v>80500</v>
      </c>
    </row>
    <row r="406" spans="1:5" x14ac:dyDescent="0.2">
      <c r="A406" s="1" t="s">
        <v>18</v>
      </c>
      <c r="B406" s="1">
        <v>3327</v>
      </c>
      <c r="C406" s="1">
        <v>9.5480000000000018</v>
      </c>
      <c r="D406" s="1">
        <v>0.25130000000000008</v>
      </c>
      <c r="E406" s="3">
        <v>672000</v>
      </c>
    </row>
    <row r="407" spans="1:5" x14ac:dyDescent="0.2">
      <c r="A407" s="1" t="s">
        <v>18</v>
      </c>
      <c r="B407" s="1">
        <v>3328</v>
      </c>
      <c r="C407" s="1">
        <v>9.5200000000000031</v>
      </c>
      <c r="D407" s="1">
        <v>0.27820000000000011</v>
      </c>
      <c r="E407" s="3">
        <v>189000</v>
      </c>
    </row>
    <row r="408" spans="1:5" x14ac:dyDescent="0.2">
      <c r="A408" s="1" t="s">
        <v>18</v>
      </c>
      <c r="B408" s="1">
        <v>3329</v>
      </c>
      <c r="C408" s="1">
        <v>9.5730000000000022</v>
      </c>
      <c r="D408" s="1">
        <v>0.35170000000000012</v>
      </c>
      <c r="E408" s="3">
        <v>609000</v>
      </c>
    </row>
    <row r="409" spans="1:5" x14ac:dyDescent="0.2">
      <c r="A409" s="1" t="s">
        <v>18</v>
      </c>
      <c r="B409" s="1">
        <v>3331</v>
      </c>
      <c r="C409" s="1">
        <v>9.5900000000000016</v>
      </c>
      <c r="D409" s="1">
        <v>0.42320000000000013</v>
      </c>
      <c r="E409" s="3">
        <v>616000</v>
      </c>
    </row>
    <row r="410" spans="1:5" x14ac:dyDescent="0.2">
      <c r="A410" s="1" t="s">
        <v>18</v>
      </c>
      <c r="B410" s="1">
        <v>3332</v>
      </c>
      <c r="C410" s="1">
        <v>9.7570000000000014</v>
      </c>
      <c r="D410" s="1">
        <v>0.35560000000000014</v>
      </c>
      <c r="E410" s="3">
        <v>324000</v>
      </c>
    </row>
    <row r="411" spans="1:5" x14ac:dyDescent="0.2">
      <c r="A411" s="1" t="s">
        <v>18</v>
      </c>
      <c r="B411" s="1">
        <v>3333</v>
      </c>
      <c r="C411" s="1">
        <v>9.7180000000000017</v>
      </c>
      <c r="D411" s="1">
        <v>0.3343000000000001</v>
      </c>
      <c r="E411" s="3">
        <v>261000</v>
      </c>
    </row>
    <row r="412" spans="1:5" x14ac:dyDescent="0.2">
      <c r="A412" s="1" t="s">
        <v>18</v>
      </c>
      <c r="B412" s="1">
        <v>3334</v>
      </c>
      <c r="C412" s="1">
        <v>9.5360000000000031</v>
      </c>
      <c r="D412" s="1">
        <v>0.30580000000000007</v>
      </c>
      <c r="E412" s="3">
        <v>288000</v>
      </c>
    </row>
    <row r="413" spans="1:5" x14ac:dyDescent="0.2">
      <c r="A413" s="1" t="s">
        <v>18</v>
      </c>
      <c r="B413" s="1">
        <v>3335</v>
      </c>
      <c r="C413" s="1">
        <v>9.6170000000000027</v>
      </c>
      <c r="D413" s="1">
        <v>0.28800000000000009</v>
      </c>
      <c r="E413" s="3">
        <v>450000</v>
      </c>
    </row>
    <row r="414" spans="1:5" x14ac:dyDescent="0.2">
      <c r="A414" s="1" t="s">
        <v>18</v>
      </c>
      <c r="B414" s="1">
        <v>3336</v>
      </c>
      <c r="C414" s="1">
        <v>9.6750000000000025</v>
      </c>
      <c r="D414" s="1">
        <v>0.44030000000000014</v>
      </c>
      <c r="E414" s="3">
        <v>291000</v>
      </c>
    </row>
    <row r="415" spans="1:5" x14ac:dyDescent="0.2">
      <c r="A415" s="1" t="s">
        <v>18</v>
      </c>
      <c r="B415" s="1">
        <v>3339</v>
      </c>
      <c r="C415" s="1">
        <v>9.6350000000000016</v>
      </c>
      <c r="D415" s="1">
        <v>0.35030000000000011</v>
      </c>
      <c r="E415" s="3">
        <v>702000</v>
      </c>
    </row>
    <row r="416" spans="1:5" x14ac:dyDescent="0.2">
      <c r="A416" s="1" t="s">
        <v>18</v>
      </c>
      <c r="B416" s="1">
        <v>3341</v>
      </c>
      <c r="C416" s="1">
        <v>10.080000000000002</v>
      </c>
      <c r="D416" s="1">
        <v>0.53500000000000014</v>
      </c>
      <c r="E416" s="3">
        <v>638000</v>
      </c>
    </row>
    <row r="417" spans="1:5" x14ac:dyDescent="0.2">
      <c r="A417" s="1" t="s">
        <v>18</v>
      </c>
      <c r="B417" s="1">
        <v>3342</v>
      </c>
      <c r="C417" s="1">
        <v>9.9410000000000025</v>
      </c>
      <c r="D417" s="1">
        <v>0.42240000000000011</v>
      </c>
      <c r="E417" s="3">
        <v>359000</v>
      </c>
    </row>
    <row r="418" spans="1:5" x14ac:dyDescent="0.2">
      <c r="A418" s="1" t="s">
        <v>18</v>
      </c>
      <c r="B418" s="1">
        <v>3343</v>
      </c>
      <c r="C418" s="1">
        <v>9.8550000000000022</v>
      </c>
      <c r="D418" s="1">
        <v>0.3600000000000001</v>
      </c>
      <c r="E418" s="3">
        <v>61000</v>
      </c>
    </row>
    <row r="419" spans="1:5" x14ac:dyDescent="0.2">
      <c r="A419" s="1" t="s">
        <v>18</v>
      </c>
      <c r="B419" s="1">
        <v>3344</v>
      </c>
      <c r="C419" s="1">
        <v>9.8570000000000029</v>
      </c>
      <c r="D419" s="1">
        <v>0.44190000000000013</v>
      </c>
      <c r="E419" s="3">
        <v>1206000</v>
      </c>
    </row>
    <row r="420" spans="1:5" x14ac:dyDescent="0.2">
      <c r="A420" s="1" t="s">
        <v>18</v>
      </c>
      <c r="B420" s="1">
        <v>3345</v>
      </c>
      <c r="C420" s="1">
        <v>9.8900000000000023</v>
      </c>
      <c r="D420" s="1">
        <v>0.41820000000000013</v>
      </c>
      <c r="E420" s="3">
        <v>1471000</v>
      </c>
    </row>
    <row r="421" spans="1:5" x14ac:dyDescent="0.2">
      <c r="A421" s="1" t="s">
        <v>18</v>
      </c>
      <c r="B421" s="1">
        <v>3346</v>
      </c>
      <c r="C421" s="1">
        <v>9.8420000000000023</v>
      </c>
      <c r="D421" s="1">
        <v>0.41240000000000016</v>
      </c>
      <c r="E421" s="3">
        <v>59000</v>
      </c>
    </row>
    <row r="422" spans="1:5" x14ac:dyDescent="0.2">
      <c r="A422" s="1" t="s">
        <v>18</v>
      </c>
      <c r="B422" s="1">
        <v>3351</v>
      </c>
      <c r="C422" s="1">
        <v>9.6460000000000026</v>
      </c>
      <c r="D422" s="1">
        <v>0.32010000000000011</v>
      </c>
      <c r="E422" s="3">
        <v>101000</v>
      </c>
    </row>
    <row r="423" spans="1:5" x14ac:dyDescent="0.2">
      <c r="A423" s="1" t="s">
        <v>18</v>
      </c>
      <c r="B423" s="1">
        <v>3352</v>
      </c>
      <c r="C423" s="1">
        <v>9.5600000000000023</v>
      </c>
      <c r="D423" s="1">
        <v>0.34720000000000012</v>
      </c>
      <c r="E423" s="3">
        <v>146000</v>
      </c>
    </row>
    <row r="424" spans="1:5" x14ac:dyDescent="0.2">
      <c r="A424" s="1" t="s">
        <v>18</v>
      </c>
      <c r="B424" s="1">
        <v>3353</v>
      </c>
      <c r="C424" s="1">
        <v>9.6680000000000028</v>
      </c>
      <c r="D424" s="1">
        <v>0.35360000000000014</v>
      </c>
      <c r="E424" s="3">
        <v>399000</v>
      </c>
    </row>
    <row r="425" spans="1:5" x14ac:dyDescent="0.2">
      <c r="A425" s="1" t="s">
        <v>18</v>
      </c>
      <c r="B425" s="1">
        <v>3359</v>
      </c>
      <c r="C425" s="1">
        <v>9.6190000000000015</v>
      </c>
      <c r="D425" s="1">
        <v>0.36480000000000012</v>
      </c>
      <c r="E425" s="3">
        <v>321000</v>
      </c>
    </row>
    <row r="426" spans="1:5" x14ac:dyDescent="0.2">
      <c r="A426" s="1" t="s">
        <v>18</v>
      </c>
      <c r="B426" s="1">
        <v>3361</v>
      </c>
      <c r="C426" s="1">
        <v>9.6450000000000031</v>
      </c>
      <c r="D426" s="1">
        <v>0.53870000000000018</v>
      </c>
      <c r="E426" s="3">
        <v>579000</v>
      </c>
    </row>
    <row r="427" spans="1:5" x14ac:dyDescent="0.2">
      <c r="A427" s="1" t="s">
        <v>18</v>
      </c>
      <c r="B427" s="1">
        <v>3362</v>
      </c>
      <c r="C427" s="1">
        <v>9.4280000000000026</v>
      </c>
      <c r="D427" s="1">
        <v>0.30470000000000008</v>
      </c>
      <c r="E427" s="3">
        <v>215000</v>
      </c>
    </row>
    <row r="428" spans="1:5" x14ac:dyDescent="0.2">
      <c r="A428" s="1" t="s">
        <v>18</v>
      </c>
      <c r="B428" s="1">
        <v>3363</v>
      </c>
      <c r="C428" s="1">
        <v>9.5090000000000021</v>
      </c>
      <c r="D428" s="1">
        <v>0.40810000000000013</v>
      </c>
      <c r="E428" s="3">
        <v>1190000</v>
      </c>
    </row>
    <row r="429" spans="1:5" x14ac:dyDescent="0.2">
      <c r="A429" s="1" t="s">
        <v>18</v>
      </c>
      <c r="B429" s="1">
        <v>3364</v>
      </c>
      <c r="C429" s="1">
        <v>9.8990000000000027</v>
      </c>
      <c r="D429" s="1">
        <v>0.47400000000000014</v>
      </c>
      <c r="E429" s="3">
        <v>1716000</v>
      </c>
    </row>
    <row r="430" spans="1:5" x14ac:dyDescent="0.2">
      <c r="A430" s="1" t="s">
        <v>18</v>
      </c>
      <c r="B430" s="1">
        <v>3365</v>
      </c>
      <c r="C430" s="1">
        <v>9.5560000000000027</v>
      </c>
      <c r="D430" s="1">
        <v>0.46980000000000016</v>
      </c>
      <c r="E430" s="3">
        <v>56000</v>
      </c>
    </row>
    <row r="431" spans="1:5" x14ac:dyDescent="0.2">
      <c r="A431" s="1" t="s">
        <v>18</v>
      </c>
      <c r="B431" s="1">
        <v>3366</v>
      </c>
      <c r="C431" s="1">
        <v>9.5460000000000029</v>
      </c>
      <c r="D431" s="1">
        <v>0.40370000000000011</v>
      </c>
      <c r="E431" s="3">
        <v>233000</v>
      </c>
    </row>
    <row r="432" spans="1:5" x14ac:dyDescent="0.2">
      <c r="A432" s="1" t="s">
        <v>18</v>
      </c>
      <c r="B432" s="1">
        <v>3369</v>
      </c>
      <c r="C432" s="1">
        <v>9.5720000000000027</v>
      </c>
      <c r="D432" s="1">
        <v>0.40150000000000013</v>
      </c>
      <c r="E432" s="3">
        <v>88500</v>
      </c>
    </row>
    <row r="433" spans="1:5" x14ac:dyDescent="0.2">
      <c r="A433" s="1" t="s">
        <v>18</v>
      </c>
      <c r="B433" s="1">
        <v>3371</v>
      </c>
      <c r="C433" s="1">
        <v>9.4060000000000024</v>
      </c>
      <c r="D433" s="1">
        <v>0.17650000000000005</v>
      </c>
      <c r="E433" s="3">
        <v>331000</v>
      </c>
    </row>
    <row r="434" spans="1:5" x14ac:dyDescent="0.2">
      <c r="A434" s="1" t="s">
        <v>18</v>
      </c>
      <c r="B434" s="1">
        <v>3372</v>
      </c>
      <c r="C434" s="1">
        <v>9.549000000000003</v>
      </c>
      <c r="D434" s="1">
        <v>0.2577000000000001</v>
      </c>
      <c r="E434" s="3">
        <v>206000</v>
      </c>
    </row>
    <row r="435" spans="1:5" x14ac:dyDescent="0.2">
      <c r="A435" s="1" t="s">
        <v>18</v>
      </c>
      <c r="B435" s="1">
        <v>3379</v>
      </c>
      <c r="C435" s="1">
        <v>9.5290000000000017</v>
      </c>
      <c r="D435" s="1">
        <v>0.24720000000000009</v>
      </c>
      <c r="E435" s="3">
        <v>48500</v>
      </c>
    </row>
    <row r="436" spans="1:5" x14ac:dyDescent="0.2">
      <c r="A436" s="1" t="s">
        <v>18</v>
      </c>
      <c r="B436" s="1">
        <v>3391</v>
      </c>
      <c r="C436" s="1">
        <v>9.6950000000000021</v>
      </c>
      <c r="D436" s="1">
        <v>0.35990000000000011</v>
      </c>
      <c r="E436" s="3">
        <v>778000</v>
      </c>
    </row>
    <row r="437" spans="1:5" x14ac:dyDescent="0.2">
      <c r="A437" s="1" t="s">
        <v>18</v>
      </c>
      <c r="B437" s="1">
        <v>3399</v>
      </c>
      <c r="C437" s="1">
        <v>9.5750000000000028</v>
      </c>
      <c r="D437" s="1">
        <v>0.23350000000000007</v>
      </c>
      <c r="E437" s="3">
        <v>542000</v>
      </c>
    </row>
    <row r="438" spans="1:5" x14ac:dyDescent="0.2">
      <c r="A438" s="1" t="s">
        <v>18</v>
      </c>
      <c r="B438" s="1">
        <v>4231</v>
      </c>
      <c r="C438" s="1">
        <v>9.6320000000000014</v>
      </c>
      <c r="D438" s="1">
        <v>0.25480000000000008</v>
      </c>
      <c r="E438" s="3">
        <v>565000</v>
      </c>
    </row>
    <row r="439" spans="1:5" x14ac:dyDescent="0.2">
      <c r="A439" s="1" t="s">
        <v>18</v>
      </c>
      <c r="B439" s="1">
        <v>4232</v>
      </c>
      <c r="C439" s="1">
        <v>9.7170000000000023</v>
      </c>
      <c r="D439" s="1">
        <v>0.23300000000000007</v>
      </c>
      <c r="E439" s="3">
        <v>209000</v>
      </c>
    </row>
    <row r="440" spans="1:5" x14ac:dyDescent="0.2">
      <c r="A440" s="1" t="s">
        <v>18</v>
      </c>
      <c r="B440" s="1">
        <v>4233</v>
      </c>
      <c r="C440" s="1">
        <v>9.6600000000000019</v>
      </c>
      <c r="D440" s="1">
        <v>0.24500000000000008</v>
      </c>
      <c r="E440" s="3">
        <v>381000</v>
      </c>
    </row>
    <row r="441" spans="1:5" x14ac:dyDescent="0.2">
      <c r="A441" s="1" t="s">
        <v>18</v>
      </c>
      <c r="B441" s="1">
        <v>4234</v>
      </c>
      <c r="C441" s="1">
        <v>9.8860000000000028</v>
      </c>
      <c r="D441" s="1">
        <v>0.37650000000000011</v>
      </c>
      <c r="E441" s="3">
        <v>1912000</v>
      </c>
    </row>
    <row r="442" spans="1:5" x14ac:dyDescent="0.2">
      <c r="A442" s="1" t="s">
        <v>18</v>
      </c>
      <c r="B442" s="1">
        <v>4235</v>
      </c>
      <c r="C442" s="1">
        <v>9.6810000000000027</v>
      </c>
      <c r="D442" s="1">
        <v>0.31400000000000011</v>
      </c>
      <c r="E442" s="3">
        <v>244000</v>
      </c>
    </row>
    <row r="443" spans="1:5" x14ac:dyDescent="0.2">
      <c r="A443" s="1" t="s">
        <v>18</v>
      </c>
      <c r="B443" s="1">
        <v>4236</v>
      </c>
      <c r="C443" s="1">
        <v>9.8120000000000029</v>
      </c>
      <c r="D443" s="1">
        <v>0.33080000000000009</v>
      </c>
      <c r="E443" s="3">
        <v>901000</v>
      </c>
    </row>
    <row r="444" spans="1:5" x14ac:dyDescent="0.2">
      <c r="A444" s="1" t="s">
        <v>18</v>
      </c>
      <c r="B444" s="1">
        <v>4237</v>
      </c>
      <c r="C444" s="1">
        <v>9.6970000000000027</v>
      </c>
      <c r="D444" s="1">
        <v>0.24540000000000009</v>
      </c>
      <c r="E444" s="3">
        <v>533000</v>
      </c>
    </row>
    <row r="445" spans="1:5" x14ac:dyDescent="0.2">
      <c r="A445" s="1" t="s">
        <v>18</v>
      </c>
      <c r="B445" s="1">
        <v>4238</v>
      </c>
      <c r="C445" s="1">
        <v>9.6860000000000017</v>
      </c>
      <c r="D445" s="1">
        <v>0.28460000000000008</v>
      </c>
      <c r="E445" s="3">
        <v>1571000</v>
      </c>
    </row>
    <row r="446" spans="1:5" x14ac:dyDescent="0.2">
      <c r="A446" s="1" t="s">
        <v>18</v>
      </c>
      <c r="B446" s="1">
        <v>4239</v>
      </c>
      <c r="C446" s="1">
        <v>9.6380000000000017</v>
      </c>
      <c r="D446" s="1">
        <v>0.22710000000000008</v>
      </c>
      <c r="E446" s="3">
        <v>478000</v>
      </c>
    </row>
    <row r="447" spans="1:5" x14ac:dyDescent="0.2">
      <c r="A447" s="1" t="s">
        <v>18</v>
      </c>
      <c r="B447" s="1">
        <v>4241</v>
      </c>
      <c r="C447" s="1">
        <v>9.7170000000000023</v>
      </c>
      <c r="D447" s="1">
        <v>0.2647000000000001</v>
      </c>
      <c r="E447" s="3">
        <v>265000</v>
      </c>
    </row>
    <row r="448" spans="1:5" x14ac:dyDescent="0.2">
      <c r="A448" s="1" t="s">
        <v>18</v>
      </c>
      <c r="B448" s="1">
        <v>4242</v>
      </c>
      <c r="C448" s="1">
        <v>9.9300000000000015</v>
      </c>
      <c r="D448" s="1">
        <v>0.48190000000000016</v>
      </c>
      <c r="E448" s="3">
        <v>620000</v>
      </c>
    </row>
    <row r="449" spans="1:5" x14ac:dyDescent="0.2">
      <c r="A449" s="1" t="s">
        <v>18</v>
      </c>
      <c r="B449" s="1">
        <v>4243</v>
      </c>
      <c r="C449" s="1">
        <v>9.8120000000000029</v>
      </c>
      <c r="D449" s="1">
        <v>0.23190000000000008</v>
      </c>
      <c r="E449" s="3">
        <v>254000</v>
      </c>
    </row>
    <row r="450" spans="1:5" x14ac:dyDescent="0.2">
      <c r="A450" s="1" t="s">
        <v>18</v>
      </c>
      <c r="B450" s="1">
        <v>4244</v>
      </c>
      <c r="C450" s="1">
        <v>9.5750000000000028</v>
      </c>
      <c r="D450" s="1">
        <v>0.31530000000000008</v>
      </c>
      <c r="E450" s="3">
        <v>1247000</v>
      </c>
    </row>
    <row r="451" spans="1:5" x14ac:dyDescent="0.2">
      <c r="A451" s="1" t="s">
        <v>18</v>
      </c>
      <c r="B451" s="1">
        <v>4245</v>
      </c>
      <c r="C451" s="1">
        <v>9.5260000000000016</v>
      </c>
      <c r="D451" s="1">
        <v>0.28470000000000006</v>
      </c>
      <c r="E451" s="3">
        <v>182000</v>
      </c>
    </row>
    <row r="452" spans="1:5" x14ac:dyDescent="0.2">
      <c r="A452" s="1" t="s">
        <v>18</v>
      </c>
      <c r="B452" s="1">
        <v>4246</v>
      </c>
      <c r="C452" s="1">
        <v>9.7780000000000022</v>
      </c>
      <c r="D452" s="1">
        <v>0.36830000000000013</v>
      </c>
      <c r="E452" s="3">
        <v>321000</v>
      </c>
    </row>
    <row r="453" spans="1:5" x14ac:dyDescent="0.2">
      <c r="A453" s="1" t="s">
        <v>18</v>
      </c>
      <c r="B453" s="1">
        <v>4247</v>
      </c>
      <c r="C453" s="1">
        <v>9.6410000000000018</v>
      </c>
      <c r="D453" s="1">
        <v>0.35790000000000011</v>
      </c>
      <c r="E453" s="3">
        <v>197000</v>
      </c>
    </row>
    <row r="454" spans="1:5" x14ac:dyDescent="0.2">
      <c r="A454" s="1" t="s">
        <v>18</v>
      </c>
      <c r="B454" s="1">
        <v>4248</v>
      </c>
      <c r="C454" s="1">
        <v>9.6650000000000027</v>
      </c>
      <c r="D454" s="1">
        <v>0.30060000000000009</v>
      </c>
      <c r="E454" s="3">
        <v>386000</v>
      </c>
    </row>
    <row r="455" spans="1:5" x14ac:dyDescent="0.2">
      <c r="A455" s="1" t="s">
        <v>18</v>
      </c>
      <c r="B455" s="1">
        <v>4249</v>
      </c>
      <c r="C455" s="1">
        <v>9.6210000000000022</v>
      </c>
      <c r="D455" s="1">
        <v>0.22490000000000007</v>
      </c>
      <c r="E455" s="3">
        <v>648000</v>
      </c>
    </row>
    <row r="456" spans="1:5" x14ac:dyDescent="0.2">
      <c r="A456" s="1" t="s">
        <v>18</v>
      </c>
      <c r="B456" s="1">
        <v>4251</v>
      </c>
      <c r="C456" s="1">
        <v>9.913000000000002</v>
      </c>
      <c r="D456" s="1">
        <v>0.38950000000000012</v>
      </c>
      <c r="E456" s="3">
        <v>2183000</v>
      </c>
    </row>
    <row r="457" spans="1:5" x14ac:dyDescent="0.2">
      <c r="A457" s="1" t="s">
        <v>18</v>
      </c>
      <c r="B457" s="1">
        <v>4411</v>
      </c>
      <c r="C457" s="1">
        <v>9.6390000000000029</v>
      </c>
      <c r="D457" s="1">
        <v>0.21240000000000006</v>
      </c>
      <c r="E457" s="3">
        <v>1781000</v>
      </c>
    </row>
    <row r="458" spans="1:5" x14ac:dyDescent="0.2">
      <c r="A458" s="1" t="s">
        <v>18</v>
      </c>
      <c r="B458" s="1">
        <v>4412</v>
      </c>
      <c r="C458" s="1">
        <v>9.501000000000003</v>
      </c>
      <c r="D458" s="1">
        <v>0.11120000000000003</v>
      </c>
      <c r="E458" s="3">
        <v>218000</v>
      </c>
    </row>
    <row r="459" spans="1:5" x14ac:dyDescent="0.2">
      <c r="A459" s="1" t="s">
        <v>18</v>
      </c>
      <c r="B459" s="1">
        <v>4413</v>
      </c>
      <c r="C459" s="1">
        <v>9.4350000000000023</v>
      </c>
      <c r="D459" s="1">
        <v>0.11440000000000004</v>
      </c>
      <c r="E459" s="3">
        <v>531000</v>
      </c>
    </row>
    <row r="460" spans="1:5" x14ac:dyDescent="0.2">
      <c r="A460" s="1" t="s">
        <v>18</v>
      </c>
      <c r="B460" s="1">
        <v>4421</v>
      </c>
      <c r="C460" s="1">
        <v>9.4770000000000021</v>
      </c>
      <c r="D460" s="1">
        <v>0.14540000000000006</v>
      </c>
      <c r="E460" s="3">
        <v>332000</v>
      </c>
    </row>
    <row r="461" spans="1:5" x14ac:dyDescent="0.2">
      <c r="A461" s="1" t="s">
        <v>18</v>
      </c>
      <c r="B461" s="1">
        <v>4422</v>
      </c>
      <c r="C461" s="1">
        <v>9.5580000000000016</v>
      </c>
      <c r="D461" s="1">
        <v>0.12200000000000004</v>
      </c>
      <c r="E461" s="3">
        <v>298000</v>
      </c>
    </row>
    <row r="462" spans="1:5" x14ac:dyDescent="0.2">
      <c r="A462" s="1" t="s">
        <v>18</v>
      </c>
      <c r="B462" s="1">
        <v>4431</v>
      </c>
      <c r="C462" s="1">
        <v>9.6050000000000022</v>
      </c>
      <c r="D462" s="1">
        <v>0.25830000000000009</v>
      </c>
      <c r="E462" s="3">
        <v>704000</v>
      </c>
    </row>
    <row r="463" spans="1:5" x14ac:dyDescent="0.2">
      <c r="A463" s="1" t="s">
        <v>18</v>
      </c>
      <c r="B463" s="1">
        <v>4441</v>
      </c>
      <c r="C463" s="1">
        <v>9.4280000000000026</v>
      </c>
      <c r="D463" s="1">
        <v>9.0870000000000034E-2</v>
      </c>
      <c r="E463" s="3">
        <v>1480000</v>
      </c>
    </row>
    <row r="464" spans="1:5" x14ac:dyDescent="0.2">
      <c r="A464" s="1" t="s">
        <v>18</v>
      </c>
      <c r="B464" s="1">
        <v>4442</v>
      </c>
      <c r="C464" s="1">
        <v>9.4640000000000022</v>
      </c>
      <c r="D464" s="1">
        <v>6.5600000000000033E-2</v>
      </c>
      <c r="E464" s="3">
        <v>184000</v>
      </c>
    </row>
    <row r="465" spans="1:5" x14ac:dyDescent="0.2">
      <c r="A465" s="1" t="s">
        <v>18</v>
      </c>
      <c r="B465" s="1">
        <v>4451</v>
      </c>
      <c r="C465" s="1">
        <v>9.3990000000000027</v>
      </c>
      <c r="D465" s="1">
        <v>7.0890000000000036E-2</v>
      </c>
      <c r="E465" s="3">
        <v>2126000</v>
      </c>
    </row>
    <row r="466" spans="1:5" x14ac:dyDescent="0.2">
      <c r="A466" s="1" t="s">
        <v>18</v>
      </c>
      <c r="B466" s="1">
        <v>4452</v>
      </c>
      <c r="C466" s="1">
        <v>9.4470000000000027</v>
      </c>
      <c r="D466" s="1">
        <v>9.3660000000000035E-2</v>
      </c>
      <c r="E466" s="3">
        <v>143000</v>
      </c>
    </row>
    <row r="467" spans="1:5" x14ac:dyDescent="0.2">
      <c r="A467" s="1" t="s">
        <v>18</v>
      </c>
      <c r="B467" s="1">
        <v>4453</v>
      </c>
      <c r="C467" s="1">
        <v>9.4720000000000031</v>
      </c>
      <c r="D467" s="1">
        <v>-1.0040000000000004E-2</v>
      </c>
      <c r="E467" s="3">
        <v>134000</v>
      </c>
    </row>
    <row r="468" spans="1:5" x14ac:dyDescent="0.2">
      <c r="A468" s="1" t="s">
        <v>18</v>
      </c>
      <c r="B468" s="1">
        <v>4461</v>
      </c>
      <c r="C468" s="1">
        <v>9.6270000000000024</v>
      </c>
      <c r="D468" s="1">
        <v>0.12720000000000004</v>
      </c>
      <c r="E468" s="3">
        <v>1378000</v>
      </c>
    </row>
    <row r="469" spans="1:5" x14ac:dyDescent="0.2">
      <c r="A469" s="1" t="s">
        <v>18</v>
      </c>
      <c r="B469" s="1">
        <v>4471</v>
      </c>
      <c r="C469" s="1">
        <v>9.2740000000000027</v>
      </c>
      <c r="D469" s="1">
        <v>5.7910000000000024E-2</v>
      </c>
      <c r="E469" s="3">
        <v>577000</v>
      </c>
    </row>
    <row r="470" spans="1:5" x14ac:dyDescent="0.2">
      <c r="A470" s="1" t="s">
        <v>18</v>
      </c>
      <c r="B470" s="1">
        <v>4481</v>
      </c>
      <c r="C470" s="1">
        <v>9.5130000000000017</v>
      </c>
      <c r="D470" s="1">
        <v>0.12660000000000005</v>
      </c>
      <c r="E470" s="3">
        <v>529000</v>
      </c>
    </row>
    <row r="471" spans="1:5" x14ac:dyDescent="0.2">
      <c r="A471" s="1" t="s">
        <v>18</v>
      </c>
      <c r="B471" s="1">
        <v>4482</v>
      </c>
      <c r="C471" s="1">
        <v>9.5200000000000031</v>
      </c>
      <c r="D471" s="1">
        <v>0.13510000000000005</v>
      </c>
      <c r="E471" s="3">
        <v>104000</v>
      </c>
    </row>
    <row r="472" spans="1:5" x14ac:dyDescent="0.2">
      <c r="A472" s="1" t="s">
        <v>18</v>
      </c>
      <c r="B472" s="1">
        <v>4483</v>
      </c>
      <c r="C472" s="1">
        <v>9.5270000000000028</v>
      </c>
      <c r="D472" s="1">
        <v>0.14210000000000003</v>
      </c>
      <c r="E472" s="3">
        <v>176000</v>
      </c>
    </row>
    <row r="473" spans="1:5" x14ac:dyDescent="0.2">
      <c r="A473" s="1" t="s">
        <v>18</v>
      </c>
      <c r="B473" s="1">
        <v>4511</v>
      </c>
      <c r="C473" s="1">
        <v>9.4330000000000016</v>
      </c>
      <c r="D473" s="1">
        <v>1.0960000000000004E-2</v>
      </c>
      <c r="E473" s="3">
        <v>411000</v>
      </c>
    </row>
    <row r="474" spans="1:5" x14ac:dyDescent="0.2">
      <c r="A474" s="1" t="s">
        <v>18</v>
      </c>
      <c r="B474" s="1">
        <v>4512</v>
      </c>
      <c r="C474" s="1">
        <v>9.3640000000000025</v>
      </c>
      <c r="D474" s="1">
        <v>4.9300000000000017E-2</v>
      </c>
      <c r="E474" s="3">
        <v>99500</v>
      </c>
    </row>
    <row r="475" spans="1:5" x14ac:dyDescent="0.2">
      <c r="A475" s="1" t="s">
        <v>18</v>
      </c>
      <c r="B475" s="1">
        <v>4521</v>
      </c>
      <c r="C475" s="1">
        <v>9.3430000000000017</v>
      </c>
      <c r="D475" s="1">
        <v>7.080000000000003E-2</v>
      </c>
      <c r="E475" s="3">
        <v>1173000</v>
      </c>
    </row>
    <row r="476" spans="1:5" x14ac:dyDescent="0.2">
      <c r="A476" s="1" t="s">
        <v>18</v>
      </c>
      <c r="B476" s="1">
        <v>4529</v>
      </c>
      <c r="C476" s="1">
        <v>9.2970000000000024</v>
      </c>
      <c r="D476" s="1">
        <v>5.5070000000000022E-2</v>
      </c>
      <c r="E476" s="3">
        <v>1624000</v>
      </c>
    </row>
    <row r="477" spans="1:5" x14ac:dyDescent="0.2">
      <c r="A477" s="1" t="s">
        <v>18</v>
      </c>
      <c r="B477" s="1">
        <v>4531</v>
      </c>
      <c r="C477" s="1">
        <v>9.3090000000000028</v>
      </c>
      <c r="D477" s="1">
        <v>-7.4240000000000028E-2</v>
      </c>
      <c r="E477" s="3">
        <v>49500</v>
      </c>
    </row>
    <row r="478" spans="1:5" x14ac:dyDescent="0.2">
      <c r="A478" s="1" t="s">
        <v>18</v>
      </c>
      <c r="B478" s="1">
        <v>4532</v>
      </c>
      <c r="C478" s="1">
        <v>9.4910000000000014</v>
      </c>
      <c r="D478" s="1">
        <v>0.11140000000000004</v>
      </c>
      <c r="E478" s="3">
        <v>293000</v>
      </c>
    </row>
    <row r="479" spans="1:5" x14ac:dyDescent="0.2">
      <c r="A479" s="1" t="s">
        <v>18</v>
      </c>
      <c r="B479" s="1">
        <v>4533</v>
      </c>
      <c r="C479" s="1">
        <v>9.3310000000000031</v>
      </c>
      <c r="D479" s="1">
        <v>2.3270000000000009E-2</v>
      </c>
      <c r="E479" s="3">
        <v>115000</v>
      </c>
    </row>
    <row r="480" spans="1:5" x14ac:dyDescent="0.2">
      <c r="A480" s="1" t="s">
        <v>18</v>
      </c>
      <c r="B480" s="1">
        <v>4539</v>
      </c>
      <c r="C480" s="1">
        <v>9.4680000000000017</v>
      </c>
      <c r="D480" s="1">
        <v>9.3120000000000036E-2</v>
      </c>
      <c r="E480" s="3">
        <v>281000</v>
      </c>
    </row>
    <row r="481" spans="1:5" x14ac:dyDescent="0.2">
      <c r="A481" s="1" t="s">
        <v>18</v>
      </c>
      <c r="B481" s="1">
        <v>4541</v>
      </c>
      <c r="C481" s="1">
        <v>9.6550000000000029</v>
      </c>
      <c r="D481" s="1">
        <v>0.24730000000000008</v>
      </c>
      <c r="E481" s="3">
        <v>587000</v>
      </c>
    </row>
    <row r="482" spans="1:5" x14ac:dyDescent="0.2">
      <c r="A482" s="1" t="s">
        <v>18</v>
      </c>
      <c r="B482" s="1">
        <v>4542</v>
      </c>
      <c r="C482" s="1">
        <v>9.3670000000000027</v>
      </c>
      <c r="D482" s="1">
        <v>0.13770000000000004</v>
      </c>
      <c r="E482" s="3">
        <v>52000</v>
      </c>
    </row>
    <row r="483" spans="1:5" x14ac:dyDescent="0.2">
      <c r="A483" s="1" t="s">
        <v>18</v>
      </c>
      <c r="B483" s="1">
        <v>4543</v>
      </c>
      <c r="C483" s="1">
        <v>9.5080000000000027</v>
      </c>
      <c r="D483" s="1">
        <v>0.23530000000000006</v>
      </c>
      <c r="E483" s="3">
        <v>236000</v>
      </c>
    </row>
    <row r="484" spans="1:5" x14ac:dyDescent="0.2">
      <c r="A484" s="1" t="s">
        <v>18</v>
      </c>
      <c r="B484" s="1">
        <v>4811</v>
      </c>
      <c r="C484" s="1">
        <v>9.8750000000000018</v>
      </c>
      <c r="D484" s="1">
        <v>0.19370000000000007</v>
      </c>
      <c r="E484" s="3">
        <v>1304000</v>
      </c>
    </row>
    <row r="485" spans="1:5" x14ac:dyDescent="0.2">
      <c r="A485" s="1" t="s">
        <v>18</v>
      </c>
      <c r="B485" s="1">
        <v>4812</v>
      </c>
      <c r="C485" s="1">
        <v>9.8560000000000016</v>
      </c>
      <c r="D485" s="1">
        <v>0.31350000000000011</v>
      </c>
      <c r="E485" s="3">
        <v>109000</v>
      </c>
    </row>
    <row r="486" spans="1:5" x14ac:dyDescent="0.2">
      <c r="A486" s="1" t="s">
        <v>18</v>
      </c>
      <c r="B486" s="1">
        <v>4821</v>
      </c>
      <c r="C486" s="1">
        <v>9.631000000000002</v>
      </c>
      <c r="D486" s="1">
        <v>0.36980000000000013</v>
      </c>
      <c r="E486" s="3">
        <v>2900</v>
      </c>
    </row>
    <row r="487" spans="1:5" x14ac:dyDescent="0.2">
      <c r="A487" s="1" t="s">
        <v>18</v>
      </c>
      <c r="B487" s="1">
        <v>4831</v>
      </c>
      <c r="C487" s="1">
        <v>9.8130000000000024</v>
      </c>
      <c r="D487" s="1">
        <v>0.36690000000000011</v>
      </c>
      <c r="E487" s="3">
        <v>97500</v>
      </c>
    </row>
    <row r="488" spans="1:5" x14ac:dyDescent="0.2">
      <c r="A488" s="1" t="s">
        <v>18</v>
      </c>
      <c r="B488" s="1">
        <v>4832</v>
      </c>
      <c r="C488" s="1">
        <v>9.7000000000000028</v>
      </c>
      <c r="D488" s="1">
        <v>0.41010000000000013</v>
      </c>
      <c r="E488" s="3">
        <v>33000</v>
      </c>
    </row>
    <row r="489" spans="1:5" x14ac:dyDescent="0.2">
      <c r="A489" s="1" t="s">
        <v>18</v>
      </c>
      <c r="B489" s="1">
        <v>4841</v>
      </c>
      <c r="C489" s="1">
        <v>9.4090000000000025</v>
      </c>
      <c r="D489" s="1">
        <v>0.29330000000000012</v>
      </c>
      <c r="E489" s="3">
        <v>1293000</v>
      </c>
    </row>
    <row r="490" spans="1:5" x14ac:dyDescent="0.2">
      <c r="A490" s="1" t="s">
        <v>18</v>
      </c>
      <c r="B490" s="1">
        <v>4842</v>
      </c>
      <c r="C490" s="1">
        <v>9.424000000000003</v>
      </c>
      <c r="D490" s="1">
        <v>0.2960000000000001</v>
      </c>
      <c r="E490" s="3">
        <v>516000</v>
      </c>
    </row>
    <row r="491" spans="1:5" x14ac:dyDescent="0.2">
      <c r="A491" s="1" t="s">
        <v>18</v>
      </c>
      <c r="B491" s="1">
        <v>4851</v>
      </c>
      <c r="C491" s="1">
        <v>9.5770000000000017</v>
      </c>
      <c r="D491" s="1">
        <v>0.39840000000000014</v>
      </c>
      <c r="E491" s="3">
        <v>573000</v>
      </c>
    </row>
    <row r="492" spans="1:5" x14ac:dyDescent="0.2">
      <c r="A492" s="1" t="s">
        <v>18</v>
      </c>
      <c r="B492" s="1">
        <v>4852</v>
      </c>
      <c r="C492" s="1">
        <v>9.4040000000000017</v>
      </c>
      <c r="D492" s="1">
        <v>0.24820000000000009</v>
      </c>
      <c r="E492" s="3">
        <v>37000</v>
      </c>
    </row>
    <row r="493" spans="1:5" x14ac:dyDescent="0.2">
      <c r="A493" s="1" t="s">
        <v>18</v>
      </c>
      <c r="B493" s="1">
        <v>4853</v>
      </c>
      <c r="C493" s="1">
        <v>9.3620000000000019</v>
      </c>
      <c r="D493" s="1">
        <v>6.2630000000000033E-2</v>
      </c>
      <c r="E493" s="3">
        <v>73500</v>
      </c>
    </row>
    <row r="494" spans="1:5" x14ac:dyDescent="0.2">
      <c r="A494" s="1" t="s">
        <v>18</v>
      </c>
      <c r="B494" s="1">
        <v>4854</v>
      </c>
      <c r="C494" s="1">
        <v>9.4330000000000016</v>
      </c>
      <c r="D494" s="1">
        <v>4.9840000000000023E-2</v>
      </c>
      <c r="E494" s="3">
        <v>346000</v>
      </c>
    </row>
    <row r="495" spans="1:5" x14ac:dyDescent="0.2">
      <c r="A495" s="1" t="s">
        <v>18</v>
      </c>
      <c r="B495" s="1">
        <v>4855</v>
      </c>
      <c r="C495" s="1">
        <v>9.3590000000000018</v>
      </c>
      <c r="D495" s="1">
        <v>0.11550000000000003</v>
      </c>
      <c r="E495" s="3">
        <v>34000</v>
      </c>
    </row>
    <row r="496" spans="1:5" x14ac:dyDescent="0.2">
      <c r="A496" s="1" t="s">
        <v>18</v>
      </c>
      <c r="B496" s="1">
        <v>4859</v>
      </c>
      <c r="C496" s="1">
        <v>9.2790000000000017</v>
      </c>
      <c r="D496" s="1">
        <v>9.9900000000000044E-2</v>
      </c>
      <c r="E496" s="3">
        <v>101000</v>
      </c>
    </row>
    <row r="497" spans="1:5" x14ac:dyDescent="0.2">
      <c r="A497" s="1" t="s">
        <v>18</v>
      </c>
      <c r="B497" s="1">
        <v>4861</v>
      </c>
      <c r="C497" s="1">
        <v>9.8560000000000016</v>
      </c>
      <c r="D497" s="1">
        <v>0.6554000000000002</v>
      </c>
      <c r="E497" s="3">
        <v>34000</v>
      </c>
    </row>
    <row r="498" spans="1:5" x14ac:dyDescent="0.2">
      <c r="A498" s="1" t="s">
        <v>18</v>
      </c>
      <c r="B498" s="1">
        <v>4862</v>
      </c>
      <c r="C498" s="1">
        <v>9.8340000000000032</v>
      </c>
      <c r="D498" s="1">
        <v>0.5708000000000002</v>
      </c>
      <c r="E498" s="3">
        <v>100000</v>
      </c>
    </row>
    <row r="499" spans="1:5" x14ac:dyDescent="0.2">
      <c r="A499" s="1" t="s">
        <v>18</v>
      </c>
      <c r="B499" s="1">
        <v>4869</v>
      </c>
      <c r="C499" s="1">
        <v>9.7740000000000027</v>
      </c>
      <c r="D499" s="1">
        <v>0.61630000000000018</v>
      </c>
      <c r="E499" s="3">
        <v>26500</v>
      </c>
    </row>
    <row r="500" spans="1:5" x14ac:dyDescent="0.2">
      <c r="A500" s="1" t="s">
        <v>18</v>
      </c>
      <c r="B500" s="1">
        <v>4871</v>
      </c>
      <c r="C500" s="1">
        <v>9.4550000000000018</v>
      </c>
      <c r="D500" s="1">
        <v>0.17620000000000005</v>
      </c>
      <c r="E500" s="3">
        <v>16000</v>
      </c>
    </row>
    <row r="501" spans="1:5" x14ac:dyDescent="0.2">
      <c r="A501" s="1" t="s">
        <v>18</v>
      </c>
      <c r="B501" s="1">
        <v>4872</v>
      </c>
      <c r="C501" s="1">
        <v>9.5900000000000016</v>
      </c>
      <c r="D501" s="1">
        <v>3.7320000000000013E-2</v>
      </c>
      <c r="E501" s="3">
        <v>13000</v>
      </c>
    </row>
    <row r="502" spans="1:5" x14ac:dyDescent="0.2">
      <c r="A502" s="1" t="s">
        <v>18</v>
      </c>
      <c r="B502" s="1">
        <v>4879</v>
      </c>
      <c r="C502" s="1">
        <v>9.6230000000000029</v>
      </c>
      <c r="D502" s="1">
        <v>0.18150000000000005</v>
      </c>
      <c r="E502" s="3">
        <v>3900</v>
      </c>
    </row>
    <row r="503" spans="1:5" x14ac:dyDescent="0.2">
      <c r="A503" s="1" t="s">
        <v>18</v>
      </c>
      <c r="B503" s="1">
        <v>4881</v>
      </c>
      <c r="C503" s="1">
        <v>9.5860000000000021</v>
      </c>
      <c r="D503" s="1">
        <v>0.29410000000000008</v>
      </c>
      <c r="E503" s="3">
        <v>407000</v>
      </c>
    </row>
    <row r="504" spans="1:5" x14ac:dyDescent="0.2">
      <c r="A504" s="1" t="s">
        <v>18</v>
      </c>
      <c r="B504" s="1">
        <v>4882</v>
      </c>
      <c r="C504" s="1">
        <v>9.4520000000000017</v>
      </c>
      <c r="D504" s="1">
        <v>0.35650000000000009</v>
      </c>
      <c r="E504" s="3">
        <v>36000</v>
      </c>
    </row>
    <row r="505" spans="1:5" x14ac:dyDescent="0.2">
      <c r="A505" s="1" t="s">
        <v>18</v>
      </c>
      <c r="B505" s="1">
        <v>4883</v>
      </c>
      <c r="C505" s="1">
        <v>9.7490000000000023</v>
      </c>
      <c r="D505" s="1">
        <v>0.44370000000000015</v>
      </c>
      <c r="E505" s="3">
        <v>132000</v>
      </c>
    </row>
    <row r="506" spans="1:5" x14ac:dyDescent="0.2">
      <c r="A506" s="1" t="s">
        <v>18</v>
      </c>
      <c r="B506" s="1">
        <v>4884</v>
      </c>
      <c r="C506" s="1">
        <v>9.4670000000000023</v>
      </c>
      <c r="D506" s="1">
        <v>0.23400000000000007</v>
      </c>
      <c r="E506" s="3">
        <v>123000</v>
      </c>
    </row>
    <row r="507" spans="1:5" x14ac:dyDescent="0.2">
      <c r="A507" s="1" t="s">
        <v>18</v>
      </c>
      <c r="B507" s="1">
        <v>4885</v>
      </c>
      <c r="C507" s="1">
        <v>9.6350000000000016</v>
      </c>
      <c r="D507" s="1">
        <v>0.26050000000000006</v>
      </c>
      <c r="E507" s="3">
        <v>398000</v>
      </c>
    </row>
    <row r="508" spans="1:5" x14ac:dyDescent="0.2">
      <c r="A508" s="1" t="s">
        <v>18</v>
      </c>
      <c r="B508" s="1">
        <v>4889</v>
      </c>
      <c r="C508" s="1">
        <v>9.5450000000000017</v>
      </c>
      <c r="D508" s="1">
        <v>0.26250000000000007</v>
      </c>
      <c r="E508" s="3">
        <v>40000</v>
      </c>
    </row>
    <row r="509" spans="1:5" x14ac:dyDescent="0.2">
      <c r="A509" s="1" t="s">
        <v>18</v>
      </c>
      <c r="B509" s="1">
        <v>4911</v>
      </c>
      <c r="C509" s="1">
        <v>9.2960000000000029</v>
      </c>
      <c r="D509" s="1">
        <v>0.13480000000000003</v>
      </c>
      <c r="E509" s="3">
        <v>5100</v>
      </c>
    </row>
    <row r="510" spans="1:5" x14ac:dyDescent="0.2">
      <c r="A510" s="1" t="s">
        <v>18</v>
      </c>
      <c r="B510" s="1">
        <v>4921</v>
      </c>
      <c r="C510" s="1">
        <v>9.7600000000000016</v>
      </c>
      <c r="D510" s="1">
        <v>0.15790000000000004</v>
      </c>
      <c r="E510" s="3">
        <v>1020000</v>
      </c>
    </row>
    <row r="511" spans="1:5" x14ac:dyDescent="0.2">
      <c r="A511" s="1" t="s">
        <v>18</v>
      </c>
      <c r="B511" s="1">
        <v>4922</v>
      </c>
      <c r="C511" s="1">
        <v>9.3450000000000024</v>
      </c>
      <c r="D511" s="1">
        <v>0.15120000000000006</v>
      </c>
      <c r="E511" s="3">
        <v>54500</v>
      </c>
    </row>
    <row r="512" spans="1:5" x14ac:dyDescent="0.2">
      <c r="A512" s="1" t="s">
        <v>18</v>
      </c>
      <c r="B512" s="1">
        <v>4931</v>
      </c>
      <c r="C512" s="1">
        <v>9.4570000000000025</v>
      </c>
      <c r="D512" s="1">
        <v>0.23800000000000007</v>
      </c>
      <c r="E512" s="3">
        <v>1129000</v>
      </c>
    </row>
    <row r="513" spans="1:5" x14ac:dyDescent="0.2">
      <c r="A513" s="1" t="s">
        <v>18</v>
      </c>
      <c r="B513" s="1">
        <v>5111</v>
      </c>
      <c r="C513" s="1">
        <v>9.6510000000000016</v>
      </c>
      <c r="D513" s="1">
        <v>0.27390000000000009</v>
      </c>
      <c r="E513" s="3">
        <v>1236000</v>
      </c>
    </row>
    <row r="514" spans="1:5" x14ac:dyDescent="0.2">
      <c r="A514" s="1" t="s">
        <v>18</v>
      </c>
      <c r="B514" s="1">
        <v>5112</v>
      </c>
      <c r="C514" s="1">
        <v>10.070000000000002</v>
      </c>
      <c r="D514" s="1">
        <v>0.45590000000000014</v>
      </c>
      <c r="E514" s="3">
        <v>1081000</v>
      </c>
    </row>
    <row r="515" spans="1:5" x14ac:dyDescent="0.2">
      <c r="A515" s="1" t="s">
        <v>18</v>
      </c>
      <c r="B515" s="1">
        <v>5121</v>
      </c>
      <c r="C515" s="1">
        <v>9.9390000000000018</v>
      </c>
      <c r="D515" s="1">
        <v>0.31720000000000009</v>
      </c>
      <c r="E515" s="3">
        <v>455000</v>
      </c>
    </row>
    <row r="516" spans="1:5" x14ac:dyDescent="0.2">
      <c r="A516" s="1" t="s">
        <v>18</v>
      </c>
      <c r="B516" s="1">
        <v>5122</v>
      </c>
      <c r="C516" s="1">
        <v>9.8000000000000025</v>
      </c>
      <c r="D516" s="1">
        <v>0.25290000000000007</v>
      </c>
      <c r="E516" s="3">
        <v>38500</v>
      </c>
    </row>
    <row r="517" spans="1:5" x14ac:dyDescent="0.2">
      <c r="A517" s="1" t="s">
        <v>18</v>
      </c>
      <c r="B517" s="1">
        <v>5151</v>
      </c>
      <c r="C517" s="1">
        <v>9.7950000000000017</v>
      </c>
      <c r="D517" s="1">
        <v>0.2582000000000001</v>
      </c>
      <c r="E517" s="3">
        <v>614000</v>
      </c>
    </row>
    <row r="518" spans="1:5" x14ac:dyDescent="0.2">
      <c r="A518" s="1" t="s">
        <v>18</v>
      </c>
      <c r="B518" s="1">
        <v>5152</v>
      </c>
      <c r="C518" s="1">
        <v>9.8160000000000025</v>
      </c>
      <c r="D518" s="1">
        <v>0.41640000000000016</v>
      </c>
      <c r="E518" s="3">
        <v>189000</v>
      </c>
    </row>
    <row r="519" spans="1:5" x14ac:dyDescent="0.2">
      <c r="A519" s="1" t="s">
        <v>18</v>
      </c>
      <c r="B519" s="1">
        <v>5171</v>
      </c>
      <c r="C519" s="1">
        <v>9.6380000000000017</v>
      </c>
      <c r="D519" s="1">
        <v>0.5032000000000002</v>
      </c>
      <c r="E519" s="3">
        <v>1878000</v>
      </c>
    </row>
    <row r="520" spans="1:5" x14ac:dyDescent="0.2">
      <c r="A520" s="1" t="s">
        <v>18</v>
      </c>
      <c r="B520" s="1">
        <v>5172</v>
      </c>
      <c r="C520" s="1">
        <v>9.6660000000000021</v>
      </c>
      <c r="D520" s="1">
        <v>0.47250000000000014</v>
      </c>
      <c r="E520" s="3">
        <v>345000</v>
      </c>
    </row>
    <row r="521" spans="1:5" x14ac:dyDescent="0.2">
      <c r="A521" s="1" t="s">
        <v>18</v>
      </c>
      <c r="B521" s="1">
        <v>5174</v>
      </c>
      <c r="C521" s="1">
        <v>9.8470000000000031</v>
      </c>
      <c r="D521" s="1">
        <v>0.44610000000000016</v>
      </c>
      <c r="E521" s="3">
        <v>31500</v>
      </c>
    </row>
    <row r="522" spans="1:5" x14ac:dyDescent="0.2">
      <c r="A522" s="1" t="s">
        <v>18</v>
      </c>
      <c r="B522" s="1">
        <v>5179</v>
      </c>
      <c r="C522" s="1">
        <v>9.7690000000000019</v>
      </c>
      <c r="D522" s="1">
        <v>0.43510000000000015</v>
      </c>
      <c r="E522" s="3">
        <v>258000</v>
      </c>
    </row>
    <row r="523" spans="1:5" x14ac:dyDescent="0.2">
      <c r="A523" s="1" t="s">
        <v>18</v>
      </c>
      <c r="B523" s="1">
        <v>5182</v>
      </c>
      <c r="C523" s="1">
        <v>9.865000000000002</v>
      </c>
      <c r="D523" s="1">
        <v>0.36110000000000009</v>
      </c>
      <c r="E523" s="3">
        <v>871000</v>
      </c>
    </row>
    <row r="524" spans="1:5" x14ac:dyDescent="0.2">
      <c r="A524" s="1" t="s">
        <v>18</v>
      </c>
      <c r="B524" s="1">
        <v>5191</v>
      </c>
      <c r="C524" s="1">
        <v>9.8140000000000018</v>
      </c>
      <c r="D524" s="1">
        <v>0.34240000000000009</v>
      </c>
      <c r="E524" s="3">
        <v>849000</v>
      </c>
    </row>
    <row r="525" spans="1:5" x14ac:dyDescent="0.2">
      <c r="A525" s="1" t="s">
        <v>18</v>
      </c>
      <c r="B525" s="1">
        <v>5211</v>
      </c>
      <c r="C525" s="1">
        <v>10.010000000000002</v>
      </c>
      <c r="D525" s="1">
        <v>0.41130000000000011</v>
      </c>
      <c r="E525" s="3">
        <v>78500</v>
      </c>
    </row>
    <row r="526" spans="1:5" x14ac:dyDescent="0.2">
      <c r="A526" s="1" t="s">
        <v>18</v>
      </c>
      <c r="B526" s="1">
        <v>5221</v>
      </c>
      <c r="C526" s="1">
        <v>9.6920000000000019</v>
      </c>
      <c r="D526" s="1">
        <v>0.25370000000000009</v>
      </c>
      <c r="E526" s="3">
        <v>4946000</v>
      </c>
    </row>
    <row r="527" spans="1:5" x14ac:dyDescent="0.2">
      <c r="A527" s="1" t="s">
        <v>18</v>
      </c>
      <c r="B527" s="1">
        <v>5222</v>
      </c>
      <c r="C527" s="1">
        <v>9.7890000000000015</v>
      </c>
      <c r="D527" s="1">
        <v>0.3494000000000001</v>
      </c>
      <c r="E527" s="3">
        <v>1545000</v>
      </c>
    </row>
    <row r="528" spans="1:5" x14ac:dyDescent="0.2">
      <c r="A528" s="1" t="s">
        <v>18</v>
      </c>
      <c r="B528" s="1">
        <v>5223</v>
      </c>
      <c r="C528" s="1">
        <v>9.7500000000000018</v>
      </c>
      <c r="D528" s="1">
        <v>0.31840000000000013</v>
      </c>
      <c r="E528" s="3">
        <v>678000</v>
      </c>
    </row>
    <row r="529" spans="1:5" x14ac:dyDescent="0.2">
      <c r="A529" s="1" t="s">
        <v>18</v>
      </c>
      <c r="B529" s="1">
        <v>5231</v>
      </c>
      <c r="C529" s="1">
        <v>10.290000000000003</v>
      </c>
      <c r="D529" s="1">
        <v>0.41270000000000012</v>
      </c>
      <c r="E529" s="3">
        <v>1582000</v>
      </c>
    </row>
    <row r="530" spans="1:5" x14ac:dyDescent="0.2">
      <c r="A530" s="1" t="s">
        <v>18</v>
      </c>
      <c r="B530" s="1">
        <v>5232</v>
      </c>
      <c r="C530" s="1">
        <v>10.240000000000002</v>
      </c>
      <c r="D530" s="1">
        <v>0.51170000000000015</v>
      </c>
      <c r="E530" s="3">
        <v>25500</v>
      </c>
    </row>
    <row r="531" spans="1:5" x14ac:dyDescent="0.2">
      <c r="A531" s="1" t="s">
        <v>18</v>
      </c>
      <c r="B531" s="1">
        <v>5239</v>
      </c>
      <c r="C531" s="1">
        <v>10.160000000000002</v>
      </c>
      <c r="D531" s="1">
        <v>0.42430000000000012</v>
      </c>
      <c r="E531" s="3">
        <v>1298000</v>
      </c>
    </row>
    <row r="532" spans="1:5" x14ac:dyDescent="0.2">
      <c r="A532" s="1" t="s">
        <v>18</v>
      </c>
      <c r="B532" s="1">
        <v>5241</v>
      </c>
      <c r="C532" s="1">
        <v>9.7440000000000015</v>
      </c>
      <c r="D532" s="1">
        <v>0.37550000000000011</v>
      </c>
      <c r="E532" s="3">
        <v>4261000</v>
      </c>
    </row>
    <row r="533" spans="1:5" x14ac:dyDescent="0.2">
      <c r="A533" s="1" t="s">
        <v>18</v>
      </c>
      <c r="B533" s="1">
        <v>5242</v>
      </c>
      <c r="C533" s="1">
        <v>9.6990000000000016</v>
      </c>
      <c r="D533" s="1">
        <v>0.25740000000000007</v>
      </c>
      <c r="E533" s="3">
        <v>2727000</v>
      </c>
    </row>
    <row r="534" spans="1:5" x14ac:dyDescent="0.2">
      <c r="A534" s="1" t="s">
        <v>18</v>
      </c>
      <c r="B534" s="1">
        <v>5251</v>
      </c>
      <c r="C534" s="1">
        <v>9.7470000000000017</v>
      </c>
      <c r="D534" s="1">
        <v>0.3363000000000001</v>
      </c>
      <c r="E534" s="3">
        <v>88500</v>
      </c>
    </row>
    <row r="535" spans="1:5" x14ac:dyDescent="0.2">
      <c r="A535" s="1" t="s">
        <v>18</v>
      </c>
      <c r="B535" s="1">
        <v>5259</v>
      </c>
      <c r="C535" s="1">
        <v>9.9700000000000024</v>
      </c>
      <c r="D535" s="1">
        <v>0.44370000000000015</v>
      </c>
      <c r="E535" s="3">
        <v>53000</v>
      </c>
    </row>
    <row r="536" spans="1:5" x14ac:dyDescent="0.2">
      <c r="A536" s="1" t="s">
        <v>18</v>
      </c>
      <c r="B536" s="1">
        <v>5311</v>
      </c>
      <c r="C536" s="1">
        <v>9.6090000000000018</v>
      </c>
      <c r="D536" s="1">
        <v>0.21560000000000007</v>
      </c>
      <c r="E536" s="3">
        <v>832000</v>
      </c>
    </row>
    <row r="537" spans="1:5" x14ac:dyDescent="0.2">
      <c r="A537" s="1" t="s">
        <v>18</v>
      </c>
      <c r="B537" s="1">
        <v>5312</v>
      </c>
      <c r="C537" s="1">
        <v>9.7100000000000026</v>
      </c>
      <c r="D537" s="1">
        <v>0.19600000000000006</v>
      </c>
      <c r="E537" s="3">
        <v>522000</v>
      </c>
    </row>
    <row r="538" spans="1:5" x14ac:dyDescent="0.2">
      <c r="A538" s="1" t="s">
        <v>18</v>
      </c>
      <c r="B538" s="1">
        <v>5313</v>
      </c>
      <c r="C538" s="1">
        <v>9.647000000000002</v>
      </c>
      <c r="D538" s="1">
        <v>0.22160000000000007</v>
      </c>
      <c r="E538" s="3">
        <v>1044000</v>
      </c>
    </row>
    <row r="539" spans="1:5" x14ac:dyDescent="0.2">
      <c r="A539" s="1" t="s">
        <v>18</v>
      </c>
      <c r="B539" s="1">
        <v>5321</v>
      </c>
      <c r="C539" s="1">
        <v>9.5510000000000019</v>
      </c>
      <c r="D539" s="1">
        <v>0.2556000000000001</v>
      </c>
      <c r="E539" s="3">
        <v>236000</v>
      </c>
    </row>
    <row r="540" spans="1:5" x14ac:dyDescent="0.2">
      <c r="A540" s="1" t="s">
        <v>18</v>
      </c>
      <c r="B540" s="1">
        <v>5322</v>
      </c>
      <c r="C540" s="1">
        <v>9.4510000000000023</v>
      </c>
      <c r="D540" s="1">
        <v>0.20290000000000005</v>
      </c>
      <c r="E540" s="3">
        <v>204000</v>
      </c>
    </row>
    <row r="541" spans="1:5" x14ac:dyDescent="0.2">
      <c r="A541" s="1" t="s">
        <v>18</v>
      </c>
      <c r="B541" s="1">
        <v>5323</v>
      </c>
      <c r="C541" s="1">
        <v>9.5960000000000019</v>
      </c>
      <c r="D541" s="1">
        <v>0.22060000000000007</v>
      </c>
      <c r="E541" s="3">
        <v>57000</v>
      </c>
    </row>
    <row r="542" spans="1:5" x14ac:dyDescent="0.2">
      <c r="A542" s="1" t="s">
        <v>18</v>
      </c>
      <c r="B542" s="1">
        <v>5324</v>
      </c>
      <c r="C542" s="1">
        <v>9.6720000000000024</v>
      </c>
      <c r="D542" s="1">
        <v>0.35120000000000012</v>
      </c>
      <c r="E542" s="3">
        <v>242000</v>
      </c>
    </row>
    <row r="543" spans="1:5" x14ac:dyDescent="0.2">
      <c r="A543" s="1" t="s">
        <v>18</v>
      </c>
      <c r="B543" s="1">
        <v>5331</v>
      </c>
      <c r="C543" s="1">
        <v>9.9310000000000027</v>
      </c>
      <c r="D543" s="1">
        <v>0.3116000000000001</v>
      </c>
      <c r="E543" s="3">
        <v>69500</v>
      </c>
    </row>
    <row r="544" spans="1:5" x14ac:dyDescent="0.2">
      <c r="A544" s="1" t="s">
        <v>18</v>
      </c>
      <c r="B544" s="1">
        <v>5411</v>
      </c>
      <c r="C544" s="1">
        <v>9.8120000000000029</v>
      </c>
      <c r="D544" s="1">
        <v>0.31080000000000008</v>
      </c>
      <c r="E544" s="3">
        <v>3292000</v>
      </c>
    </row>
    <row r="545" spans="1:5" x14ac:dyDescent="0.2">
      <c r="A545" s="1" t="s">
        <v>18</v>
      </c>
      <c r="B545" s="1">
        <v>5412</v>
      </c>
      <c r="C545" s="1">
        <v>9.7900000000000027</v>
      </c>
      <c r="D545" s="1">
        <v>0.24180000000000007</v>
      </c>
      <c r="E545" s="3">
        <v>2165000</v>
      </c>
    </row>
    <row r="546" spans="1:5" x14ac:dyDescent="0.2">
      <c r="A546" s="1" t="s">
        <v>18</v>
      </c>
      <c r="B546" s="1">
        <v>5413</v>
      </c>
      <c r="C546" s="1">
        <v>9.844000000000003</v>
      </c>
      <c r="D546" s="1">
        <v>0.35470000000000013</v>
      </c>
      <c r="E546" s="3">
        <v>4312000</v>
      </c>
    </row>
    <row r="547" spans="1:5" x14ac:dyDescent="0.2">
      <c r="A547" s="1" t="s">
        <v>18</v>
      </c>
      <c r="B547" s="1">
        <v>5414</v>
      </c>
      <c r="C547" s="1">
        <v>9.7580000000000027</v>
      </c>
      <c r="D547" s="1">
        <v>0.22670000000000007</v>
      </c>
      <c r="E547" s="3">
        <v>293000</v>
      </c>
    </row>
    <row r="548" spans="1:5" x14ac:dyDescent="0.2">
      <c r="A548" s="1" t="s">
        <v>18</v>
      </c>
      <c r="B548" s="1">
        <v>5415</v>
      </c>
      <c r="C548" s="1">
        <v>9.9650000000000016</v>
      </c>
      <c r="D548" s="1">
        <v>0.38740000000000013</v>
      </c>
      <c r="E548" s="3">
        <v>5403000</v>
      </c>
    </row>
    <row r="549" spans="1:5" x14ac:dyDescent="0.2">
      <c r="A549" s="1" t="s">
        <v>18</v>
      </c>
      <c r="B549" s="1">
        <v>5416</v>
      </c>
      <c r="C549" s="1">
        <v>9.908000000000003</v>
      </c>
      <c r="D549" s="1">
        <v>0.32790000000000008</v>
      </c>
      <c r="E549" s="3">
        <v>2965000</v>
      </c>
    </row>
    <row r="550" spans="1:5" x14ac:dyDescent="0.2">
      <c r="A550" s="1" t="s">
        <v>18</v>
      </c>
      <c r="B550" s="1">
        <v>5417</v>
      </c>
      <c r="C550" s="1">
        <v>9.9700000000000024</v>
      </c>
      <c r="D550" s="1">
        <v>0.45590000000000014</v>
      </c>
      <c r="E550" s="3">
        <v>2452000</v>
      </c>
    </row>
    <row r="551" spans="1:5" x14ac:dyDescent="0.2">
      <c r="A551" s="1" t="s">
        <v>18</v>
      </c>
      <c r="B551" s="1">
        <v>5418</v>
      </c>
      <c r="C551" s="1">
        <v>9.913000000000002</v>
      </c>
      <c r="D551" s="1">
        <v>0.27510000000000007</v>
      </c>
      <c r="E551" s="3">
        <v>1000000</v>
      </c>
    </row>
    <row r="552" spans="1:5" x14ac:dyDescent="0.2">
      <c r="A552" s="1" t="s">
        <v>18</v>
      </c>
      <c r="B552" s="1">
        <v>5419</v>
      </c>
      <c r="C552" s="1">
        <v>9.674000000000003</v>
      </c>
      <c r="D552" s="1">
        <v>0.15520000000000006</v>
      </c>
      <c r="E552" s="3">
        <v>1182000</v>
      </c>
    </row>
    <row r="553" spans="1:5" x14ac:dyDescent="0.2">
      <c r="A553" s="1" t="s">
        <v>18</v>
      </c>
      <c r="B553" s="1">
        <v>5511</v>
      </c>
      <c r="C553" s="1">
        <v>9.8480000000000025</v>
      </c>
      <c r="D553" s="1">
        <v>0.35840000000000011</v>
      </c>
      <c r="E553" s="3">
        <v>6586000</v>
      </c>
    </row>
    <row r="554" spans="1:5" x14ac:dyDescent="0.2">
      <c r="A554" s="1" t="s">
        <v>18</v>
      </c>
      <c r="B554" s="1">
        <v>5611</v>
      </c>
      <c r="C554" s="1">
        <v>9.7810000000000024</v>
      </c>
      <c r="D554" s="1">
        <v>0.30030000000000012</v>
      </c>
      <c r="E554" s="3">
        <v>1083000</v>
      </c>
    </row>
    <row r="555" spans="1:5" x14ac:dyDescent="0.2">
      <c r="A555" s="1" t="s">
        <v>18</v>
      </c>
      <c r="B555" s="1">
        <v>5612</v>
      </c>
      <c r="C555" s="1">
        <v>9.4520000000000017</v>
      </c>
      <c r="D555" s="1">
        <v>0.35560000000000014</v>
      </c>
      <c r="E555" s="3">
        <v>235000</v>
      </c>
    </row>
    <row r="556" spans="1:5" x14ac:dyDescent="0.2">
      <c r="A556" s="1" t="s">
        <v>18</v>
      </c>
      <c r="B556" s="1">
        <v>5613</v>
      </c>
      <c r="C556" s="1">
        <v>9.5550000000000015</v>
      </c>
      <c r="D556" s="1">
        <v>0.17090000000000005</v>
      </c>
      <c r="E556" s="3">
        <v>2447000</v>
      </c>
    </row>
    <row r="557" spans="1:5" x14ac:dyDescent="0.2">
      <c r="A557" s="1" t="s">
        <v>18</v>
      </c>
      <c r="B557" s="1">
        <v>5614</v>
      </c>
      <c r="C557" s="1">
        <v>9.4560000000000031</v>
      </c>
      <c r="D557" s="1">
        <v>0.21030000000000007</v>
      </c>
      <c r="E557" s="3">
        <v>1313000</v>
      </c>
    </row>
    <row r="558" spans="1:5" x14ac:dyDescent="0.2">
      <c r="A558" s="1" t="s">
        <v>18</v>
      </c>
      <c r="B558" s="1">
        <v>5615</v>
      </c>
      <c r="C558" s="1">
        <v>9.5710000000000015</v>
      </c>
      <c r="D558" s="1">
        <v>0.22250000000000006</v>
      </c>
      <c r="E558" s="3">
        <v>463000</v>
      </c>
    </row>
    <row r="559" spans="1:5" x14ac:dyDescent="0.2">
      <c r="A559" s="1" t="s">
        <v>18</v>
      </c>
      <c r="B559" s="1">
        <v>5616</v>
      </c>
      <c r="C559" s="1">
        <v>9.3520000000000021</v>
      </c>
      <c r="D559" s="1">
        <v>0.16130000000000005</v>
      </c>
      <c r="E559" s="3">
        <v>911000</v>
      </c>
    </row>
    <row r="560" spans="1:5" x14ac:dyDescent="0.2">
      <c r="A560" s="1" t="s">
        <v>18</v>
      </c>
      <c r="B560" s="1">
        <v>5617</v>
      </c>
      <c r="C560" s="1">
        <v>9.4270000000000014</v>
      </c>
      <c r="D560" s="1">
        <v>0.12450000000000004</v>
      </c>
      <c r="E560" s="3">
        <v>1254000</v>
      </c>
    </row>
    <row r="561" spans="1:5" x14ac:dyDescent="0.2">
      <c r="A561" s="1" t="s">
        <v>18</v>
      </c>
      <c r="B561" s="1">
        <v>5619</v>
      </c>
      <c r="C561" s="1">
        <v>9.6360000000000028</v>
      </c>
      <c r="D561" s="1">
        <v>0.24900000000000008</v>
      </c>
      <c r="E561" s="3">
        <v>438000</v>
      </c>
    </row>
    <row r="562" spans="1:5" x14ac:dyDescent="0.2">
      <c r="A562" s="1" t="s">
        <v>18</v>
      </c>
      <c r="B562" s="1">
        <v>5621</v>
      </c>
      <c r="C562" s="1">
        <v>9.4510000000000023</v>
      </c>
      <c r="D562" s="1">
        <v>0.33850000000000013</v>
      </c>
      <c r="E562" s="3">
        <v>194000</v>
      </c>
    </row>
    <row r="563" spans="1:5" x14ac:dyDescent="0.2">
      <c r="A563" s="1" t="s">
        <v>18</v>
      </c>
      <c r="B563" s="1">
        <v>5622</v>
      </c>
      <c r="C563" s="1">
        <v>9.6200000000000028</v>
      </c>
      <c r="D563" s="1">
        <v>0.40950000000000014</v>
      </c>
      <c r="E563" s="3">
        <v>265000</v>
      </c>
    </row>
    <row r="564" spans="1:5" x14ac:dyDescent="0.2">
      <c r="A564" s="1" t="s">
        <v>18</v>
      </c>
      <c r="B564" s="1">
        <v>5629</v>
      </c>
      <c r="C564" s="1">
        <v>9.5870000000000015</v>
      </c>
      <c r="D564" s="1">
        <v>0.35430000000000011</v>
      </c>
      <c r="E564" s="3">
        <v>179000</v>
      </c>
    </row>
    <row r="565" spans="1:5" x14ac:dyDescent="0.2">
      <c r="A565" s="1" t="s">
        <v>18</v>
      </c>
      <c r="B565" s="1">
        <v>6111</v>
      </c>
      <c r="C565" s="1">
        <v>9.5740000000000016</v>
      </c>
      <c r="D565" s="1">
        <v>0.12790000000000004</v>
      </c>
      <c r="E565" s="3">
        <v>26810000</v>
      </c>
    </row>
    <row r="566" spans="1:5" x14ac:dyDescent="0.2">
      <c r="A566" s="1" t="s">
        <v>18</v>
      </c>
      <c r="B566" s="1">
        <v>6112</v>
      </c>
      <c r="C566" s="1">
        <v>9.6900000000000031</v>
      </c>
      <c r="D566" s="1">
        <v>7.6520000000000032E-2</v>
      </c>
      <c r="E566" s="3">
        <v>1873000</v>
      </c>
    </row>
    <row r="567" spans="1:5" x14ac:dyDescent="0.2">
      <c r="A567" s="1" t="s">
        <v>18</v>
      </c>
      <c r="B567" s="1">
        <v>6113</v>
      </c>
      <c r="C567" s="1">
        <v>9.7890000000000015</v>
      </c>
      <c r="D567" s="1">
        <v>0.13930000000000003</v>
      </c>
      <c r="E567" s="3">
        <v>9070000</v>
      </c>
    </row>
    <row r="568" spans="1:5" x14ac:dyDescent="0.2">
      <c r="A568" s="1" t="s">
        <v>18</v>
      </c>
      <c r="B568" s="1">
        <v>6114</v>
      </c>
      <c r="C568" s="1">
        <v>9.6960000000000015</v>
      </c>
      <c r="D568" s="1">
        <v>0.23950000000000007</v>
      </c>
      <c r="E568" s="3">
        <v>187000</v>
      </c>
    </row>
    <row r="569" spans="1:5" x14ac:dyDescent="0.2">
      <c r="A569" s="1" t="s">
        <v>18</v>
      </c>
      <c r="B569" s="1">
        <v>6115</v>
      </c>
      <c r="C569" s="1">
        <v>9.5410000000000021</v>
      </c>
      <c r="D569" s="1">
        <v>0.18890000000000007</v>
      </c>
      <c r="E569" s="3">
        <v>311000</v>
      </c>
    </row>
    <row r="570" spans="1:5" x14ac:dyDescent="0.2">
      <c r="A570" s="1" t="s">
        <v>18</v>
      </c>
      <c r="B570" s="1">
        <v>6116</v>
      </c>
      <c r="C570" s="1">
        <v>9.5240000000000027</v>
      </c>
      <c r="D570" s="1">
        <v>5.2580000000000023E-2</v>
      </c>
      <c r="E570" s="3">
        <v>347000</v>
      </c>
    </row>
    <row r="571" spans="1:5" x14ac:dyDescent="0.2">
      <c r="A571" s="1" t="s">
        <v>18</v>
      </c>
      <c r="B571" s="1">
        <v>6117</v>
      </c>
      <c r="C571" s="1">
        <v>9.6460000000000026</v>
      </c>
      <c r="D571" s="1">
        <v>0.18670000000000006</v>
      </c>
      <c r="E571" s="3">
        <v>343000</v>
      </c>
    </row>
    <row r="572" spans="1:5" x14ac:dyDescent="0.2">
      <c r="A572" s="1" t="s">
        <v>18</v>
      </c>
      <c r="B572" s="1">
        <v>6211</v>
      </c>
      <c r="C572" s="1">
        <v>9.7910000000000021</v>
      </c>
      <c r="D572" s="1">
        <v>0.23010000000000008</v>
      </c>
      <c r="E572" s="3">
        <v>6640000</v>
      </c>
    </row>
    <row r="573" spans="1:5" x14ac:dyDescent="0.2">
      <c r="A573" s="1" t="s">
        <v>18</v>
      </c>
      <c r="B573" s="1">
        <v>6212</v>
      </c>
      <c r="C573" s="1">
        <v>9.5530000000000026</v>
      </c>
      <c r="D573" s="1">
        <v>0.12380000000000004</v>
      </c>
      <c r="E573" s="3">
        <v>1983000</v>
      </c>
    </row>
    <row r="574" spans="1:5" x14ac:dyDescent="0.2">
      <c r="A574" s="1" t="s">
        <v>18</v>
      </c>
      <c r="B574" s="1">
        <v>6213</v>
      </c>
      <c r="C574" s="1">
        <v>9.5420000000000016</v>
      </c>
      <c r="D574" s="1">
        <v>0.10980000000000004</v>
      </c>
      <c r="E574" s="3">
        <v>1521000</v>
      </c>
    </row>
    <row r="575" spans="1:5" x14ac:dyDescent="0.2">
      <c r="A575" s="1" t="s">
        <v>18</v>
      </c>
      <c r="B575" s="1">
        <v>6214</v>
      </c>
      <c r="C575" s="1">
        <v>9.5890000000000022</v>
      </c>
      <c r="D575" s="1">
        <v>0.25050000000000006</v>
      </c>
      <c r="E575" s="3">
        <v>2071000</v>
      </c>
    </row>
    <row r="576" spans="1:5" x14ac:dyDescent="0.2">
      <c r="A576" s="1" t="s">
        <v>18</v>
      </c>
      <c r="B576" s="1">
        <v>6215</v>
      </c>
      <c r="C576" s="1">
        <v>9.6000000000000014</v>
      </c>
      <c r="D576" s="1">
        <v>0.27870000000000011</v>
      </c>
      <c r="E576" s="3">
        <v>643000</v>
      </c>
    </row>
    <row r="577" spans="1:5" x14ac:dyDescent="0.2">
      <c r="A577" s="1" t="s">
        <v>18</v>
      </c>
      <c r="B577" s="1">
        <v>6216</v>
      </c>
      <c r="C577" s="1">
        <v>9.4870000000000019</v>
      </c>
      <c r="D577" s="1">
        <v>0.16630000000000006</v>
      </c>
      <c r="E577" s="3">
        <v>1605000</v>
      </c>
    </row>
    <row r="578" spans="1:5" x14ac:dyDescent="0.2">
      <c r="A578" s="1" t="s">
        <v>18</v>
      </c>
      <c r="B578" s="1">
        <v>6219</v>
      </c>
      <c r="C578" s="1">
        <v>9.4830000000000023</v>
      </c>
      <c r="D578" s="1">
        <v>0.23840000000000008</v>
      </c>
      <c r="E578" s="3">
        <v>551000</v>
      </c>
    </row>
    <row r="579" spans="1:5" x14ac:dyDescent="0.2">
      <c r="A579" s="1" t="s">
        <v>18</v>
      </c>
      <c r="B579" s="1">
        <v>6221</v>
      </c>
      <c r="C579" s="1">
        <v>9.6490000000000027</v>
      </c>
      <c r="D579" s="1">
        <v>0.23610000000000009</v>
      </c>
      <c r="E579" s="3">
        <v>16360000</v>
      </c>
    </row>
    <row r="580" spans="1:5" x14ac:dyDescent="0.2">
      <c r="A580" s="1" t="s">
        <v>18</v>
      </c>
      <c r="B580" s="1">
        <v>6222</v>
      </c>
      <c r="C580" s="1">
        <v>9.5070000000000014</v>
      </c>
      <c r="D580" s="1">
        <v>0.25620000000000009</v>
      </c>
      <c r="E580" s="3">
        <v>642000</v>
      </c>
    </row>
    <row r="581" spans="1:5" x14ac:dyDescent="0.2">
      <c r="A581" s="1" t="s">
        <v>18</v>
      </c>
      <c r="B581" s="1">
        <v>6223</v>
      </c>
      <c r="C581" s="1">
        <v>9.703000000000003</v>
      </c>
      <c r="D581" s="1">
        <v>0.25900000000000006</v>
      </c>
      <c r="E581" s="3">
        <v>674000</v>
      </c>
    </row>
    <row r="582" spans="1:5" x14ac:dyDescent="0.2">
      <c r="A582" s="1" t="s">
        <v>18</v>
      </c>
      <c r="B582" s="1">
        <v>6231</v>
      </c>
      <c r="C582" s="1">
        <v>9.3700000000000028</v>
      </c>
      <c r="D582" s="1">
        <v>0.16460000000000005</v>
      </c>
      <c r="E582" s="3">
        <v>2749000</v>
      </c>
    </row>
    <row r="583" spans="1:5" x14ac:dyDescent="0.2">
      <c r="A583" s="1" t="s">
        <v>18</v>
      </c>
      <c r="B583" s="1">
        <v>6232</v>
      </c>
      <c r="C583" s="1">
        <v>9.3150000000000031</v>
      </c>
      <c r="D583" s="1">
        <v>0.16910000000000006</v>
      </c>
      <c r="E583" s="3">
        <v>1209000</v>
      </c>
    </row>
    <row r="584" spans="1:5" x14ac:dyDescent="0.2">
      <c r="A584" s="1" t="s">
        <v>18</v>
      </c>
      <c r="B584" s="1">
        <v>6233</v>
      </c>
      <c r="C584" s="1">
        <v>9.3260000000000023</v>
      </c>
      <c r="D584" s="1">
        <v>0.11960000000000004</v>
      </c>
      <c r="E584" s="3">
        <v>978000</v>
      </c>
    </row>
    <row r="585" spans="1:5" x14ac:dyDescent="0.2">
      <c r="A585" s="1" t="s">
        <v>18</v>
      </c>
      <c r="B585" s="1">
        <v>6239</v>
      </c>
      <c r="C585" s="1">
        <v>9.3250000000000028</v>
      </c>
      <c r="D585" s="1">
        <v>0.14670000000000005</v>
      </c>
      <c r="E585" s="3">
        <v>316000</v>
      </c>
    </row>
    <row r="586" spans="1:5" x14ac:dyDescent="0.2">
      <c r="A586" s="1" t="s">
        <v>18</v>
      </c>
      <c r="B586" s="1">
        <v>6241</v>
      </c>
      <c r="C586" s="1">
        <v>9.344000000000003</v>
      </c>
      <c r="D586" s="1">
        <v>0.13150000000000003</v>
      </c>
      <c r="E586" s="3">
        <v>2517000</v>
      </c>
    </row>
    <row r="587" spans="1:5" x14ac:dyDescent="0.2">
      <c r="A587" s="1" t="s">
        <v>18</v>
      </c>
      <c r="B587" s="1">
        <v>6242</v>
      </c>
      <c r="C587" s="1">
        <v>9.4470000000000027</v>
      </c>
      <c r="D587" s="1">
        <v>0.12780000000000005</v>
      </c>
      <c r="E587" s="3">
        <v>314000</v>
      </c>
    </row>
    <row r="588" spans="1:5" x14ac:dyDescent="0.2">
      <c r="A588" s="1" t="s">
        <v>18</v>
      </c>
      <c r="B588" s="1">
        <v>6243</v>
      </c>
      <c r="C588" s="1">
        <v>9.3200000000000021</v>
      </c>
      <c r="D588" s="1">
        <v>0.11760000000000004</v>
      </c>
      <c r="E588" s="3">
        <v>554000</v>
      </c>
    </row>
    <row r="589" spans="1:5" x14ac:dyDescent="0.2">
      <c r="A589" s="1" t="s">
        <v>18</v>
      </c>
      <c r="B589" s="1">
        <v>6244</v>
      </c>
      <c r="C589" s="1">
        <v>9.179000000000002</v>
      </c>
      <c r="D589" s="1">
        <v>2.0250000000000008E-2</v>
      </c>
      <c r="E589" s="3">
        <v>1062000</v>
      </c>
    </row>
    <row r="590" spans="1:5" x14ac:dyDescent="0.2">
      <c r="A590" s="1" t="s">
        <v>18</v>
      </c>
      <c r="B590" s="1">
        <v>7111</v>
      </c>
      <c r="C590" s="1">
        <v>9.6380000000000017</v>
      </c>
      <c r="D590" s="1">
        <v>0.11750000000000003</v>
      </c>
      <c r="E590" s="3">
        <v>160000</v>
      </c>
    </row>
    <row r="591" spans="1:5" x14ac:dyDescent="0.2">
      <c r="A591" s="1" t="s">
        <v>18</v>
      </c>
      <c r="B591" s="1">
        <v>7112</v>
      </c>
      <c r="C591" s="1">
        <v>9.9110000000000031</v>
      </c>
      <c r="D591" s="1">
        <v>0.19350000000000006</v>
      </c>
      <c r="E591" s="3">
        <v>140000</v>
      </c>
    </row>
    <row r="592" spans="1:5" x14ac:dyDescent="0.2">
      <c r="A592" s="1" t="s">
        <v>18</v>
      </c>
      <c r="B592" s="1">
        <v>7113</v>
      </c>
      <c r="C592" s="1">
        <v>9.7570000000000014</v>
      </c>
      <c r="D592" s="1">
        <v>0.17110000000000006</v>
      </c>
      <c r="E592" s="3">
        <v>125000</v>
      </c>
    </row>
    <row r="593" spans="1:5" x14ac:dyDescent="0.2">
      <c r="A593" s="1" t="s">
        <v>18</v>
      </c>
      <c r="B593" s="1">
        <v>7114</v>
      </c>
      <c r="C593" s="1">
        <v>10.100000000000001</v>
      </c>
      <c r="D593" s="1">
        <v>0.21480000000000007</v>
      </c>
      <c r="E593" s="3">
        <v>38000</v>
      </c>
    </row>
    <row r="594" spans="1:5" x14ac:dyDescent="0.2">
      <c r="A594" s="1" t="s">
        <v>18</v>
      </c>
      <c r="B594" s="1">
        <v>7115</v>
      </c>
      <c r="C594" s="1">
        <v>9.767000000000003</v>
      </c>
      <c r="D594" s="1">
        <v>0.23680000000000007</v>
      </c>
      <c r="E594" s="3">
        <v>63000</v>
      </c>
    </row>
    <row r="595" spans="1:5" x14ac:dyDescent="0.2">
      <c r="A595" s="1" t="s">
        <v>18</v>
      </c>
      <c r="B595" s="1">
        <v>7121</v>
      </c>
      <c r="C595" s="1">
        <v>9.5930000000000017</v>
      </c>
      <c r="D595" s="1">
        <v>0.13630000000000003</v>
      </c>
      <c r="E595" s="3">
        <v>443000</v>
      </c>
    </row>
    <row r="596" spans="1:5" x14ac:dyDescent="0.2">
      <c r="A596" s="1" t="s">
        <v>18</v>
      </c>
      <c r="B596" s="1">
        <v>7131</v>
      </c>
      <c r="C596" s="1">
        <v>9.594000000000003</v>
      </c>
      <c r="D596" s="1">
        <v>6.7190000000000027E-2</v>
      </c>
      <c r="E596" s="3">
        <v>166000</v>
      </c>
    </row>
    <row r="597" spans="1:5" x14ac:dyDescent="0.2">
      <c r="A597" s="1" t="s">
        <v>18</v>
      </c>
      <c r="B597" s="1">
        <v>7132</v>
      </c>
      <c r="C597" s="1">
        <v>9.288000000000002</v>
      </c>
      <c r="D597" s="1">
        <v>0.16900000000000007</v>
      </c>
      <c r="E597" s="3">
        <v>405000</v>
      </c>
    </row>
    <row r="598" spans="1:5" x14ac:dyDescent="0.2">
      <c r="A598" s="1" t="s">
        <v>18</v>
      </c>
      <c r="B598" s="1">
        <v>7139</v>
      </c>
      <c r="C598" s="1">
        <v>9.5500000000000025</v>
      </c>
      <c r="D598" s="1">
        <v>0.10190000000000003</v>
      </c>
      <c r="E598" s="3">
        <v>1043000</v>
      </c>
    </row>
    <row r="599" spans="1:5" x14ac:dyDescent="0.2">
      <c r="A599" s="1" t="s">
        <v>18</v>
      </c>
      <c r="B599" s="1">
        <v>7211</v>
      </c>
      <c r="C599" s="1">
        <v>9.3940000000000019</v>
      </c>
      <c r="D599" s="1">
        <v>0.13280000000000003</v>
      </c>
      <c r="E599" s="3">
        <v>1798000</v>
      </c>
    </row>
    <row r="600" spans="1:5" x14ac:dyDescent="0.2">
      <c r="A600" s="1" t="s">
        <v>18</v>
      </c>
      <c r="B600" s="1">
        <v>7212</v>
      </c>
      <c r="C600" s="1">
        <v>9.4930000000000021</v>
      </c>
      <c r="D600" s="1">
        <v>7.1680000000000025E-3</v>
      </c>
      <c r="E600" s="3">
        <v>50000</v>
      </c>
    </row>
    <row r="601" spans="1:5" x14ac:dyDescent="0.2">
      <c r="A601" s="1" t="s">
        <v>18</v>
      </c>
      <c r="B601" s="1">
        <v>7213</v>
      </c>
      <c r="C601" s="1">
        <v>9.3450000000000024</v>
      </c>
      <c r="D601" s="1">
        <v>0.10090000000000003</v>
      </c>
      <c r="E601" s="3">
        <v>9700</v>
      </c>
    </row>
    <row r="602" spans="1:5" x14ac:dyDescent="0.2">
      <c r="A602" s="1" t="s">
        <v>18</v>
      </c>
      <c r="B602" s="1">
        <v>7223</v>
      </c>
      <c r="C602" s="1">
        <v>9.429000000000002</v>
      </c>
      <c r="D602" s="1">
        <v>8.9230000000000032E-2</v>
      </c>
      <c r="E602" s="3">
        <v>477000</v>
      </c>
    </row>
    <row r="603" spans="1:5" x14ac:dyDescent="0.2">
      <c r="A603" s="1" t="s">
        <v>18</v>
      </c>
      <c r="B603" s="1">
        <v>7224</v>
      </c>
      <c r="C603" s="1">
        <v>9.3220000000000027</v>
      </c>
      <c r="D603" s="1">
        <v>-0.10410000000000004</v>
      </c>
      <c r="E603" s="3">
        <v>147000</v>
      </c>
    </row>
    <row r="604" spans="1:5" x14ac:dyDescent="0.2">
      <c r="A604" s="1" t="s">
        <v>18</v>
      </c>
      <c r="B604" s="1">
        <v>7225</v>
      </c>
      <c r="C604" s="1">
        <v>9.3510000000000026</v>
      </c>
      <c r="D604" s="1">
        <v>3.7770000000000013E-3</v>
      </c>
      <c r="E604" s="3">
        <v>3095000</v>
      </c>
    </row>
    <row r="605" spans="1:5" x14ac:dyDescent="0.2">
      <c r="A605" s="1" t="s">
        <v>18</v>
      </c>
      <c r="B605" s="1">
        <v>8111</v>
      </c>
      <c r="C605" s="1">
        <v>9.4700000000000024</v>
      </c>
      <c r="D605" s="1">
        <v>0.13730000000000003</v>
      </c>
      <c r="E605" s="3">
        <v>859000</v>
      </c>
    </row>
    <row r="606" spans="1:5" x14ac:dyDescent="0.2">
      <c r="A606" s="1" t="s">
        <v>18</v>
      </c>
      <c r="B606" s="1">
        <v>8112</v>
      </c>
      <c r="C606" s="1">
        <v>9.6240000000000023</v>
      </c>
      <c r="D606" s="1">
        <v>0.27820000000000011</v>
      </c>
      <c r="E606" s="3">
        <v>226000</v>
      </c>
    </row>
    <row r="607" spans="1:5" x14ac:dyDescent="0.2">
      <c r="A607" s="1" t="s">
        <v>18</v>
      </c>
      <c r="B607" s="1">
        <v>8113</v>
      </c>
      <c r="C607" s="1">
        <v>9.5950000000000024</v>
      </c>
      <c r="D607" s="1">
        <v>0.29250000000000009</v>
      </c>
      <c r="E607" s="3">
        <v>330000</v>
      </c>
    </row>
    <row r="608" spans="1:5" x14ac:dyDescent="0.2">
      <c r="A608" s="1" t="s">
        <v>18</v>
      </c>
      <c r="B608" s="1">
        <v>8114</v>
      </c>
      <c r="C608" s="1">
        <v>9.4430000000000014</v>
      </c>
      <c r="D608" s="1">
        <v>8.4950000000000039E-2</v>
      </c>
      <c r="E608" s="3">
        <v>76000</v>
      </c>
    </row>
    <row r="609" spans="1:5" x14ac:dyDescent="0.2">
      <c r="A609" s="1" t="s">
        <v>18</v>
      </c>
      <c r="B609" s="1">
        <v>8121</v>
      </c>
      <c r="C609" s="1">
        <v>9.2950000000000017</v>
      </c>
      <c r="D609" s="1">
        <v>-9.7970000000000036E-3</v>
      </c>
      <c r="E609" s="3">
        <v>409000</v>
      </c>
    </row>
    <row r="610" spans="1:5" x14ac:dyDescent="0.2">
      <c r="A610" s="1" t="s">
        <v>18</v>
      </c>
      <c r="B610" s="1">
        <v>8122</v>
      </c>
      <c r="C610" s="1">
        <v>9.6090000000000018</v>
      </c>
      <c r="D610" s="1">
        <v>0.11480000000000004</v>
      </c>
      <c r="E610" s="3">
        <v>208000</v>
      </c>
    </row>
    <row r="611" spans="1:5" x14ac:dyDescent="0.2">
      <c r="A611" s="1" t="s">
        <v>18</v>
      </c>
      <c r="B611" s="1">
        <v>8123</v>
      </c>
      <c r="C611" s="1">
        <v>9.3900000000000023</v>
      </c>
      <c r="D611" s="1">
        <v>0.15320000000000006</v>
      </c>
      <c r="E611" s="3">
        <v>240000</v>
      </c>
    </row>
    <row r="612" spans="1:5" x14ac:dyDescent="0.2">
      <c r="A612" s="1" t="s">
        <v>18</v>
      </c>
      <c r="B612" s="1">
        <v>8129</v>
      </c>
      <c r="C612" s="1">
        <v>9.4410000000000025</v>
      </c>
      <c r="D612" s="1">
        <v>8.1160000000000038E-2</v>
      </c>
      <c r="E612" s="3">
        <v>225000</v>
      </c>
    </row>
    <row r="613" spans="1:5" x14ac:dyDescent="0.2">
      <c r="A613" s="1" t="s">
        <v>18</v>
      </c>
      <c r="B613" s="1">
        <v>8131</v>
      </c>
      <c r="C613" s="1">
        <v>9.490000000000002</v>
      </c>
      <c r="D613" s="1">
        <v>2.0900000000000009E-2</v>
      </c>
      <c r="E613" s="3">
        <v>314000</v>
      </c>
    </row>
    <row r="614" spans="1:5" x14ac:dyDescent="0.2">
      <c r="A614" s="1" t="s">
        <v>18</v>
      </c>
      <c r="B614" s="1">
        <v>8132</v>
      </c>
      <c r="C614" s="1">
        <v>9.7530000000000019</v>
      </c>
      <c r="D614" s="1">
        <v>0.22450000000000006</v>
      </c>
      <c r="E614" s="3">
        <v>389000</v>
      </c>
    </row>
    <row r="615" spans="1:5" x14ac:dyDescent="0.2">
      <c r="A615" s="1" t="s">
        <v>18</v>
      </c>
      <c r="B615" s="1">
        <v>8133</v>
      </c>
      <c r="C615" s="1">
        <v>9.5800000000000018</v>
      </c>
      <c r="D615" s="1">
        <v>0.16480000000000006</v>
      </c>
      <c r="E615" s="3">
        <v>514000</v>
      </c>
    </row>
    <row r="616" spans="1:5" x14ac:dyDescent="0.2">
      <c r="A616" s="1" t="s">
        <v>18</v>
      </c>
      <c r="B616" s="1">
        <v>8134</v>
      </c>
      <c r="C616" s="1">
        <v>9.4970000000000017</v>
      </c>
      <c r="D616" s="1">
        <v>9.8200000000000037E-2</v>
      </c>
      <c r="E616" s="3">
        <v>349000</v>
      </c>
    </row>
    <row r="617" spans="1:5" x14ac:dyDescent="0.2">
      <c r="A617" s="1" t="s">
        <v>18</v>
      </c>
      <c r="B617" s="1">
        <v>8139</v>
      </c>
      <c r="C617" s="1">
        <v>9.767000000000003</v>
      </c>
      <c r="D617" s="1">
        <v>0.30130000000000012</v>
      </c>
      <c r="E617" s="3">
        <v>987000</v>
      </c>
    </row>
    <row r="618" spans="1:5" x14ac:dyDescent="0.2">
      <c r="A618" s="1" t="s">
        <v>18</v>
      </c>
      <c r="B618" s="1">
        <v>8141</v>
      </c>
      <c r="C618" s="1">
        <v>9.2520000000000024</v>
      </c>
      <c r="D618" s="1">
        <v>0.20250000000000007</v>
      </c>
      <c r="E618" s="3">
        <v>115000</v>
      </c>
    </row>
    <row r="619" spans="1:5" x14ac:dyDescent="0.2">
      <c r="A619" s="1" t="s">
        <v>18</v>
      </c>
      <c r="B619" s="1">
        <v>9211</v>
      </c>
      <c r="C619" s="1">
        <v>9.5200000000000031</v>
      </c>
      <c r="D619" s="1">
        <v>0.27190000000000009</v>
      </c>
      <c r="E619" s="3">
        <v>8261000</v>
      </c>
    </row>
    <row r="620" spans="1:5" x14ac:dyDescent="0.2">
      <c r="A620" s="1" t="s">
        <v>18</v>
      </c>
      <c r="B620" s="1">
        <v>9221</v>
      </c>
      <c r="C620" s="1">
        <v>9.5390000000000015</v>
      </c>
      <c r="D620" s="1">
        <v>0.33130000000000009</v>
      </c>
      <c r="E620" s="3">
        <v>5075000</v>
      </c>
    </row>
    <row r="621" spans="1:5" x14ac:dyDescent="0.2">
      <c r="A621" s="1" t="s">
        <v>18</v>
      </c>
      <c r="B621" s="1">
        <v>9231</v>
      </c>
      <c r="C621" s="1">
        <v>9.5340000000000025</v>
      </c>
      <c r="D621" s="1">
        <v>0.23940000000000008</v>
      </c>
      <c r="E621" s="3">
        <v>2265000</v>
      </c>
    </row>
    <row r="622" spans="1:5" x14ac:dyDescent="0.2">
      <c r="A622" s="1" t="s">
        <v>18</v>
      </c>
      <c r="B622" s="1">
        <v>9241</v>
      </c>
      <c r="C622" s="1">
        <v>9.6190000000000015</v>
      </c>
      <c r="D622" s="1">
        <v>0.23910000000000006</v>
      </c>
      <c r="E622" s="3">
        <v>773000</v>
      </c>
    </row>
    <row r="623" spans="1:5" x14ac:dyDescent="0.2">
      <c r="A623" s="1" t="s">
        <v>18</v>
      </c>
      <c r="B623" s="1">
        <v>9251</v>
      </c>
      <c r="C623" s="1">
        <v>9.5570000000000022</v>
      </c>
      <c r="D623" s="1">
        <v>0.24790000000000009</v>
      </c>
      <c r="E623" s="3">
        <v>242000</v>
      </c>
    </row>
    <row r="624" spans="1:5" x14ac:dyDescent="0.2">
      <c r="A624" s="1" t="s">
        <v>18</v>
      </c>
      <c r="B624" s="1">
        <v>9261</v>
      </c>
      <c r="C624" s="1">
        <v>9.6060000000000016</v>
      </c>
      <c r="D624" s="1">
        <v>0.24950000000000008</v>
      </c>
      <c r="E624" s="3">
        <v>1247000</v>
      </c>
    </row>
    <row r="625" spans="1:5" x14ac:dyDescent="0.2">
      <c r="A625" s="1" t="s">
        <v>18</v>
      </c>
      <c r="B625" s="1">
        <v>9281</v>
      </c>
      <c r="C625" s="1">
        <v>9.4250000000000025</v>
      </c>
      <c r="D625" s="1">
        <v>0.20620000000000008</v>
      </c>
      <c r="E625" s="3">
        <v>51500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F8E1-15F3-407F-8AD3-379AAC791BFE}">
  <dimension ref="A1:H14"/>
  <sheetViews>
    <sheetView zoomScale="86" zoomScaleNormal="86" workbookViewId="0">
      <selection activeCell="G6" activeCellId="1" sqref="B9:G12 B6:G6"/>
    </sheetView>
  </sheetViews>
  <sheetFormatPr baseColWidth="10" defaultColWidth="8.83203125" defaultRowHeight="15" x14ac:dyDescent="0.2"/>
  <cols>
    <col min="1" max="1" width="35" customWidth="1"/>
  </cols>
  <sheetData>
    <row r="1" spans="1:8" x14ac:dyDescent="0.2">
      <c r="A1" t="str">
        <f>"Ouput 5: Regressions coefficients of psi_j on industry effects from alternative specifications"</f>
        <v>Ouput 5: Regressions coefficients of psi_j on industry effects from alternative specifications</v>
      </c>
      <c r="B1" s="1"/>
      <c r="C1" s="1"/>
      <c r="D1" s="1"/>
      <c r="E1" s="1"/>
      <c r="F1" s="1"/>
      <c r="G1" s="1"/>
      <c r="H1" s="1"/>
    </row>
    <row r="2" spans="1:8" x14ac:dyDescent="0.2">
      <c r="B2" s="1"/>
      <c r="C2" s="1"/>
      <c r="D2" s="1"/>
      <c r="E2" s="1"/>
      <c r="F2" s="1"/>
      <c r="G2" s="1"/>
      <c r="H2" s="1"/>
    </row>
    <row r="3" spans="1:8" x14ac:dyDescent="0.2">
      <c r="A3" s="1" t="str">
        <f>""</f>
        <v/>
      </c>
      <c r="B3" s="1" t="str">
        <f>"(1)"</f>
        <v>(1)</v>
      </c>
      <c r="C3" s="1" t="str">
        <f>"(2)"</f>
        <v>(2)</v>
      </c>
      <c r="D3" s="1" t="str">
        <f>"(3)"</f>
        <v>(3)</v>
      </c>
      <c r="E3" s="1" t="str">
        <f>"(4)"</f>
        <v>(4)</v>
      </c>
      <c r="F3" s="1" t="str">
        <f>"(5)"</f>
        <v>(5)</v>
      </c>
      <c r="G3" s="1" t="str">
        <f>"(6)"</f>
        <v>(6)</v>
      </c>
      <c r="H3" s="1"/>
    </row>
    <row r="4" spans="1:8" x14ac:dyDescent="0.2">
      <c r="A4" s="1" t="str">
        <f>""</f>
        <v/>
      </c>
      <c r="B4" s="1" t="str">
        <f>"M1"</f>
        <v>M1</v>
      </c>
      <c r="C4" s="1" t="str">
        <f>"M2"</f>
        <v>M2</v>
      </c>
      <c r="D4" s="1" t="str">
        <f>"M4"</f>
        <v>M4</v>
      </c>
      <c r="E4" s="1" t="str">
        <f>"M6"</f>
        <v>M6</v>
      </c>
      <c r="F4" s="1" t="str">
        <f>"M7"</f>
        <v>M7</v>
      </c>
      <c r="G4" s="1" t="str">
        <f>"M8"</f>
        <v>M8</v>
      </c>
    </row>
    <row r="5" spans="1:8" x14ac:dyDescent="0.2">
      <c r="A5" s="6"/>
      <c r="B5" s="1"/>
      <c r="C5" s="1"/>
      <c r="D5" s="1"/>
      <c r="E5" s="1"/>
      <c r="F5" s="1"/>
      <c r="G5" s="1"/>
    </row>
    <row r="6" spans="1:8" x14ac:dyDescent="0.2">
      <c r="A6" s="6" t="s">
        <v>14</v>
      </c>
      <c r="B6" s="1" t="str">
        <f>"1.862***"</f>
        <v>1.862***</v>
      </c>
      <c r="C6" s="1" t="str">
        <f>"1.627***"</f>
        <v>1.627***</v>
      </c>
      <c r="D6" s="1" t="str">
        <f>"1.609***"</f>
        <v>1.609***</v>
      </c>
      <c r="E6" s="1" t="str">
        <f>"0.621***"</f>
        <v>0.621***</v>
      </c>
      <c r="F6" s="1" t="str">
        <f>"0.618***"</f>
        <v>0.618***</v>
      </c>
      <c r="G6" s="1" t="str">
        <f>"0.658***"</f>
        <v>0.658***</v>
      </c>
    </row>
    <row r="7" spans="1:8" x14ac:dyDescent="0.2">
      <c r="A7" s="6" t="str">
        <f>""</f>
        <v/>
      </c>
      <c r="B7" s="1" t="str">
        <f>"(0.115)"</f>
        <v>(0.115)</v>
      </c>
      <c r="C7" s="1" t="str">
        <f>"(0.127)"</f>
        <v>(0.127)</v>
      </c>
      <c r="D7" s="1" t="str">
        <f>"(0.116)"</f>
        <v>(0.116)</v>
      </c>
      <c r="E7" s="1" t="str">
        <f>"(0.0194)"</f>
        <v>(0.0194)</v>
      </c>
      <c r="F7" s="1" t="str">
        <f>"(0.0200)"</f>
        <v>(0.0200)</v>
      </c>
      <c r="G7" s="1" t="str">
        <f>"(0.0147)"</f>
        <v>(0.0147)</v>
      </c>
    </row>
    <row r="8" spans="1:8" x14ac:dyDescent="0.2">
      <c r="A8" s="6"/>
      <c r="B8" s="1"/>
      <c r="C8" s="1"/>
      <c r="D8" s="1"/>
      <c r="E8" s="1"/>
      <c r="F8" s="1"/>
      <c r="G8" s="1"/>
    </row>
    <row r="9" spans="1:8" x14ac:dyDescent="0.2">
      <c r="A9" s="6" t="str">
        <f>"Number of observations (industries)"</f>
        <v>Number of observations (industries)</v>
      </c>
      <c r="B9" s="7" t="str">
        <f t="shared" ref="B9" si="0">"300"</f>
        <v>300</v>
      </c>
      <c r="C9" s="7"/>
      <c r="D9" s="7"/>
      <c r="E9" s="7"/>
      <c r="F9" s="7"/>
      <c r="G9" s="7"/>
    </row>
    <row r="10" spans="1:8" x14ac:dyDescent="0.2">
      <c r="A10" s="6" t="s">
        <v>19</v>
      </c>
      <c r="B10" s="1" t="str">
        <f>"0.707"</f>
        <v>0.707</v>
      </c>
      <c r="C10" s="1" t="str">
        <f>"0.614"</f>
        <v>0.614</v>
      </c>
      <c r="D10" s="1" t="str">
        <f>"0.672"</f>
        <v>0.672</v>
      </c>
      <c r="E10" s="1" t="str">
        <f>"0.929"</f>
        <v>0.929</v>
      </c>
      <c r="F10" s="1" t="str">
        <f>"0.924"</f>
        <v>0.924</v>
      </c>
      <c r="G10" s="1" t="str">
        <f>"0.954"</f>
        <v>0.954</v>
      </c>
    </row>
    <row r="11" spans="1:8" x14ac:dyDescent="0.2">
      <c r="A11" s="6" t="s">
        <v>20</v>
      </c>
      <c r="B11" s="1" t="str">
        <f>"0.271"</f>
        <v>0.271</v>
      </c>
      <c r="C11" s="1" t="str">
        <f>"0.254"</f>
        <v>0.254</v>
      </c>
      <c r="D11" s="1" t="str">
        <f>"0.240"</f>
        <v>0.240</v>
      </c>
      <c r="E11" s="1" t="str">
        <f>"0.0788"</f>
        <v>0.0788</v>
      </c>
      <c r="F11" s="1" t="str">
        <f>"0.0787"</f>
        <v>0.0787</v>
      </c>
      <c r="G11" s="1" t="str">
        <f>"0.0824"</f>
        <v>0.0824</v>
      </c>
    </row>
    <row r="12" spans="1:8" x14ac:dyDescent="0.2">
      <c r="A12" s="6" t="s">
        <v>21</v>
      </c>
      <c r="B12" s="7" t="str">
        <f>"0.122"</f>
        <v>0.122</v>
      </c>
      <c r="C12" s="7"/>
      <c r="D12" s="7"/>
      <c r="E12" s="7"/>
      <c r="F12" s="7"/>
      <c r="G12" s="7"/>
    </row>
    <row r="13" spans="1:8" x14ac:dyDescent="0.2">
      <c r="B13" s="1"/>
      <c r="C13" s="1"/>
      <c r="D13" s="1"/>
      <c r="E13" s="1"/>
      <c r="F13" s="1"/>
      <c r="G13" s="1"/>
      <c r="H13" s="1"/>
    </row>
    <row r="14" spans="1:8" x14ac:dyDescent="0.2">
      <c r="B14" s="1"/>
      <c r="C14" s="1"/>
      <c r="D14" s="1"/>
      <c r="E14" s="1"/>
      <c r="F14" s="1"/>
      <c r="G14" s="1"/>
      <c r="H14" s="1"/>
    </row>
  </sheetData>
  <mergeCells count="2">
    <mergeCell ref="B12:G12"/>
    <mergeCell ref="B9:G9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4415-6D03-4208-93A5-941BDA14FA1F}">
  <dimension ref="A1:E825"/>
  <sheetViews>
    <sheetView tabSelected="1" zoomScale="85" zoomScaleNormal="85" workbookViewId="0">
      <selection activeCell="F13" sqref="F13"/>
    </sheetView>
  </sheetViews>
  <sheetFormatPr baseColWidth="10" defaultColWidth="8.83203125" defaultRowHeight="15" x14ac:dyDescent="0.2"/>
  <cols>
    <col min="1" max="1" width="18" style="1" customWidth="1"/>
    <col min="2" max="2" width="29.6640625" style="1" customWidth="1"/>
    <col min="3" max="3" width="15.5" style="1" customWidth="1"/>
    <col min="4" max="4" width="20.6640625" style="1" customWidth="1"/>
    <col min="5" max="5" width="29.6640625" style="1" customWidth="1"/>
    <col min="6" max="16384" width="8.83203125" style="1"/>
  </cols>
  <sheetData>
    <row r="1" spans="1:5" x14ac:dyDescent="0.2">
      <c r="A1" s="2" t="s">
        <v>22</v>
      </c>
      <c r="E1" s="3"/>
    </row>
    <row r="2" spans="1:5" x14ac:dyDescent="0.2">
      <c r="E2" s="3"/>
    </row>
    <row r="3" spans="1:5" x14ac:dyDescent="0.2">
      <c r="A3" s="1" t="s">
        <v>23</v>
      </c>
      <c r="B3" s="1" t="s">
        <v>11</v>
      </c>
      <c r="C3" s="1" t="s">
        <v>24</v>
      </c>
      <c r="D3" s="1" t="s">
        <v>25</v>
      </c>
      <c r="E3" s="3" t="s">
        <v>15</v>
      </c>
    </row>
    <row r="4" spans="1:5" x14ac:dyDescent="0.2">
      <c r="A4" s="1">
        <v>1</v>
      </c>
      <c r="B4" s="1">
        <v>1111</v>
      </c>
      <c r="C4" s="1">
        <v>9.2740000000000027</v>
      </c>
      <c r="D4" s="1">
        <v>0.18240000000000006</v>
      </c>
      <c r="E4" s="3">
        <v>9100</v>
      </c>
    </row>
    <row r="5" spans="1:5" x14ac:dyDescent="0.2">
      <c r="A5" s="1">
        <v>1</v>
      </c>
      <c r="B5" s="1">
        <v>1112</v>
      </c>
      <c r="C5" s="1">
        <v>9.2260000000000026</v>
      </c>
      <c r="D5" s="1">
        <v>0.14200000000000004</v>
      </c>
      <c r="E5" s="3">
        <v>62500</v>
      </c>
    </row>
    <row r="6" spans="1:5" x14ac:dyDescent="0.2">
      <c r="A6" s="1">
        <v>1</v>
      </c>
      <c r="B6" s="1">
        <v>1113</v>
      </c>
      <c r="C6" s="1">
        <v>9.1340000000000021</v>
      </c>
      <c r="D6" s="1">
        <v>0.14860000000000004</v>
      </c>
      <c r="E6" s="3">
        <v>227000</v>
      </c>
    </row>
    <row r="7" spans="1:5" x14ac:dyDescent="0.2">
      <c r="A7" s="1">
        <v>1</v>
      </c>
      <c r="B7" s="1">
        <v>1114</v>
      </c>
      <c r="C7" s="1">
        <v>9.1140000000000025</v>
      </c>
      <c r="D7" s="1">
        <v>7.6530000000000029E-2</v>
      </c>
      <c r="E7" s="3">
        <v>219000</v>
      </c>
    </row>
    <row r="8" spans="1:5" x14ac:dyDescent="0.2">
      <c r="A8" s="1">
        <v>1</v>
      </c>
      <c r="B8" s="1">
        <v>1121</v>
      </c>
      <c r="C8" s="1">
        <v>9.1340000000000021</v>
      </c>
      <c r="D8" s="1">
        <v>0.24380000000000007</v>
      </c>
      <c r="E8" s="3">
        <v>176000</v>
      </c>
    </row>
    <row r="9" spans="1:5" x14ac:dyDescent="0.2">
      <c r="A9" s="1">
        <v>1</v>
      </c>
      <c r="B9" s="1">
        <v>1123</v>
      </c>
      <c r="C9" s="1">
        <v>9.1250000000000018</v>
      </c>
      <c r="D9" s="1">
        <v>0.24750000000000008</v>
      </c>
      <c r="E9" s="3">
        <v>26500</v>
      </c>
    </row>
    <row r="10" spans="1:5" x14ac:dyDescent="0.2">
      <c r="A10" s="1">
        <v>1</v>
      </c>
      <c r="B10" s="1">
        <v>1129</v>
      </c>
      <c r="C10" s="1">
        <v>9.224000000000002</v>
      </c>
      <c r="D10" s="1">
        <v>0.12170000000000004</v>
      </c>
      <c r="E10" s="3">
        <v>12000</v>
      </c>
    </row>
    <row r="11" spans="1:5" x14ac:dyDescent="0.2">
      <c r="A11" s="1">
        <v>1</v>
      </c>
      <c r="B11" s="1">
        <v>1132</v>
      </c>
      <c r="C11" s="1">
        <v>9.1220000000000017</v>
      </c>
      <c r="D11" s="1">
        <v>0.13740000000000005</v>
      </c>
      <c r="E11" s="3">
        <v>1400</v>
      </c>
    </row>
    <row r="12" spans="1:5" x14ac:dyDescent="0.2">
      <c r="A12" s="1">
        <v>1</v>
      </c>
      <c r="B12" s="1">
        <v>1133</v>
      </c>
      <c r="C12" s="1">
        <v>9.3060000000000027</v>
      </c>
      <c r="D12" s="1">
        <v>0.18860000000000007</v>
      </c>
      <c r="E12" s="3">
        <v>10500</v>
      </c>
    </row>
    <row r="13" spans="1:5" x14ac:dyDescent="0.2">
      <c r="A13" s="1">
        <v>1</v>
      </c>
      <c r="B13" s="1">
        <v>1141</v>
      </c>
      <c r="C13" s="1">
        <v>9.3820000000000014</v>
      </c>
      <c r="D13" s="1">
        <v>0.23210000000000008</v>
      </c>
      <c r="E13" s="3">
        <v>4900</v>
      </c>
    </row>
    <row r="14" spans="1:5" x14ac:dyDescent="0.2">
      <c r="A14" s="1">
        <v>1</v>
      </c>
      <c r="B14" s="1">
        <v>1142</v>
      </c>
      <c r="C14" s="1">
        <v>9.4540000000000024</v>
      </c>
      <c r="D14" s="1">
        <v>5.1020000000000024E-2</v>
      </c>
      <c r="E14" s="3">
        <v>2600</v>
      </c>
    </row>
    <row r="15" spans="1:5" x14ac:dyDescent="0.2">
      <c r="A15" s="1">
        <v>1</v>
      </c>
      <c r="B15" s="1">
        <v>1151</v>
      </c>
      <c r="C15" s="1">
        <v>9.1130000000000013</v>
      </c>
      <c r="D15" s="1">
        <v>0.15000000000000005</v>
      </c>
      <c r="E15" s="3">
        <v>435000</v>
      </c>
    </row>
    <row r="16" spans="1:5" x14ac:dyDescent="0.2">
      <c r="A16" s="1">
        <v>1</v>
      </c>
      <c r="B16" s="1">
        <v>1153</v>
      </c>
      <c r="C16" s="1">
        <v>9.3480000000000025</v>
      </c>
      <c r="D16" s="1">
        <v>7.5230000000000033E-2</v>
      </c>
      <c r="E16" s="3">
        <v>12000</v>
      </c>
    </row>
    <row r="17" spans="1:5" x14ac:dyDescent="0.2">
      <c r="A17" s="1">
        <v>1</v>
      </c>
      <c r="B17" s="1">
        <v>2111</v>
      </c>
      <c r="C17" s="1">
        <v>9.7870000000000026</v>
      </c>
      <c r="D17" s="1">
        <v>0.5123000000000002</v>
      </c>
      <c r="E17" s="3">
        <v>316000</v>
      </c>
    </row>
    <row r="18" spans="1:5" x14ac:dyDescent="0.2">
      <c r="A18" s="1">
        <v>1</v>
      </c>
      <c r="B18" s="1">
        <v>2123</v>
      </c>
      <c r="C18" s="1">
        <v>9.4400000000000031</v>
      </c>
      <c r="D18" s="1">
        <v>0.3348000000000001</v>
      </c>
      <c r="E18" s="3">
        <v>79000</v>
      </c>
    </row>
    <row r="19" spans="1:5" x14ac:dyDescent="0.2">
      <c r="A19" s="1">
        <v>1</v>
      </c>
      <c r="B19" s="1">
        <v>2131</v>
      </c>
      <c r="C19" s="1">
        <v>9.506000000000002</v>
      </c>
      <c r="D19" s="1">
        <v>0.5466000000000002</v>
      </c>
      <c r="E19" s="3">
        <v>363000</v>
      </c>
    </row>
    <row r="20" spans="1:5" x14ac:dyDescent="0.2">
      <c r="A20" s="1">
        <v>1</v>
      </c>
      <c r="B20" s="1">
        <v>2211</v>
      </c>
      <c r="C20" s="1">
        <v>9.7170000000000023</v>
      </c>
      <c r="D20" s="1">
        <v>0.42000000000000015</v>
      </c>
      <c r="E20" s="3">
        <v>798000</v>
      </c>
    </row>
    <row r="21" spans="1:5" x14ac:dyDescent="0.2">
      <c r="A21" s="1">
        <v>1</v>
      </c>
      <c r="B21" s="1">
        <v>2212</v>
      </c>
      <c r="C21" s="1">
        <v>9.663000000000002</v>
      </c>
      <c r="D21" s="1">
        <v>0.54450000000000021</v>
      </c>
      <c r="E21" s="3">
        <v>178000</v>
      </c>
    </row>
    <row r="22" spans="1:5" x14ac:dyDescent="0.2">
      <c r="A22" s="1">
        <v>1</v>
      </c>
      <c r="B22" s="1">
        <v>2213</v>
      </c>
      <c r="C22" s="1">
        <v>9.4950000000000028</v>
      </c>
      <c r="D22" s="1">
        <v>0.24950000000000008</v>
      </c>
      <c r="E22" s="3">
        <v>288000</v>
      </c>
    </row>
    <row r="23" spans="1:5" x14ac:dyDescent="0.2">
      <c r="A23" s="1">
        <v>1</v>
      </c>
      <c r="B23" s="1">
        <v>2361</v>
      </c>
      <c r="C23" s="1">
        <v>9.4820000000000029</v>
      </c>
      <c r="D23" s="1">
        <v>0.19850000000000007</v>
      </c>
      <c r="E23" s="3">
        <v>785000</v>
      </c>
    </row>
    <row r="24" spans="1:5" x14ac:dyDescent="0.2">
      <c r="A24" s="1">
        <v>1</v>
      </c>
      <c r="B24" s="1">
        <v>2362</v>
      </c>
      <c r="C24" s="1">
        <v>9.5560000000000027</v>
      </c>
      <c r="D24" s="1">
        <v>0.25700000000000006</v>
      </c>
      <c r="E24" s="3">
        <v>1023000</v>
      </c>
    </row>
    <row r="25" spans="1:5" x14ac:dyDescent="0.2">
      <c r="A25" s="1">
        <v>1</v>
      </c>
      <c r="B25" s="1">
        <v>2371</v>
      </c>
      <c r="C25" s="1">
        <v>9.429000000000002</v>
      </c>
      <c r="D25" s="1">
        <v>0.25860000000000011</v>
      </c>
      <c r="E25" s="3">
        <v>521000</v>
      </c>
    </row>
    <row r="26" spans="1:5" x14ac:dyDescent="0.2">
      <c r="A26" s="1">
        <v>1</v>
      </c>
      <c r="B26" s="1">
        <v>2372</v>
      </c>
      <c r="C26" s="1">
        <v>9.5600000000000023</v>
      </c>
      <c r="D26" s="1">
        <v>0.20340000000000005</v>
      </c>
      <c r="E26" s="3">
        <v>78500</v>
      </c>
    </row>
    <row r="27" spans="1:5" x14ac:dyDescent="0.2">
      <c r="A27" s="1">
        <v>1</v>
      </c>
      <c r="B27" s="1">
        <v>2373</v>
      </c>
      <c r="C27" s="1">
        <v>9.4310000000000027</v>
      </c>
      <c r="D27" s="1">
        <v>0.2627000000000001</v>
      </c>
      <c r="E27" s="3">
        <v>673000</v>
      </c>
    </row>
    <row r="28" spans="1:5" x14ac:dyDescent="0.2">
      <c r="A28" s="1">
        <v>1</v>
      </c>
      <c r="B28" s="1">
        <v>2379</v>
      </c>
      <c r="C28" s="1">
        <v>9.4890000000000025</v>
      </c>
      <c r="D28" s="1">
        <v>0.28380000000000011</v>
      </c>
      <c r="E28" s="3">
        <v>175000</v>
      </c>
    </row>
    <row r="29" spans="1:5" x14ac:dyDescent="0.2">
      <c r="A29" s="1">
        <v>1</v>
      </c>
      <c r="B29" s="1">
        <v>2381</v>
      </c>
      <c r="C29" s="1">
        <v>9.3210000000000015</v>
      </c>
      <c r="D29" s="1">
        <v>0.14520000000000005</v>
      </c>
      <c r="E29" s="3">
        <v>1018000</v>
      </c>
    </row>
    <row r="30" spans="1:5" x14ac:dyDescent="0.2">
      <c r="A30" s="1">
        <v>1</v>
      </c>
      <c r="B30" s="1">
        <v>2382</v>
      </c>
      <c r="C30" s="1">
        <v>9.4280000000000026</v>
      </c>
      <c r="D30" s="1">
        <v>0.17370000000000005</v>
      </c>
      <c r="E30" s="3">
        <v>2998000</v>
      </c>
    </row>
    <row r="31" spans="1:5" x14ac:dyDescent="0.2">
      <c r="A31" s="1">
        <v>1</v>
      </c>
      <c r="B31" s="1">
        <v>2383</v>
      </c>
      <c r="C31" s="1">
        <v>9.3100000000000023</v>
      </c>
      <c r="D31" s="1">
        <v>0.11680000000000004</v>
      </c>
      <c r="E31" s="3">
        <v>862000</v>
      </c>
    </row>
    <row r="32" spans="1:5" x14ac:dyDescent="0.2">
      <c r="A32" s="1">
        <v>1</v>
      </c>
      <c r="B32" s="1">
        <v>2389</v>
      </c>
      <c r="C32" s="1">
        <v>9.3580000000000023</v>
      </c>
      <c r="D32" s="1">
        <v>0.18870000000000006</v>
      </c>
      <c r="E32" s="3">
        <v>682000</v>
      </c>
    </row>
    <row r="33" spans="1:5" x14ac:dyDescent="0.2">
      <c r="A33" s="1">
        <v>1</v>
      </c>
      <c r="B33" s="1">
        <v>3111</v>
      </c>
      <c r="C33" s="1">
        <v>9.3470000000000031</v>
      </c>
      <c r="D33" s="1">
        <v>0.44580000000000014</v>
      </c>
      <c r="E33" s="3">
        <v>65500</v>
      </c>
    </row>
    <row r="34" spans="1:5" x14ac:dyDescent="0.2">
      <c r="A34" s="1">
        <v>1</v>
      </c>
      <c r="B34" s="1">
        <v>3112</v>
      </c>
      <c r="C34" s="1">
        <v>9.3830000000000027</v>
      </c>
      <c r="D34" s="1">
        <v>0.34910000000000013</v>
      </c>
      <c r="E34" s="3">
        <v>55000</v>
      </c>
    </row>
    <row r="35" spans="1:5" x14ac:dyDescent="0.2">
      <c r="A35" s="1">
        <v>1</v>
      </c>
      <c r="B35" s="1">
        <v>3113</v>
      </c>
      <c r="C35" s="1">
        <v>9.3790000000000031</v>
      </c>
      <c r="D35" s="1">
        <v>0.27740000000000009</v>
      </c>
      <c r="E35" s="3">
        <v>51000</v>
      </c>
    </row>
    <row r="36" spans="1:5" x14ac:dyDescent="0.2">
      <c r="A36" s="1">
        <v>1</v>
      </c>
      <c r="B36" s="1">
        <v>3114</v>
      </c>
      <c r="C36" s="1">
        <v>9.1680000000000028</v>
      </c>
      <c r="D36" s="1">
        <v>0.30620000000000008</v>
      </c>
      <c r="E36" s="3">
        <v>254000</v>
      </c>
    </row>
    <row r="37" spans="1:5" x14ac:dyDescent="0.2">
      <c r="A37" s="1">
        <v>1</v>
      </c>
      <c r="B37" s="1">
        <v>3115</v>
      </c>
      <c r="C37" s="1">
        <v>9.3860000000000028</v>
      </c>
      <c r="D37" s="1">
        <v>0.47360000000000013</v>
      </c>
      <c r="E37" s="3">
        <v>292000</v>
      </c>
    </row>
    <row r="38" spans="1:5" x14ac:dyDescent="0.2">
      <c r="A38" s="1">
        <v>1</v>
      </c>
      <c r="B38" s="1">
        <v>3116</v>
      </c>
      <c r="C38" s="1">
        <v>9.0400000000000027</v>
      </c>
      <c r="D38" s="1">
        <v>0.27760000000000007</v>
      </c>
      <c r="E38" s="3">
        <v>294000</v>
      </c>
    </row>
    <row r="39" spans="1:5" x14ac:dyDescent="0.2">
      <c r="A39" s="1">
        <v>1</v>
      </c>
      <c r="B39" s="1">
        <v>3118</v>
      </c>
      <c r="C39" s="1">
        <v>9.1850000000000023</v>
      </c>
      <c r="D39" s="1">
        <v>0.20940000000000006</v>
      </c>
      <c r="E39" s="3">
        <v>310000</v>
      </c>
    </row>
    <row r="40" spans="1:5" x14ac:dyDescent="0.2">
      <c r="A40" s="1">
        <v>1</v>
      </c>
      <c r="B40" s="1">
        <v>3119</v>
      </c>
      <c r="C40" s="1">
        <v>9.2010000000000023</v>
      </c>
      <c r="D40" s="1">
        <v>0.2536000000000001</v>
      </c>
      <c r="E40" s="3">
        <v>176000</v>
      </c>
    </row>
    <row r="41" spans="1:5" x14ac:dyDescent="0.2">
      <c r="A41" s="1">
        <v>1</v>
      </c>
      <c r="B41" s="1">
        <v>3121</v>
      </c>
      <c r="C41" s="1">
        <v>9.3390000000000022</v>
      </c>
      <c r="D41" s="1">
        <v>0.2985000000000001</v>
      </c>
      <c r="E41" s="3">
        <v>392000</v>
      </c>
    </row>
    <row r="42" spans="1:5" x14ac:dyDescent="0.2">
      <c r="A42" s="1">
        <v>1</v>
      </c>
      <c r="B42" s="1">
        <v>3133</v>
      </c>
      <c r="C42" s="1">
        <v>9.2260000000000026</v>
      </c>
      <c r="D42" s="1">
        <v>8.452000000000004E-2</v>
      </c>
      <c r="E42" s="3">
        <v>12500</v>
      </c>
    </row>
    <row r="43" spans="1:5" x14ac:dyDescent="0.2">
      <c r="A43" s="1">
        <v>1</v>
      </c>
      <c r="B43" s="1">
        <v>3141</v>
      </c>
      <c r="C43" s="1">
        <v>9.1890000000000018</v>
      </c>
      <c r="D43" s="1">
        <v>3.7210000000000014E-2</v>
      </c>
      <c r="E43" s="3">
        <v>17500</v>
      </c>
    </row>
    <row r="44" spans="1:5" x14ac:dyDescent="0.2">
      <c r="A44" s="1">
        <v>1</v>
      </c>
      <c r="B44" s="1">
        <v>3149</v>
      </c>
      <c r="C44" s="1">
        <v>9.2700000000000014</v>
      </c>
      <c r="D44" s="1">
        <v>0.10060000000000004</v>
      </c>
      <c r="E44" s="3">
        <v>64000</v>
      </c>
    </row>
    <row r="45" spans="1:5" x14ac:dyDescent="0.2">
      <c r="A45" s="1">
        <v>1</v>
      </c>
      <c r="B45" s="1">
        <v>3151</v>
      </c>
      <c r="C45" s="1">
        <v>8.9490000000000016</v>
      </c>
      <c r="D45" s="1">
        <v>3.9570000000000015E-2</v>
      </c>
      <c r="E45" s="3">
        <v>2100</v>
      </c>
    </row>
    <row r="46" spans="1:5" x14ac:dyDescent="0.2">
      <c r="A46" s="1">
        <v>1</v>
      </c>
      <c r="B46" s="1">
        <v>3152</v>
      </c>
      <c r="C46" s="1">
        <v>9.1030000000000015</v>
      </c>
      <c r="D46" s="1">
        <v>0.12290000000000004</v>
      </c>
      <c r="E46" s="3">
        <v>73000</v>
      </c>
    </row>
    <row r="47" spans="1:5" x14ac:dyDescent="0.2">
      <c r="A47" s="1">
        <v>1</v>
      </c>
      <c r="B47" s="1">
        <v>3159</v>
      </c>
      <c r="C47" s="1">
        <v>9.2300000000000022</v>
      </c>
      <c r="D47" s="1">
        <v>5.9090000000000024E-2</v>
      </c>
      <c r="E47" s="3">
        <v>10500</v>
      </c>
    </row>
    <row r="48" spans="1:5" x14ac:dyDescent="0.2">
      <c r="A48" s="1">
        <v>1</v>
      </c>
      <c r="B48" s="1">
        <v>3161</v>
      </c>
      <c r="C48" s="1">
        <v>9.5270000000000028</v>
      </c>
      <c r="D48" s="1">
        <v>0.15200000000000005</v>
      </c>
      <c r="E48" s="3">
        <v>2400</v>
      </c>
    </row>
    <row r="49" spans="1:5" x14ac:dyDescent="0.2">
      <c r="A49" s="1">
        <v>1</v>
      </c>
      <c r="B49" s="1">
        <v>3162</v>
      </c>
      <c r="C49" s="1">
        <v>9.397000000000002</v>
      </c>
      <c r="D49" s="1">
        <v>-7.2270000000000029E-2</v>
      </c>
      <c r="E49" s="3">
        <v>1400</v>
      </c>
    </row>
    <row r="50" spans="1:5" x14ac:dyDescent="0.2">
      <c r="A50" s="1">
        <v>1</v>
      </c>
      <c r="B50" s="1">
        <v>3212</v>
      </c>
      <c r="C50" s="1">
        <v>9.2520000000000024</v>
      </c>
      <c r="D50" s="1">
        <v>0.13270000000000004</v>
      </c>
      <c r="E50" s="3">
        <v>50500</v>
      </c>
    </row>
    <row r="51" spans="1:5" x14ac:dyDescent="0.2">
      <c r="A51" s="1">
        <v>1</v>
      </c>
      <c r="B51" s="1">
        <v>3219</v>
      </c>
      <c r="C51" s="1">
        <v>9.2280000000000015</v>
      </c>
      <c r="D51" s="1">
        <v>0.12310000000000004</v>
      </c>
      <c r="E51" s="3">
        <v>147000</v>
      </c>
    </row>
    <row r="52" spans="1:5" x14ac:dyDescent="0.2">
      <c r="A52" s="1">
        <v>1</v>
      </c>
      <c r="B52" s="1">
        <v>3221</v>
      </c>
      <c r="C52" s="1">
        <v>9.4390000000000018</v>
      </c>
      <c r="D52" s="1">
        <v>0.48400000000000015</v>
      </c>
      <c r="E52" s="3">
        <v>40000</v>
      </c>
    </row>
    <row r="53" spans="1:5" x14ac:dyDescent="0.2">
      <c r="A53" s="1">
        <v>1</v>
      </c>
      <c r="B53" s="1">
        <v>3222</v>
      </c>
      <c r="C53" s="1">
        <v>9.3000000000000025</v>
      </c>
      <c r="D53" s="1">
        <v>0.32530000000000009</v>
      </c>
      <c r="E53" s="3">
        <v>271000</v>
      </c>
    </row>
    <row r="54" spans="1:5" x14ac:dyDescent="0.2">
      <c r="A54" s="1">
        <v>1</v>
      </c>
      <c r="B54" s="1">
        <v>3231</v>
      </c>
      <c r="C54" s="1">
        <v>9.3340000000000014</v>
      </c>
      <c r="D54" s="1">
        <v>0.13880000000000003</v>
      </c>
      <c r="E54" s="3">
        <v>543000</v>
      </c>
    </row>
    <row r="55" spans="1:5" x14ac:dyDescent="0.2">
      <c r="A55" s="1">
        <v>1</v>
      </c>
      <c r="B55" s="1">
        <v>3241</v>
      </c>
      <c r="C55" s="1">
        <v>9.5160000000000018</v>
      </c>
      <c r="D55" s="1">
        <v>0.41660000000000014</v>
      </c>
      <c r="E55" s="3">
        <v>121000</v>
      </c>
    </row>
    <row r="56" spans="1:5" x14ac:dyDescent="0.2">
      <c r="A56" s="1">
        <v>1</v>
      </c>
      <c r="B56" s="1">
        <v>3251</v>
      </c>
      <c r="C56" s="1">
        <v>9.5020000000000024</v>
      </c>
      <c r="D56" s="1">
        <v>0.33000000000000013</v>
      </c>
      <c r="E56" s="3">
        <v>52000</v>
      </c>
    </row>
    <row r="57" spans="1:5" x14ac:dyDescent="0.2">
      <c r="A57" s="1">
        <v>1</v>
      </c>
      <c r="B57" s="1">
        <v>3252</v>
      </c>
      <c r="C57" s="1">
        <v>9.4070000000000018</v>
      </c>
      <c r="D57" s="1">
        <v>0.48340000000000016</v>
      </c>
      <c r="E57" s="3">
        <v>35500</v>
      </c>
    </row>
    <row r="58" spans="1:5" x14ac:dyDescent="0.2">
      <c r="A58" s="1">
        <v>1</v>
      </c>
      <c r="B58" s="1">
        <v>3253</v>
      </c>
      <c r="C58" s="1">
        <v>9.5310000000000024</v>
      </c>
      <c r="D58" s="1">
        <v>0.37630000000000013</v>
      </c>
      <c r="E58" s="3">
        <v>75500</v>
      </c>
    </row>
    <row r="59" spans="1:5" x14ac:dyDescent="0.2">
      <c r="A59" s="1">
        <v>1</v>
      </c>
      <c r="B59" s="1">
        <v>3254</v>
      </c>
      <c r="C59" s="1">
        <v>9.4500000000000028</v>
      </c>
      <c r="D59" s="1">
        <v>0.2914000000000001</v>
      </c>
      <c r="E59" s="3">
        <v>263000</v>
      </c>
    </row>
    <row r="60" spans="1:5" x14ac:dyDescent="0.2">
      <c r="A60" s="1">
        <v>1</v>
      </c>
      <c r="B60" s="1">
        <v>3255</v>
      </c>
      <c r="C60" s="1">
        <v>9.4640000000000022</v>
      </c>
      <c r="D60" s="1">
        <v>0.29780000000000012</v>
      </c>
      <c r="E60" s="3">
        <v>94000</v>
      </c>
    </row>
    <row r="61" spans="1:5" x14ac:dyDescent="0.2">
      <c r="A61" s="1">
        <v>1</v>
      </c>
      <c r="B61" s="1">
        <v>3256</v>
      </c>
      <c r="C61" s="1">
        <v>9.3190000000000026</v>
      </c>
      <c r="D61" s="1">
        <v>0.24590000000000009</v>
      </c>
      <c r="E61" s="3">
        <v>90500</v>
      </c>
    </row>
    <row r="62" spans="1:5" x14ac:dyDescent="0.2">
      <c r="A62" s="1">
        <v>1</v>
      </c>
      <c r="B62" s="1">
        <v>3259</v>
      </c>
      <c r="C62" s="1">
        <v>9.4650000000000016</v>
      </c>
      <c r="D62" s="1">
        <v>0.27790000000000009</v>
      </c>
      <c r="E62" s="3">
        <v>33500</v>
      </c>
    </row>
    <row r="63" spans="1:5" x14ac:dyDescent="0.2">
      <c r="A63" s="1">
        <v>1</v>
      </c>
      <c r="B63" s="1">
        <v>3261</v>
      </c>
      <c r="C63" s="1">
        <v>9.2520000000000024</v>
      </c>
      <c r="D63" s="1">
        <v>0.21600000000000008</v>
      </c>
      <c r="E63" s="3">
        <v>410000</v>
      </c>
    </row>
    <row r="64" spans="1:5" x14ac:dyDescent="0.2">
      <c r="A64" s="1">
        <v>1</v>
      </c>
      <c r="B64" s="1">
        <v>3262</v>
      </c>
      <c r="C64" s="1">
        <v>9.3720000000000017</v>
      </c>
      <c r="D64" s="1">
        <v>0.2914000000000001</v>
      </c>
      <c r="E64" s="3">
        <v>57000</v>
      </c>
    </row>
    <row r="65" spans="1:5" x14ac:dyDescent="0.2">
      <c r="A65" s="1">
        <v>1</v>
      </c>
      <c r="B65" s="1">
        <v>3272</v>
      </c>
      <c r="C65" s="1">
        <v>9.2600000000000016</v>
      </c>
      <c r="D65" s="1">
        <v>0.3111000000000001</v>
      </c>
      <c r="E65" s="3">
        <v>96000</v>
      </c>
    </row>
    <row r="66" spans="1:5" x14ac:dyDescent="0.2">
      <c r="A66" s="1">
        <v>1</v>
      </c>
      <c r="B66" s="1">
        <v>3273</v>
      </c>
      <c r="C66" s="1">
        <v>9.3380000000000027</v>
      </c>
      <c r="D66" s="1">
        <v>0.31220000000000009</v>
      </c>
      <c r="E66" s="3">
        <v>373000</v>
      </c>
    </row>
    <row r="67" spans="1:5" x14ac:dyDescent="0.2">
      <c r="A67" s="1">
        <v>1</v>
      </c>
      <c r="B67" s="1">
        <v>3274</v>
      </c>
      <c r="C67" s="1">
        <v>9.4180000000000028</v>
      </c>
      <c r="D67" s="1">
        <v>0.43800000000000017</v>
      </c>
      <c r="E67" s="3">
        <v>17500</v>
      </c>
    </row>
    <row r="68" spans="1:5" x14ac:dyDescent="0.2">
      <c r="A68" s="1">
        <v>1</v>
      </c>
      <c r="B68" s="1">
        <v>3279</v>
      </c>
      <c r="C68" s="1">
        <v>9.4030000000000022</v>
      </c>
      <c r="D68" s="1">
        <v>0.30640000000000012</v>
      </c>
      <c r="E68" s="3">
        <v>107000</v>
      </c>
    </row>
    <row r="69" spans="1:5" x14ac:dyDescent="0.2">
      <c r="A69" s="1">
        <v>1</v>
      </c>
      <c r="B69" s="1">
        <v>3311</v>
      </c>
      <c r="C69" s="1">
        <v>9.4730000000000025</v>
      </c>
      <c r="D69" s="1">
        <v>0.35790000000000011</v>
      </c>
      <c r="E69" s="3">
        <v>46500</v>
      </c>
    </row>
    <row r="70" spans="1:5" x14ac:dyDescent="0.2">
      <c r="A70" s="1">
        <v>1</v>
      </c>
      <c r="B70" s="1">
        <v>3312</v>
      </c>
      <c r="C70" s="1">
        <v>9.3680000000000021</v>
      </c>
      <c r="D70" s="1">
        <v>0.25280000000000008</v>
      </c>
      <c r="E70" s="3">
        <v>23500</v>
      </c>
    </row>
    <row r="71" spans="1:5" x14ac:dyDescent="0.2">
      <c r="A71" s="1">
        <v>1</v>
      </c>
      <c r="B71" s="1">
        <v>3314</v>
      </c>
      <c r="C71" s="1">
        <v>9.4230000000000018</v>
      </c>
      <c r="D71" s="1">
        <v>0.43590000000000012</v>
      </c>
      <c r="E71" s="3">
        <v>89000</v>
      </c>
    </row>
    <row r="72" spans="1:5" x14ac:dyDescent="0.2">
      <c r="A72" s="1">
        <v>1</v>
      </c>
      <c r="B72" s="1">
        <v>3315</v>
      </c>
      <c r="C72" s="1">
        <v>9.2890000000000015</v>
      </c>
      <c r="D72" s="1">
        <v>0.31400000000000011</v>
      </c>
      <c r="E72" s="3">
        <v>60500</v>
      </c>
    </row>
    <row r="73" spans="1:5" x14ac:dyDescent="0.2">
      <c r="A73" s="1">
        <v>1</v>
      </c>
      <c r="B73" s="1">
        <v>3321</v>
      </c>
      <c r="C73" s="1">
        <v>9.3140000000000018</v>
      </c>
      <c r="D73" s="1">
        <v>0.26700000000000007</v>
      </c>
      <c r="E73" s="3">
        <v>46000</v>
      </c>
    </row>
    <row r="74" spans="1:5" x14ac:dyDescent="0.2">
      <c r="A74" s="1">
        <v>1</v>
      </c>
      <c r="B74" s="1">
        <v>3323</v>
      </c>
      <c r="C74" s="1">
        <v>9.3480000000000025</v>
      </c>
      <c r="D74" s="1">
        <v>0.17800000000000005</v>
      </c>
      <c r="E74" s="3">
        <v>444000</v>
      </c>
    </row>
    <row r="75" spans="1:5" x14ac:dyDescent="0.2">
      <c r="A75" s="1">
        <v>1</v>
      </c>
      <c r="B75" s="1">
        <v>3324</v>
      </c>
      <c r="C75" s="1">
        <v>9.3950000000000014</v>
      </c>
      <c r="D75" s="1">
        <v>0.3524000000000001</v>
      </c>
      <c r="E75" s="3">
        <v>90000</v>
      </c>
    </row>
    <row r="76" spans="1:5" x14ac:dyDescent="0.2">
      <c r="A76" s="1">
        <v>1</v>
      </c>
      <c r="B76" s="1">
        <v>3325</v>
      </c>
      <c r="C76" s="1">
        <v>9.3110000000000017</v>
      </c>
      <c r="D76" s="1">
        <v>0.16400000000000006</v>
      </c>
      <c r="E76" s="3">
        <v>10500</v>
      </c>
    </row>
    <row r="77" spans="1:5" x14ac:dyDescent="0.2">
      <c r="A77" s="1">
        <v>1</v>
      </c>
      <c r="B77" s="1">
        <v>3326</v>
      </c>
      <c r="C77" s="1">
        <v>9.3090000000000028</v>
      </c>
      <c r="D77" s="1">
        <v>0.16090000000000004</v>
      </c>
      <c r="E77" s="3">
        <v>33000</v>
      </c>
    </row>
    <row r="78" spans="1:5" x14ac:dyDescent="0.2">
      <c r="A78" s="1">
        <v>1</v>
      </c>
      <c r="B78" s="1">
        <v>3327</v>
      </c>
      <c r="C78" s="1">
        <v>9.4030000000000022</v>
      </c>
      <c r="D78" s="1">
        <v>0.17550000000000004</v>
      </c>
      <c r="E78" s="3">
        <v>188000</v>
      </c>
    </row>
    <row r="79" spans="1:5" x14ac:dyDescent="0.2">
      <c r="A79" s="1">
        <v>1</v>
      </c>
      <c r="B79" s="1">
        <v>3328</v>
      </c>
      <c r="C79" s="1">
        <v>9.2370000000000019</v>
      </c>
      <c r="D79" s="1">
        <v>0.17010000000000006</v>
      </c>
      <c r="E79" s="3">
        <v>84500</v>
      </c>
    </row>
    <row r="80" spans="1:5" x14ac:dyDescent="0.2">
      <c r="A80" s="1">
        <v>1</v>
      </c>
      <c r="B80" s="1">
        <v>3329</v>
      </c>
      <c r="C80" s="1">
        <v>9.3470000000000031</v>
      </c>
      <c r="D80" s="1">
        <v>0.20530000000000007</v>
      </c>
      <c r="E80" s="3">
        <v>197000</v>
      </c>
    </row>
    <row r="81" spans="1:5" x14ac:dyDescent="0.2">
      <c r="A81" s="1">
        <v>1</v>
      </c>
      <c r="B81" s="1">
        <v>3331</v>
      </c>
      <c r="C81" s="1">
        <v>9.3740000000000023</v>
      </c>
      <c r="D81" s="1">
        <v>0.32490000000000008</v>
      </c>
      <c r="E81" s="3">
        <v>131000</v>
      </c>
    </row>
    <row r="82" spans="1:5" x14ac:dyDescent="0.2">
      <c r="A82" s="1">
        <v>1</v>
      </c>
      <c r="B82" s="1">
        <v>3332</v>
      </c>
      <c r="C82" s="1">
        <v>9.4770000000000021</v>
      </c>
      <c r="D82" s="1">
        <v>0.22170000000000006</v>
      </c>
      <c r="E82" s="3">
        <v>71500</v>
      </c>
    </row>
    <row r="83" spans="1:5" x14ac:dyDescent="0.2">
      <c r="A83" s="1">
        <v>1</v>
      </c>
      <c r="B83" s="1">
        <v>3333</v>
      </c>
      <c r="C83" s="1">
        <v>9.7180000000000017</v>
      </c>
      <c r="D83" s="1">
        <v>0.27710000000000007</v>
      </c>
      <c r="E83" s="3">
        <v>205000</v>
      </c>
    </row>
    <row r="84" spans="1:5" x14ac:dyDescent="0.2">
      <c r="A84" s="1">
        <v>1</v>
      </c>
      <c r="B84" s="1">
        <v>3334</v>
      </c>
      <c r="C84" s="1">
        <v>9.3460000000000019</v>
      </c>
      <c r="D84" s="1">
        <v>0.27810000000000007</v>
      </c>
      <c r="E84" s="3">
        <v>261000</v>
      </c>
    </row>
    <row r="85" spans="1:5" x14ac:dyDescent="0.2">
      <c r="A85" s="1">
        <v>1</v>
      </c>
      <c r="B85" s="1">
        <v>3335</v>
      </c>
      <c r="C85" s="1">
        <v>9.4330000000000016</v>
      </c>
      <c r="D85" s="1">
        <v>0.26080000000000009</v>
      </c>
      <c r="E85" s="3">
        <v>92000</v>
      </c>
    </row>
    <row r="86" spans="1:5" x14ac:dyDescent="0.2">
      <c r="A86" s="1">
        <v>1</v>
      </c>
      <c r="B86" s="1">
        <v>3339</v>
      </c>
      <c r="C86" s="1">
        <v>9.4920000000000027</v>
      </c>
      <c r="D86" s="1">
        <v>0.27920000000000011</v>
      </c>
      <c r="E86" s="3">
        <v>344000</v>
      </c>
    </row>
    <row r="87" spans="1:5" x14ac:dyDescent="0.2">
      <c r="A87" s="1">
        <v>1</v>
      </c>
      <c r="B87" s="1">
        <v>3341</v>
      </c>
      <c r="C87" s="1">
        <v>9.5920000000000023</v>
      </c>
      <c r="D87" s="1">
        <v>0.30040000000000011</v>
      </c>
      <c r="E87" s="3">
        <v>80000</v>
      </c>
    </row>
    <row r="88" spans="1:5" x14ac:dyDescent="0.2">
      <c r="A88" s="1">
        <v>1</v>
      </c>
      <c r="B88" s="1">
        <v>3342</v>
      </c>
      <c r="C88" s="1">
        <v>9.6590000000000025</v>
      </c>
      <c r="D88" s="1">
        <v>0.37740000000000012</v>
      </c>
      <c r="E88" s="3">
        <v>208000</v>
      </c>
    </row>
    <row r="89" spans="1:5" x14ac:dyDescent="0.2">
      <c r="A89" s="1">
        <v>1</v>
      </c>
      <c r="B89" s="1">
        <v>3344</v>
      </c>
      <c r="C89" s="1">
        <v>9.506000000000002</v>
      </c>
      <c r="D89" s="1">
        <v>0.25370000000000009</v>
      </c>
      <c r="E89" s="3">
        <v>281000</v>
      </c>
    </row>
    <row r="90" spans="1:5" x14ac:dyDescent="0.2">
      <c r="A90" s="1">
        <v>1</v>
      </c>
      <c r="B90" s="1">
        <v>3345</v>
      </c>
      <c r="C90" s="1">
        <v>9.6590000000000025</v>
      </c>
      <c r="D90" s="1">
        <v>0.3081000000000001</v>
      </c>
      <c r="E90" s="3">
        <v>469000</v>
      </c>
    </row>
    <row r="91" spans="1:5" x14ac:dyDescent="0.2">
      <c r="A91" s="1">
        <v>1</v>
      </c>
      <c r="B91" s="1">
        <v>3352</v>
      </c>
      <c r="C91" s="1">
        <v>9.3030000000000026</v>
      </c>
      <c r="D91" s="1">
        <v>4.1480000000000017E-2</v>
      </c>
      <c r="E91" s="3">
        <v>4300</v>
      </c>
    </row>
    <row r="92" spans="1:5" x14ac:dyDescent="0.2">
      <c r="A92" s="1">
        <v>1</v>
      </c>
      <c r="B92" s="1">
        <v>3353</v>
      </c>
      <c r="C92" s="1">
        <v>9.4700000000000024</v>
      </c>
      <c r="D92" s="1">
        <v>0.26290000000000008</v>
      </c>
      <c r="E92" s="3">
        <v>104000</v>
      </c>
    </row>
    <row r="93" spans="1:5" x14ac:dyDescent="0.2">
      <c r="A93" s="1">
        <v>1</v>
      </c>
      <c r="B93" s="1">
        <v>3359</v>
      </c>
      <c r="C93" s="1">
        <v>9.3950000000000014</v>
      </c>
      <c r="D93" s="1">
        <v>0.3071000000000001</v>
      </c>
      <c r="E93" s="3">
        <v>105000</v>
      </c>
    </row>
    <row r="94" spans="1:5" x14ac:dyDescent="0.2">
      <c r="A94" s="1">
        <v>1</v>
      </c>
      <c r="B94" s="1">
        <v>3363</v>
      </c>
      <c r="C94" s="1">
        <v>9.2870000000000026</v>
      </c>
      <c r="D94" s="1">
        <v>0.28530000000000011</v>
      </c>
      <c r="E94" s="3">
        <v>470000</v>
      </c>
    </row>
    <row r="95" spans="1:5" x14ac:dyDescent="0.2">
      <c r="A95" s="1">
        <v>1</v>
      </c>
      <c r="B95" s="1">
        <v>3364</v>
      </c>
      <c r="C95" s="1">
        <v>9.6700000000000017</v>
      </c>
      <c r="D95" s="1">
        <v>0.35910000000000014</v>
      </c>
      <c r="E95" s="3">
        <v>663000</v>
      </c>
    </row>
    <row r="96" spans="1:5" x14ac:dyDescent="0.2">
      <c r="A96" s="1">
        <v>1</v>
      </c>
      <c r="B96" s="1">
        <v>3365</v>
      </c>
      <c r="C96" s="1">
        <v>9.1870000000000029</v>
      </c>
      <c r="D96" s="1">
        <v>0.40090000000000015</v>
      </c>
      <c r="E96" s="3">
        <v>4400</v>
      </c>
    </row>
    <row r="97" spans="1:5" x14ac:dyDescent="0.2">
      <c r="A97" s="1">
        <v>1</v>
      </c>
      <c r="B97" s="1">
        <v>3366</v>
      </c>
      <c r="C97" s="1">
        <v>9.3090000000000028</v>
      </c>
      <c r="D97" s="1">
        <v>0.23090000000000008</v>
      </c>
      <c r="E97" s="3">
        <v>146000</v>
      </c>
    </row>
    <row r="98" spans="1:5" x14ac:dyDescent="0.2">
      <c r="A98" s="1">
        <v>1</v>
      </c>
      <c r="B98" s="1">
        <v>3369</v>
      </c>
      <c r="C98" s="1">
        <v>9.3340000000000014</v>
      </c>
      <c r="D98" s="1">
        <v>0.13600000000000004</v>
      </c>
      <c r="E98" s="3">
        <v>15000</v>
      </c>
    </row>
    <row r="99" spans="1:5" x14ac:dyDescent="0.2">
      <c r="A99" s="1">
        <v>1</v>
      </c>
      <c r="B99" s="1">
        <v>3371</v>
      </c>
      <c r="C99" s="1">
        <v>9.2840000000000025</v>
      </c>
      <c r="D99" s="1">
        <v>9.5700000000000035E-2</v>
      </c>
      <c r="E99" s="3">
        <v>159000</v>
      </c>
    </row>
    <row r="100" spans="1:5" x14ac:dyDescent="0.2">
      <c r="A100" s="1">
        <v>1</v>
      </c>
      <c r="B100" s="1">
        <v>3372</v>
      </c>
      <c r="C100" s="1">
        <v>9.333000000000002</v>
      </c>
      <c r="D100" s="1">
        <v>0.13160000000000005</v>
      </c>
      <c r="E100" s="3">
        <v>72500</v>
      </c>
    </row>
    <row r="101" spans="1:5" x14ac:dyDescent="0.2">
      <c r="A101" s="1">
        <v>1</v>
      </c>
      <c r="B101" s="1">
        <v>3391</v>
      </c>
      <c r="C101" s="1">
        <v>9.408000000000003</v>
      </c>
      <c r="D101" s="1">
        <v>0.26760000000000006</v>
      </c>
      <c r="E101" s="3">
        <v>603000</v>
      </c>
    </row>
    <row r="102" spans="1:5" x14ac:dyDescent="0.2">
      <c r="A102" s="1">
        <v>1</v>
      </c>
      <c r="B102" s="1">
        <v>3399</v>
      </c>
      <c r="C102" s="1">
        <v>9.2820000000000018</v>
      </c>
      <c r="D102" s="1">
        <v>0.13810000000000006</v>
      </c>
      <c r="E102" s="3">
        <v>340000</v>
      </c>
    </row>
    <row r="103" spans="1:5" x14ac:dyDescent="0.2">
      <c r="A103" s="1">
        <v>1</v>
      </c>
      <c r="B103" s="1">
        <v>4231</v>
      </c>
      <c r="C103" s="1">
        <v>9.408000000000003</v>
      </c>
      <c r="D103" s="1">
        <v>0.17900000000000005</v>
      </c>
      <c r="E103" s="3">
        <v>452000</v>
      </c>
    </row>
    <row r="104" spans="1:5" x14ac:dyDescent="0.2">
      <c r="A104" s="1">
        <v>1</v>
      </c>
      <c r="B104" s="1">
        <v>4232</v>
      </c>
      <c r="C104" s="1">
        <v>9.4410000000000025</v>
      </c>
      <c r="D104" s="1">
        <v>0.16850000000000007</v>
      </c>
      <c r="E104" s="3">
        <v>113000</v>
      </c>
    </row>
    <row r="105" spans="1:5" x14ac:dyDescent="0.2">
      <c r="A105" s="1">
        <v>1</v>
      </c>
      <c r="B105" s="1">
        <v>4233</v>
      </c>
      <c r="C105" s="1">
        <v>9.3980000000000015</v>
      </c>
      <c r="D105" s="1">
        <v>0.21620000000000006</v>
      </c>
      <c r="E105" s="3">
        <v>336000</v>
      </c>
    </row>
    <row r="106" spans="1:5" x14ac:dyDescent="0.2">
      <c r="A106" s="1">
        <v>1</v>
      </c>
      <c r="B106" s="1">
        <v>4234</v>
      </c>
      <c r="C106" s="1">
        <v>9.6450000000000031</v>
      </c>
      <c r="D106" s="1">
        <v>0.29000000000000009</v>
      </c>
      <c r="E106" s="3">
        <v>1402000</v>
      </c>
    </row>
    <row r="107" spans="1:5" x14ac:dyDescent="0.2">
      <c r="A107" s="1">
        <v>1</v>
      </c>
      <c r="B107" s="1">
        <v>4235</v>
      </c>
      <c r="C107" s="1">
        <v>9.4480000000000022</v>
      </c>
      <c r="D107" s="1">
        <v>0.24070000000000008</v>
      </c>
      <c r="E107" s="3">
        <v>135000</v>
      </c>
    </row>
    <row r="108" spans="1:5" x14ac:dyDescent="0.2">
      <c r="A108" s="1">
        <v>1</v>
      </c>
      <c r="B108" s="1">
        <v>4236</v>
      </c>
      <c r="C108" s="1">
        <v>9.5710000000000015</v>
      </c>
      <c r="D108" s="1">
        <v>0.23630000000000007</v>
      </c>
      <c r="E108" s="3">
        <v>552000</v>
      </c>
    </row>
    <row r="109" spans="1:5" x14ac:dyDescent="0.2">
      <c r="A109" s="1">
        <v>1</v>
      </c>
      <c r="B109" s="1">
        <v>4237</v>
      </c>
      <c r="C109" s="1">
        <v>9.5180000000000025</v>
      </c>
      <c r="D109" s="1">
        <v>0.20470000000000008</v>
      </c>
      <c r="E109" s="3">
        <v>457000</v>
      </c>
    </row>
    <row r="110" spans="1:5" x14ac:dyDescent="0.2">
      <c r="A110" s="1">
        <v>1</v>
      </c>
      <c r="B110" s="1">
        <v>4238</v>
      </c>
      <c r="C110" s="1">
        <v>9.5160000000000018</v>
      </c>
      <c r="D110" s="1">
        <v>0.22580000000000008</v>
      </c>
      <c r="E110" s="3">
        <v>956000</v>
      </c>
    </row>
    <row r="111" spans="1:5" x14ac:dyDescent="0.2">
      <c r="A111" s="1">
        <v>1</v>
      </c>
      <c r="B111" s="1">
        <v>4239</v>
      </c>
      <c r="C111" s="1">
        <v>9.3850000000000016</v>
      </c>
      <c r="D111" s="1">
        <v>0.15520000000000006</v>
      </c>
      <c r="E111" s="3">
        <v>419000</v>
      </c>
    </row>
    <row r="112" spans="1:5" x14ac:dyDescent="0.2">
      <c r="A112" s="1">
        <v>1</v>
      </c>
      <c r="B112" s="1">
        <v>4241</v>
      </c>
      <c r="C112" s="1">
        <v>9.4680000000000017</v>
      </c>
      <c r="D112" s="1">
        <v>0.19040000000000007</v>
      </c>
      <c r="E112" s="3">
        <v>152000</v>
      </c>
    </row>
    <row r="113" spans="1:5" x14ac:dyDescent="0.2">
      <c r="A113" s="1">
        <v>1</v>
      </c>
      <c r="B113" s="1">
        <v>4242</v>
      </c>
      <c r="C113" s="1">
        <v>9.663000000000002</v>
      </c>
      <c r="D113" s="1">
        <v>0.34480000000000011</v>
      </c>
      <c r="E113" s="3">
        <v>473000</v>
      </c>
    </row>
    <row r="114" spans="1:5" x14ac:dyDescent="0.2">
      <c r="A114" s="1">
        <v>1</v>
      </c>
      <c r="B114" s="1">
        <v>4243</v>
      </c>
      <c r="C114" s="1">
        <v>9.3580000000000023</v>
      </c>
      <c r="D114" s="1">
        <v>0.13260000000000005</v>
      </c>
      <c r="E114" s="3">
        <v>134000</v>
      </c>
    </row>
    <row r="115" spans="1:5" x14ac:dyDescent="0.2">
      <c r="A115" s="1">
        <v>1</v>
      </c>
      <c r="B115" s="1">
        <v>4244</v>
      </c>
      <c r="C115" s="1">
        <v>9.3540000000000028</v>
      </c>
      <c r="D115" s="1">
        <v>0.27400000000000008</v>
      </c>
      <c r="E115" s="3">
        <v>1323000</v>
      </c>
    </row>
    <row r="116" spans="1:5" x14ac:dyDescent="0.2">
      <c r="A116" s="1">
        <v>1</v>
      </c>
      <c r="B116" s="1">
        <v>4245</v>
      </c>
      <c r="C116" s="1">
        <v>9.5730000000000022</v>
      </c>
      <c r="D116" s="1">
        <v>0.23390000000000008</v>
      </c>
      <c r="E116" s="3">
        <v>25500</v>
      </c>
    </row>
    <row r="117" spans="1:5" x14ac:dyDescent="0.2">
      <c r="A117" s="1">
        <v>1</v>
      </c>
      <c r="B117" s="1">
        <v>4246</v>
      </c>
      <c r="C117" s="1">
        <v>9.5080000000000027</v>
      </c>
      <c r="D117" s="1">
        <v>0.27290000000000009</v>
      </c>
      <c r="E117" s="3">
        <v>191000</v>
      </c>
    </row>
    <row r="118" spans="1:5" x14ac:dyDescent="0.2">
      <c r="A118" s="1">
        <v>1</v>
      </c>
      <c r="B118" s="1">
        <v>4247</v>
      </c>
      <c r="C118" s="1">
        <v>9.4670000000000023</v>
      </c>
      <c r="D118" s="1">
        <v>0.32710000000000011</v>
      </c>
      <c r="E118" s="3">
        <v>111000</v>
      </c>
    </row>
    <row r="119" spans="1:5" x14ac:dyDescent="0.2">
      <c r="A119" s="1">
        <v>1</v>
      </c>
      <c r="B119" s="1">
        <v>4248</v>
      </c>
      <c r="C119" s="1">
        <v>9.4480000000000022</v>
      </c>
      <c r="D119" s="1">
        <v>0.2990000000000001</v>
      </c>
      <c r="E119" s="3">
        <v>405000</v>
      </c>
    </row>
    <row r="120" spans="1:5" x14ac:dyDescent="0.2">
      <c r="A120" s="1">
        <v>1</v>
      </c>
      <c r="B120" s="1">
        <v>4249</v>
      </c>
      <c r="C120" s="1">
        <v>9.3780000000000019</v>
      </c>
      <c r="D120" s="1">
        <v>0.16990000000000005</v>
      </c>
      <c r="E120" s="3">
        <v>463000</v>
      </c>
    </row>
    <row r="121" spans="1:5" x14ac:dyDescent="0.2">
      <c r="A121" s="1">
        <v>1</v>
      </c>
      <c r="B121" s="1">
        <v>4251</v>
      </c>
      <c r="C121" s="1">
        <v>9.6390000000000029</v>
      </c>
      <c r="D121" s="1">
        <v>0.27460000000000007</v>
      </c>
      <c r="E121" s="3">
        <v>1089000</v>
      </c>
    </row>
    <row r="122" spans="1:5" x14ac:dyDescent="0.2">
      <c r="A122" s="1">
        <v>1</v>
      </c>
      <c r="B122" s="1">
        <v>4411</v>
      </c>
      <c r="C122" s="1">
        <v>9.501000000000003</v>
      </c>
      <c r="D122" s="1">
        <v>0.19290000000000007</v>
      </c>
      <c r="E122" s="3">
        <v>1936000</v>
      </c>
    </row>
    <row r="123" spans="1:5" x14ac:dyDescent="0.2">
      <c r="A123" s="1">
        <v>1</v>
      </c>
      <c r="B123" s="1">
        <v>4412</v>
      </c>
      <c r="C123" s="1">
        <v>9.4490000000000016</v>
      </c>
      <c r="D123" s="1">
        <v>0.12370000000000005</v>
      </c>
      <c r="E123" s="3">
        <v>269000</v>
      </c>
    </row>
    <row r="124" spans="1:5" x14ac:dyDescent="0.2">
      <c r="A124" s="1">
        <v>1</v>
      </c>
      <c r="B124" s="1">
        <v>4413</v>
      </c>
      <c r="C124" s="1">
        <v>9.2930000000000028</v>
      </c>
      <c r="D124" s="1">
        <v>9.5090000000000036E-2</v>
      </c>
      <c r="E124" s="3">
        <v>724000</v>
      </c>
    </row>
    <row r="125" spans="1:5" x14ac:dyDescent="0.2">
      <c r="A125" s="1">
        <v>1</v>
      </c>
      <c r="B125" s="1">
        <v>4421</v>
      </c>
      <c r="C125" s="1">
        <v>9.3350000000000026</v>
      </c>
      <c r="D125" s="1">
        <v>0.13510000000000005</v>
      </c>
      <c r="E125" s="3">
        <v>350000</v>
      </c>
    </row>
    <row r="126" spans="1:5" x14ac:dyDescent="0.2">
      <c r="A126" s="1">
        <v>1</v>
      </c>
      <c r="B126" s="1">
        <v>4422</v>
      </c>
      <c r="C126" s="1">
        <v>9.360000000000003</v>
      </c>
      <c r="D126" s="1">
        <v>6.6720000000000029E-2</v>
      </c>
      <c r="E126" s="3">
        <v>228000</v>
      </c>
    </row>
    <row r="127" spans="1:5" x14ac:dyDescent="0.2">
      <c r="A127" s="1">
        <v>1</v>
      </c>
      <c r="B127" s="1">
        <v>4431</v>
      </c>
      <c r="C127" s="1">
        <v>9.3890000000000029</v>
      </c>
      <c r="D127" s="1">
        <v>0.18900000000000006</v>
      </c>
      <c r="E127" s="3">
        <v>845000</v>
      </c>
    </row>
    <row r="128" spans="1:5" x14ac:dyDescent="0.2">
      <c r="A128" s="1">
        <v>1</v>
      </c>
      <c r="B128" s="1">
        <v>4441</v>
      </c>
      <c r="C128" s="1">
        <v>9.3000000000000025</v>
      </c>
      <c r="D128" s="1">
        <v>5.6800000000000024E-2</v>
      </c>
      <c r="E128" s="3">
        <v>1354000</v>
      </c>
    </row>
    <row r="129" spans="1:5" x14ac:dyDescent="0.2">
      <c r="A129" s="1">
        <v>1</v>
      </c>
      <c r="B129" s="1">
        <v>4442</v>
      </c>
      <c r="C129" s="1">
        <v>9.3180000000000014</v>
      </c>
      <c r="D129" s="1">
        <v>4.2490000000000021E-2</v>
      </c>
      <c r="E129" s="3">
        <v>105000</v>
      </c>
    </row>
    <row r="130" spans="1:5" x14ac:dyDescent="0.2">
      <c r="A130" s="1">
        <v>1</v>
      </c>
      <c r="B130" s="1">
        <v>4451</v>
      </c>
      <c r="C130" s="1">
        <v>9.2220000000000013</v>
      </c>
      <c r="D130" s="1">
        <v>5.0630000000000022E-2</v>
      </c>
      <c r="E130" s="3">
        <v>2852000</v>
      </c>
    </row>
    <row r="131" spans="1:5" x14ac:dyDescent="0.2">
      <c r="A131" s="1">
        <v>1</v>
      </c>
      <c r="B131" s="1">
        <v>4452</v>
      </c>
      <c r="C131" s="1">
        <v>9.2370000000000019</v>
      </c>
      <c r="D131" s="1">
        <v>5.1050000000000019E-2</v>
      </c>
      <c r="E131" s="3">
        <v>150000</v>
      </c>
    </row>
    <row r="132" spans="1:5" x14ac:dyDescent="0.2">
      <c r="A132" s="1">
        <v>1</v>
      </c>
      <c r="B132" s="1">
        <v>4453</v>
      </c>
      <c r="C132" s="1">
        <v>9.2330000000000023</v>
      </c>
      <c r="D132" s="1">
        <v>-6.9610000000000028E-3</v>
      </c>
      <c r="E132" s="3">
        <v>75500</v>
      </c>
    </row>
    <row r="133" spans="1:5" x14ac:dyDescent="0.2">
      <c r="A133" s="1">
        <v>1</v>
      </c>
      <c r="B133" s="1">
        <v>4461</v>
      </c>
      <c r="C133" s="1">
        <v>9.3690000000000015</v>
      </c>
      <c r="D133" s="1">
        <v>8.4870000000000043E-2</v>
      </c>
      <c r="E133" s="3">
        <v>1347000</v>
      </c>
    </row>
    <row r="134" spans="1:5" x14ac:dyDescent="0.2">
      <c r="A134" s="1">
        <v>1</v>
      </c>
      <c r="B134" s="1">
        <v>4471</v>
      </c>
      <c r="C134" s="1">
        <v>9.1050000000000022</v>
      </c>
      <c r="D134" s="1">
        <v>3.7660000000000013E-2</v>
      </c>
      <c r="E134" s="3">
        <v>551000</v>
      </c>
    </row>
    <row r="135" spans="1:5" x14ac:dyDescent="0.2">
      <c r="A135" s="1">
        <v>1</v>
      </c>
      <c r="B135" s="1">
        <v>4481</v>
      </c>
      <c r="C135" s="1">
        <v>9.3130000000000024</v>
      </c>
      <c r="D135" s="1">
        <v>7.7340000000000034E-2</v>
      </c>
      <c r="E135" s="3">
        <v>688000</v>
      </c>
    </row>
    <row r="136" spans="1:5" x14ac:dyDescent="0.2">
      <c r="A136" s="1">
        <v>1</v>
      </c>
      <c r="B136" s="1">
        <v>4482</v>
      </c>
      <c r="C136" s="1">
        <v>9.256000000000002</v>
      </c>
      <c r="D136" s="1">
        <v>9.4870000000000038E-2</v>
      </c>
      <c r="E136" s="3">
        <v>139000</v>
      </c>
    </row>
    <row r="137" spans="1:5" x14ac:dyDescent="0.2">
      <c r="A137" s="1">
        <v>1</v>
      </c>
      <c r="B137" s="1">
        <v>4483</v>
      </c>
      <c r="C137" s="1">
        <v>9.4010000000000016</v>
      </c>
      <c r="D137" s="1">
        <v>0.11540000000000003</v>
      </c>
      <c r="E137" s="3">
        <v>175000</v>
      </c>
    </row>
    <row r="138" spans="1:5" x14ac:dyDescent="0.2">
      <c r="A138" s="1">
        <v>1</v>
      </c>
      <c r="B138" s="1">
        <v>4511</v>
      </c>
      <c r="C138" s="1">
        <v>9.2790000000000017</v>
      </c>
      <c r="D138" s="1">
        <v>1.7790000000000007E-2</v>
      </c>
      <c r="E138" s="3">
        <v>385000</v>
      </c>
    </row>
    <row r="139" spans="1:5" x14ac:dyDescent="0.2">
      <c r="A139" s="1">
        <v>1</v>
      </c>
      <c r="B139" s="1">
        <v>4512</v>
      </c>
      <c r="C139" s="1">
        <v>9.2380000000000013</v>
      </c>
      <c r="D139" s="1">
        <v>3.1210000000000014E-3</v>
      </c>
      <c r="E139" s="3">
        <v>61500</v>
      </c>
    </row>
    <row r="140" spans="1:5" x14ac:dyDescent="0.2">
      <c r="A140" s="1">
        <v>1</v>
      </c>
      <c r="B140" s="1">
        <v>4521</v>
      </c>
      <c r="C140" s="1">
        <v>9.1840000000000028</v>
      </c>
      <c r="D140" s="1">
        <v>3.7270000000000018E-2</v>
      </c>
      <c r="E140" s="3">
        <v>1252000</v>
      </c>
    </row>
    <row r="141" spans="1:5" x14ac:dyDescent="0.2">
      <c r="A141" s="1">
        <v>1</v>
      </c>
      <c r="B141" s="1">
        <v>4529</v>
      </c>
      <c r="C141" s="1">
        <v>9.1520000000000028</v>
      </c>
      <c r="D141" s="1">
        <v>2.181000000000001E-2</v>
      </c>
      <c r="E141" s="3">
        <v>2056000</v>
      </c>
    </row>
    <row r="142" spans="1:5" x14ac:dyDescent="0.2">
      <c r="A142" s="1">
        <v>1</v>
      </c>
      <c r="B142" s="1">
        <v>4531</v>
      </c>
      <c r="C142" s="1">
        <v>9.2430000000000021</v>
      </c>
      <c r="D142" s="1">
        <v>-3.0560000000000014E-2</v>
      </c>
      <c r="E142" s="3">
        <v>48500</v>
      </c>
    </row>
    <row r="143" spans="1:5" x14ac:dyDescent="0.2">
      <c r="A143" s="1">
        <v>1</v>
      </c>
      <c r="B143" s="1">
        <v>4532</v>
      </c>
      <c r="C143" s="1">
        <v>9.3480000000000025</v>
      </c>
      <c r="D143" s="1">
        <v>9.5590000000000036E-2</v>
      </c>
      <c r="E143" s="3">
        <v>267000</v>
      </c>
    </row>
    <row r="144" spans="1:5" x14ac:dyDescent="0.2">
      <c r="A144" s="1">
        <v>1</v>
      </c>
      <c r="B144" s="1">
        <v>4533</v>
      </c>
      <c r="C144" s="1">
        <v>9.1520000000000028</v>
      </c>
      <c r="D144" s="1">
        <v>8.0020000000000022E-3</v>
      </c>
      <c r="E144" s="3">
        <v>98500</v>
      </c>
    </row>
    <row r="145" spans="1:5" x14ac:dyDescent="0.2">
      <c r="A145" s="1">
        <v>1</v>
      </c>
      <c r="B145" s="1">
        <v>4539</v>
      </c>
      <c r="C145" s="1">
        <v>9.2840000000000025</v>
      </c>
      <c r="D145" s="1">
        <v>5.8380000000000022E-2</v>
      </c>
      <c r="E145" s="3">
        <v>336000</v>
      </c>
    </row>
    <row r="146" spans="1:5" x14ac:dyDescent="0.2">
      <c r="A146" s="1">
        <v>1</v>
      </c>
      <c r="B146" s="1">
        <v>4541</v>
      </c>
      <c r="C146" s="1">
        <v>9.3580000000000023</v>
      </c>
      <c r="D146" s="1">
        <v>0.16390000000000005</v>
      </c>
      <c r="E146" s="3">
        <v>688000</v>
      </c>
    </row>
    <row r="147" spans="1:5" x14ac:dyDescent="0.2">
      <c r="A147" s="1">
        <v>1</v>
      </c>
      <c r="B147" s="1">
        <v>4542</v>
      </c>
      <c r="C147" s="1">
        <v>9.2110000000000021</v>
      </c>
      <c r="D147" s="1">
        <v>0.10560000000000003</v>
      </c>
      <c r="E147" s="3">
        <v>47000</v>
      </c>
    </row>
    <row r="148" spans="1:5" x14ac:dyDescent="0.2">
      <c r="A148" s="1">
        <v>1</v>
      </c>
      <c r="B148" s="1">
        <v>4543</v>
      </c>
      <c r="C148" s="1">
        <v>9.349000000000002</v>
      </c>
      <c r="D148" s="1">
        <v>0.21680000000000008</v>
      </c>
      <c r="E148" s="3">
        <v>164000</v>
      </c>
    </row>
    <row r="149" spans="1:5" x14ac:dyDescent="0.2">
      <c r="A149" s="1">
        <v>1</v>
      </c>
      <c r="B149" s="1">
        <v>4811</v>
      </c>
      <c r="C149" s="1">
        <v>9.6460000000000026</v>
      </c>
      <c r="D149" s="1">
        <v>0.17060000000000006</v>
      </c>
      <c r="E149" s="3">
        <v>964000</v>
      </c>
    </row>
    <row r="150" spans="1:5" x14ac:dyDescent="0.2">
      <c r="A150" s="1">
        <v>1</v>
      </c>
      <c r="B150" s="1">
        <v>4812</v>
      </c>
      <c r="C150" s="1">
        <v>9.8890000000000029</v>
      </c>
      <c r="D150" s="1">
        <v>0.33060000000000012</v>
      </c>
      <c r="E150" s="3">
        <v>198000</v>
      </c>
    </row>
    <row r="151" spans="1:5" x14ac:dyDescent="0.2">
      <c r="A151" s="1">
        <v>1</v>
      </c>
      <c r="B151" s="1">
        <v>4821</v>
      </c>
      <c r="C151" s="1">
        <v>9.3690000000000015</v>
      </c>
      <c r="D151" s="1">
        <v>0.2793000000000001</v>
      </c>
      <c r="E151" s="3">
        <v>950</v>
      </c>
    </row>
    <row r="152" spans="1:5" x14ac:dyDescent="0.2">
      <c r="A152" s="1">
        <v>1</v>
      </c>
      <c r="B152" s="1">
        <v>4831</v>
      </c>
      <c r="C152" s="1">
        <v>9.6090000000000018</v>
      </c>
      <c r="D152" s="1">
        <v>0.32110000000000011</v>
      </c>
      <c r="E152" s="3">
        <v>317000</v>
      </c>
    </row>
    <row r="153" spans="1:5" x14ac:dyDescent="0.2">
      <c r="A153" s="1">
        <v>1</v>
      </c>
      <c r="B153" s="1">
        <v>4841</v>
      </c>
      <c r="C153" s="1">
        <v>9.333000000000002</v>
      </c>
      <c r="D153" s="1">
        <v>0.23850000000000007</v>
      </c>
      <c r="E153" s="3">
        <v>1177000</v>
      </c>
    </row>
    <row r="154" spans="1:5" x14ac:dyDescent="0.2">
      <c r="A154" s="1">
        <v>1</v>
      </c>
      <c r="B154" s="1">
        <v>4842</v>
      </c>
      <c r="C154" s="1">
        <v>9.3310000000000031</v>
      </c>
      <c r="D154" s="1">
        <v>0.24430000000000007</v>
      </c>
      <c r="E154" s="3">
        <v>528000</v>
      </c>
    </row>
    <row r="155" spans="1:5" x14ac:dyDescent="0.2">
      <c r="A155" s="1">
        <v>1</v>
      </c>
      <c r="B155" s="1">
        <v>4851</v>
      </c>
      <c r="C155" s="1">
        <v>9.3610000000000024</v>
      </c>
      <c r="D155" s="1">
        <v>0.25200000000000006</v>
      </c>
      <c r="E155" s="3">
        <v>285000</v>
      </c>
    </row>
    <row r="156" spans="1:5" x14ac:dyDescent="0.2">
      <c r="A156" s="1">
        <v>1</v>
      </c>
      <c r="B156" s="1">
        <v>4852</v>
      </c>
      <c r="C156" s="1">
        <v>9.1950000000000021</v>
      </c>
      <c r="D156" s="1">
        <v>0.14020000000000005</v>
      </c>
      <c r="E156" s="3">
        <v>15500</v>
      </c>
    </row>
    <row r="157" spans="1:5" x14ac:dyDescent="0.2">
      <c r="A157" s="1">
        <v>1</v>
      </c>
      <c r="B157" s="1">
        <v>4853</v>
      </c>
      <c r="C157" s="1">
        <v>9.203000000000003</v>
      </c>
      <c r="D157" s="1">
        <v>4.2250000000000017E-2</v>
      </c>
      <c r="E157" s="3">
        <v>52000</v>
      </c>
    </row>
    <row r="158" spans="1:5" x14ac:dyDescent="0.2">
      <c r="A158" s="1">
        <v>1</v>
      </c>
      <c r="B158" s="1">
        <v>4854</v>
      </c>
      <c r="C158" s="1">
        <v>9.283000000000003</v>
      </c>
      <c r="D158" s="1">
        <v>5.7540000000000022E-2</v>
      </c>
      <c r="E158" s="3">
        <v>79000</v>
      </c>
    </row>
    <row r="159" spans="1:5" x14ac:dyDescent="0.2">
      <c r="A159" s="1">
        <v>1</v>
      </c>
      <c r="B159" s="1">
        <v>4855</v>
      </c>
      <c r="C159" s="1">
        <v>9.1860000000000017</v>
      </c>
      <c r="D159" s="1">
        <v>8.7080000000000032E-2</v>
      </c>
      <c r="E159" s="3">
        <v>40000</v>
      </c>
    </row>
    <row r="160" spans="1:5" x14ac:dyDescent="0.2">
      <c r="A160" s="1">
        <v>1</v>
      </c>
      <c r="B160" s="1">
        <v>4859</v>
      </c>
      <c r="C160" s="1">
        <v>9.1270000000000024</v>
      </c>
      <c r="D160" s="1">
        <v>0.10890000000000004</v>
      </c>
      <c r="E160" s="3">
        <v>95500</v>
      </c>
    </row>
    <row r="161" spans="1:5" x14ac:dyDescent="0.2">
      <c r="A161" s="1">
        <v>1</v>
      </c>
      <c r="B161" s="1">
        <v>4861</v>
      </c>
      <c r="C161" s="1">
        <v>9.4170000000000016</v>
      </c>
      <c r="D161" s="1">
        <v>0.82080000000000031</v>
      </c>
      <c r="E161" s="3">
        <v>950</v>
      </c>
    </row>
    <row r="162" spans="1:5" x14ac:dyDescent="0.2">
      <c r="A162" s="1">
        <v>1</v>
      </c>
      <c r="B162" s="1">
        <v>4862</v>
      </c>
      <c r="C162" s="1">
        <v>9.7470000000000017</v>
      </c>
      <c r="D162" s="1">
        <v>0.43320000000000014</v>
      </c>
      <c r="E162" s="3">
        <v>43500</v>
      </c>
    </row>
    <row r="163" spans="1:5" x14ac:dyDescent="0.2">
      <c r="A163" s="1">
        <v>1</v>
      </c>
      <c r="B163" s="1">
        <v>4869</v>
      </c>
      <c r="C163" s="1">
        <v>9.5950000000000024</v>
      </c>
      <c r="D163" s="1">
        <v>0.51080000000000014</v>
      </c>
      <c r="E163" s="3">
        <v>9400</v>
      </c>
    </row>
    <row r="164" spans="1:5" x14ac:dyDescent="0.2">
      <c r="A164" s="1">
        <v>1</v>
      </c>
      <c r="B164" s="1">
        <v>4872</v>
      </c>
      <c r="C164" s="1">
        <v>9.4090000000000025</v>
      </c>
      <c r="D164" s="1">
        <v>3.0990000000000014E-2</v>
      </c>
      <c r="E164" s="3">
        <v>16500</v>
      </c>
    </row>
    <row r="165" spans="1:5" x14ac:dyDescent="0.2">
      <c r="A165" s="1">
        <v>1</v>
      </c>
      <c r="B165" s="1">
        <v>4879</v>
      </c>
      <c r="C165" s="1">
        <v>9.4190000000000023</v>
      </c>
      <c r="D165" s="1">
        <v>0.18120000000000006</v>
      </c>
      <c r="E165" s="3">
        <v>2300</v>
      </c>
    </row>
    <row r="166" spans="1:5" x14ac:dyDescent="0.2">
      <c r="A166" s="1">
        <v>1</v>
      </c>
      <c r="B166" s="1">
        <v>4881</v>
      </c>
      <c r="C166" s="1">
        <v>9.408000000000003</v>
      </c>
      <c r="D166" s="1">
        <v>0.21630000000000008</v>
      </c>
      <c r="E166" s="3">
        <v>528000</v>
      </c>
    </row>
    <row r="167" spans="1:5" x14ac:dyDescent="0.2">
      <c r="A167" s="1">
        <v>1</v>
      </c>
      <c r="B167" s="1">
        <v>4882</v>
      </c>
      <c r="C167" s="1">
        <v>9.2160000000000029</v>
      </c>
      <c r="D167" s="1">
        <v>0.28210000000000007</v>
      </c>
      <c r="E167" s="3">
        <v>23500</v>
      </c>
    </row>
    <row r="168" spans="1:5" x14ac:dyDescent="0.2">
      <c r="A168" s="1">
        <v>1</v>
      </c>
      <c r="B168" s="1">
        <v>4883</v>
      </c>
      <c r="C168" s="1">
        <v>9.4040000000000017</v>
      </c>
      <c r="D168" s="1">
        <v>0.27050000000000007</v>
      </c>
      <c r="E168" s="3">
        <v>101000</v>
      </c>
    </row>
    <row r="169" spans="1:5" x14ac:dyDescent="0.2">
      <c r="A169" s="1">
        <v>1</v>
      </c>
      <c r="B169" s="1">
        <v>4884</v>
      </c>
      <c r="C169" s="1">
        <v>9.2230000000000025</v>
      </c>
      <c r="D169" s="1">
        <v>0.13970000000000005</v>
      </c>
      <c r="E169" s="3">
        <v>131000</v>
      </c>
    </row>
    <row r="170" spans="1:5" x14ac:dyDescent="0.2">
      <c r="A170" s="1">
        <v>1</v>
      </c>
      <c r="B170" s="1">
        <v>4885</v>
      </c>
      <c r="C170" s="1">
        <v>9.408000000000003</v>
      </c>
      <c r="D170" s="1">
        <v>0.17870000000000005</v>
      </c>
      <c r="E170" s="3">
        <v>393000</v>
      </c>
    </row>
    <row r="171" spans="1:5" x14ac:dyDescent="0.2">
      <c r="A171" s="1">
        <v>1</v>
      </c>
      <c r="B171" s="1">
        <v>4889</v>
      </c>
      <c r="C171" s="1">
        <v>9.1970000000000027</v>
      </c>
      <c r="D171" s="1">
        <v>0.10870000000000003</v>
      </c>
      <c r="E171" s="3">
        <v>45000</v>
      </c>
    </row>
    <row r="172" spans="1:5" x14ac:dyDescent="0.2">
      <c r="A172" s="1">
        <v>1</v>
      </c>
      <c r="B172" s="1">
        <v>4921</v>
      </c>
      <c r="C172" s="1">
        <v>9.5340000000000025</v>
      </c>
      <c r="D172" s="1">
        <v>0.13200000000000003</v>
      </c>
      <c r="E172" s="3">
        <v>803000</v>
      </c>
    </row>
    <row r="173" spans="1:5" x14ac:dyDescent="0.2">
      <c r="A173" s="1">
        <v>1</v>
      </c>
      <c r="B173" s="1">
        <v>4931</v>
      </c>
      <c r="C173" s="1">
        <v>9.2540000000000013</v>
      </c>
      <c r="D173" s="1">
        <v>0.16800000000000007</v>
      </c>
      <c r="E173" s="3">
        <v>1183000</v>
      </c>
    </row>
    <row r="174" spans="1:5" x14ac:dyDescent="0.2">
      <c r="A174" s="1">
        <v>1</v>
      </c>
      <c r="B174" s="1">
        <v>5111</v>
      </c>
      <c r="C174" s="1">
        <v>9.4890000000000025</v>
      </c>
      <c r="D174" s="1">
        <v>0.22940000000000008</v>
      </c>
      <c r="E174" s="3">
        <v>555000</v>
      </c>
    </row>
    <row r="175" spans="1:5" x14ac:dyDescent="0.2">
      <c r="A175" s="1">
        <v>1</v>
      </c>
      <c r="B175" s="1">
        <v>5112</v>
      </c>
      <c r="C175" s="1">
        <v>9.8140000000000018</v>
      </c>
      <c r="D175" s="1">
        <v>0.32480000000000009</v>
      </c>
      <c r="E175" s="3">
        <v>380000</v>
      </c>
    </row>
    <row r="176" spans="1:5" x14ac:dyDescent="0.2">
      <c r="A176" s="1">
        <v>1</v>
      </c>
      <c r="B176" s="1">
        <v>5121</v>
      </c>
      <c r="C176" s="1">
        <v>9.5100000000000016</v>
      </c>
      <c r="D176" s="1">
        <v>0.17670000000000005</v>
      </c>
      <c r="E176" s="3">
        <v>159000</v>
      </c>
    </row>
    <row r="177" spans="1:5" x14ac:dyDescent="0.2">
      <c r="A177" s="1">
        <v>1</v>
      </c>
      <c r="B177" s="1">
        <v>5151</v>
      </c>
      <c r="C177" s="1">
        <v>9.6440000000000019</v>
      </c>
      <c r="D177" s="1">
        <v>0.24250000000000008</v>
      </c>
      <c r="E177" s="3">
        <v>382000</v>
      </c>
    </row>
    <row r="178" spans="1:5" x14ac:dyDescent="0.2">
      <c r="A178" s="1">
        <v>1</v>
      </c>
      <c r="B178" s="1">
        <v>5152</v>
      </c>
      <c r="C178" s="1">
        <v>9.5270000000000028</v>
      </c>
      <c r="D178" s="1">
        <v>0.35590000000000011</v>
      </c>
      <c r="E178" s="3">
        <v>110000</v>
      </c>
    </row>
    <row r="179" spans="1:5" x14ac:dyDescent="0.2">
      <c r="A179" s="1">
        <v>1</v>
      </c>
      <c r="B179" s="1">
        <v>5171</v>
      </c>
      <c r="C179" s="1">
        <v>9.4510000000000023</v>
      </c>
      <c r="D179" s="1">
        <v>0.42830000000000013</v>
      </c>
      <c r="E179" s="3">
        <v>1349000</v>
      </c>
    </row>
    <row r="180" spans="1:5" x14ac:dyDescent="0.2">
      <c r="A180" s="1">
        <v>1</v>
      </c>
      <c r="B180" s="1">
        <v>5172</v>
      </c>
      <c r="C180" s="1">
        <v>9.4160000000000021</v>
      </c>
      <c r="D180" s="1">
        <v>0.4053000000000001</v>
      </c>
      <c r="E180" s="3">
        <v>220000</v>
      </c>
    </row>
    <row r="181" spans="1:5" x14ac:dyDescent="0.2">
      <c r="A181" s="1">
        <v>1</v>
      </c>
      <c r="B181" s="1">
        <v>5179</v>
      </c>
      <c r="C181" s="1">
        <v>9.599000000000002</v>
      </c>
      <c r="D181" s="1">
        <v>0.32350000000000012</v>
      </c>
      <c r="E181" s="3">
        <v>123000</v>
      </c>
    </row>
    <row r="182" spans="1:5" x14ac:dyDescent="0.2">
      <c r="A182" s="1">
        <v>1</v>
      </c>
      <c r="B182" s="1">
        <v>5182</v>
      </c>
      <c r="C182" s="1">
        <v>9.6270000000000024</v>
      </c>
      <c r="D182" s="1">
        <v>0.2965000000000001</v>
      </c>
      <c r="E182" s="3">
        <v>713000</v>
      </c>
    </row>
    <row r="183" spans="1:5" x14ac:dyDescent="0.2">
      <c r="A183" s="1">
        <v>1</v>
      </c>
      <c r="B183" s="1">
        <v>5191</v>
      </c>
      <c r="C183" s="1">
        <v>9.5650000000000031</v>
      </c>
      <c r="D183" s="1">
        <v>0.20040000000000005</v>
      </c>
      <c r="E183" s="3">
        <v>266000</v>
      </c>
    </row>
    <row r="184" spans="1:5" x14ac:dyDescent="0.2">
      <c r="A184" s="1">
        <v>1</v>
      </c>
      <c r="B184" s="1">
        <v>5211</v>
      </c>
      <c r="C184" s="1">
        <v>9.6050000000000022</v>
      </c>
      <c r="D184" s="1">
        <v>0.38070000000000009</v>
      </c>
      <c r="E184" s="3">
        <v>15500</v>
      </c>
    </row>
    <row r="185" spans="1:5" x14ac:dyDescent="0.2">
      <c r="A185" s="1">
        <v>1</v>
      </c>
      <c r="B185" s="1">
        <v>5221</v>
      </c>
      <c r="C185" s="1">
        <v>9.4710000000000019</v>
      </c>
      <c r="D185" s="1">
        <v>0.23460000000000009</v>
      </c>
      <c r="E185" s="3">
        <v>3333000</v>
      </c>
    </row>
    <row r="186" spans="1:5" x14ac:dyDescent="0.2">
      <c r="A186" s="1">
        <v>1</v>
      </c>
      <c r="B186" s="1">
        <v>5222</v>
      </c>
      <c r="C186" s="1">
        <v>9.4790000000000028</v>
      </c>
      <c r="D186" s="1">
        <v>0.2834000000000001</v>
      </c>
      <c r="E186" s="3">
        <v>1449000</v>
      </c>
    </row>
    <row r="187" spans="1:5" x14ac:dyDescent="0.2">
      <c r="A187" s="1">
        <v>1</v>
      </c>
      <c r="B187" s="1">
        <v>5223</v>
      </c>
      <c r="C187" s="1">
        <v>9.506000000000002</v>
      </c>
      <c r="D187" s="1">
        <v>0.26780000000000009</v>
      </c>
      <c r="E187" s="3">
        <v>827000</v>
      </c>
    </row>
    <row r="188" spans="1:5" x14ac:dyDescent="0.2">
      <c r="A188" s="1">
        <v>1</v>
      </c>
      <c r="B188" s="1">
        <v>5231</v>
      </c>
      <c r="C188" s="1">
        <v>9.9010000000000016</v>
      </c>
      <c r="D188" s="1">
        <v>0.31840000000000013</v>
      </c>
      <c r="E188" s="3">
        <v>784000</v>
      </c>
    </row>
    <row r="189" spans="1:5" x14ac:dyDescent="0.2">
      <c r="A189" s="1">
        <v>1</v>
      </c>
      <c r="B189" s="1">
        <v>5239</v>
      </c>
      <c r="C189" s="1">
        <v>9.7420000000000027</v>
      </c>
      <c r="D189" s="1">
        <v>0.26710000000000006</v>
      </c>
      <c r="E189" s="3">
        <v>496000</v>
      </c>
    </row>
    <row r="190" spans="1:5" x14ac:dyDescent="0.2">
      <c r="A190" s="1">
        <v>1</v>
      </c>
      <c r="B190" s="1">
        <v>5241</v>
      </c>
      <c r="C190" s="1">
        <v>9.5810000000000031</v>
      </c>
      <c r="D190" s="1">
        <v>0.31330000000000008</v>
      </c>
      <c r="E190" s="3">
        <v>3042000</v>
      </c>
    </row>
    <row r="191" spans="1:5" x14ac:dyDescent="0.2">
      <c r="A191" s="1">
        <v>1</v>
      </c>
      <c r="B191" s="1">
        <v>5242</v>
      </c>
      <c r="C191" s="1">
        <v>9.5040000000000031</v>
      </c>
      <c r="D191" s="1">
        <v>0.20060000000000006</v>
      </c>
      <c r="E191" s="3">
        <v>1970000</v>
      </c>
    </row>
    <row r="192" spans="1:5" x14ac:dyDescent="0.2">
      <c r="A192" s="1">
        <v>1</v>
      </c>
      <c r="B192" s="1">
        <v>5251</v>
      </c>
      <c r="C192" s="1">
        <v>9.6370000000000022</v>
      </c>
      <c r="D192" s="1">
        <v>0.26240000000000008</v>
      </c>
      <c r="E192" s="3">
        <v>34000</v>
      </c>
    </row>
    <row r="193" spans="1:5" x14ac:dyDescent="0.2">
      <c r="A193" s="1">
        <v>1</v>
      </c>
      <c r="B193" s="1">
        <v>5259</v>
      </c>
      <c r="C193" s="1">
        <v>9.7170000000000023</v>
      </c>
      <c r="D193" s="1">
        <v>0.30850000000000011</v>
      </c>
      <c r="E193" s="3">
        <v>26000</v>
      </c>
    </row>
    <row r="194" spans="1:5" x14ac:dyDescent="0.2">
      <c r="A194" s="1">
        <v>1</v>
      </c>
      <c r="B194" s="1">
        <v>5311</v>
      </c>
      <c r="C194" s="1">
        <v>9.3190000000000026</v>
      </c>
      <c r="D194" s="1">
        <v>0.14820000000000005</v>
      </c>
      <c r="E194" s="3">
        <v>707000</v>
      </c>
    </row>
    <row r="195" spans="1:5" x14ac:dyDescent="0.2">
      <c r="A195" s="1">
        <v>1</v>
      </c>
      <c r="B195" s="1">
        <v>5312</v>
      </c>
      <c r="C195" s="1">
        <v>9.4720000000000031</v>
      </c>
      <c r="D195" s="1">
        <v>0.13940000000000005</v>
      </c>
      <c r="E195" s="3">
        <v>447000</v>
      </c>
    </row>
    <row r="196" spans="1:5" x14ac:dyDescent="0.2">
      <c r="A196" s="1">
        <v>1</v>
      </c>
      <c r="B196" s="1">
        <v>5313</v>
      </c>
      <c r="C196" s="1">
        <v>9.3390000000000022</v>
      </c>
      <c r="D196" s="1">
        <v>0.14780000000000004</v>
      </c>
      <c r="E196" s="3">
        <v>1231000</v>
      </c>
    </row>
    <row r="197" spans="1:5" x14ac:dyDescent="0.2">
      <c r="A197" s="1">
        <v>1</v>
      </c>
      <c r="B197" s="1">
        <v>5321</v>
      </c>
      <c r="C197" s="1">
        <v>9.3400000000000016</v>
      </c>
      <c r="D197" s="1">
        <v>0.20670000000000008</v>
      </c>
      <c r="E197" s="3">
        <v>359000</v>
      </c>
    </row>
    <row r="198" spans="1:5" x14ac:dyDescent="0.2">
      <c r="A198" s="1">
        <v>1</v>
      </c>
      <c r="B198" s="1">
        <v>5322</v>
      </c>
      <c r="C198" s="1">
        <v>9.2410000000000014</v>
      </c>
      <c r="D198" s="1">
        <v>0.16980000000000006</v>
      </c>
      <c r="E198" s="3">
        <v>234000</v>
      </c>
    </row>
    <row r="199" spans="1:5" x14ac:dyDescent="0.2">
      <c r="A199" s="1">
        <v>1</v>
      </c>
      <c r="B199" s="1">
        <v>5323</v>
      </c>
      <c r="C199" s="1">
        <v>9.4200000000000017</v>
      </c>
      <c r="D199" s="1">
        <v>0.17200000000000004</v>
      </c>
      <c r="E199" s="3">
        <v>52500</v>
      </c>
    </row>
    <row r="200" spans="1:5" x14ac:dyDescent="0.2">
      <c r="A200" s="1">
        <v>1</v>
      </c>
      <c r="B200" s="1">
        <v>5324</v>
      </c>
      <c r="C200" s="1">
        <v>9.4920000000000027</v>
      </c>
      <c r="D200" s="1">
        <v>0.29780000000000012</v>
      </c>
      <c r="E200" s="3">
        <v>262000</v>
      </c>
    </row>
    <row r="201" spans="1:5" x14ac:dyDescent="0.2">
      <c r="A201" s="1">
        <v>1</v>
      </c>
      <c r="B201" s="1">
        <v>5331</v>
      </c>
      <c r="C201" s="1">
        <v>9.7000000000000028</v>
      </c>
      <c r="D201" s="1">
        <v>0.22700000000000006</v>
      </c>
      <c r="E201" s="3">
        <v>51500</v>
      </c>
    </row>
    <row r="202" spans="1:5" x14ac:dyDescent="0.2">
      <c r="A202" s="1">
        <v>1</v>
      </c>
      <c r="B202" s="1">
        <v>5411</v>
      </c>
      <c r="C202" s="1">
        <v>9.674000000000003</v>
      </c>
      <c r="D202" s="1">
        <v>0.19520000000000007</v>
      </c>
      <c r="E202" s="3">
        <v>2348000</v>
      </c>
    </row>
    <row r="203" spans="1:5" x14ac:dyDescent="0.2">
      <c r="A203" s="1">
        <v>1</v>
      </c>
      <c r="B203" s="1">
        <v>5412</v>
      </c>
      <c r="C203" s="1">
        <v>9.5890000000000022</v>
      </c>
      <c r="D203" s="1">
        <v>0.17920000000000005</v>
      </c>
      <c r="E203" s="3">
        <v>1390000</v>
      </c>
    </row>
    <row r="204" spans="1:5" x14ac:dyDescent="0.2">
      <c r="A204" s="1">
        <v>1</v>
      </c>
      <c r="B204" s="1">
        <v>5413</v>
      </c>
      <c r="C204" s="1">
        <v>9.6370000000000022</v>
      </c>
      <c r="D204" s="1">
        <v>0.26040000000000008</v>
      </c>
      <c r="E204" s="3">
        <v>2081000</v>
      </c>
    </row>
    <row r="205" spans="1:5" x14ac:dyDescent="0.2">
      <c r="A205" s="1">
        <v>1</v>
      </c>
      <c r="B205" s="1">
        <v>5414</v>
      </c>
      <c r="C205" s="1">
        <v>9.5640000000000018</v>
      </c>
      <c r="D205" s="1">
        <v>0.16400000000000006</v>
      </c>
      <c r="E205" s="3">
        <v>206000</v>
      </c>
    </row>
    <row r="206" spans="1:5" x14ac:dyDescent="0.2">
      <c r="A206" s="1">
        <v>1</v>
      </c>
      <c r="B206" s="1">
        <v>5415</v>
      </c>
      <c r="C206" s="1">
        <v>9.7600000000000016</v>
      </c>
      <c r="D206" s="1">
        <v>0.28630000000000011</v>
      </c>
      <c r="E206" s="3">
        <v>2444000</v>
      </c>
    </row>
    <row r="207" spans="1:5" x14ac:dyDescent="0.2">
      <c r="A207" s="1">
        <v>1</v>
      </c>
      <c r="B207" s="1">
        <v>5416</v>
      </c>
      <c r="C207" s="1">
        <v>9.6030000000000015</v>
      </c>
      <c r="D207" s="1">
        <v>0.21170000000000005</v>
      </c>
      <c r="E207" s="3">
        <v>1799000</v>
      </c>
    </row>
    <row r="208" spans="1:5" x14ac:dyDescent="0.2">
      <c r="A208" s="1">
        <v>1</v>
      </c>
      <c r="B208" s="1">
        <v>5417</v>
      </c>
      <c r="C208" s="1">
        <v>9.7540000000000031</v>
      </c>
      <c r="D208" s="1">
        <v>0.2844000000000001</v>
      </c>
      <c r="E208" s="3">
        <v>733000</v>
      </c>
    </row>
    <row r="209" spans="1:5" x14ac:dyDescent="0.2">
      <c r="A209" s="1">
        <v>1</v>
      </c>
      <c r="B209" s="1">
        <v>5418</v>
      </c>
      <c r="C209" s="1">
        <v>9.5700000000000021</v>
      </c>
      <c r="D209" s="1">
        <v>0.17330000000000007</v>
      </c>
      <c r="E209" s="3">
        <v>513000</v>
      </c>
    </row>
    <row r="210" spans="1:5" x14ac:dyDescent="0.2">
      <c r="A210" s="1">
        <v>1</v>
      </c>
      <c r="B210" s="1">
        <v>5419</v>
      </c>
      <c r="C210" s="1">
        <v>9.4510000000000023</v>
      </c>
      <c r="D210" s="1">
        <v>9.0330000000000035E-2</v>
      </c>
      <c r="E210" s="3">
        <v>807000</v>
      </c>
    </row>
    <row r="211" spans="1:5" x14ac:dyDescent="0.2">
      <c r="A211" s="1">
        <v>1</v>
      </c>
      <c r="B211" s="1">
        <v>5511</v>
      </c>
      <c r="C211" s="1">
        <v>9.583000000000002</v>
      </c>
      <c r="D211" s="1">
        <v>0.26660000000000006</v>
      </c>
      <c r="E211" s="3">
        <v>3635000</v>
      </c>
    </row>
    <row r="212" spans="1:5" x14ac:dyDescent="0.2">
      <c r="A212" s="1">
        <v>1</v>
      </c>
      <c r="B212" s="1">
        <v>5611</v>
      </c>
      <c r="C212" s="1">
        <v>9.4940000000000015</v>
      </c>
      <c r="D212" s="1">
        <v>0.20400000000000007</v>
      </c>
      <c r="E212" s="3">
        <v>779000</v>
      </c>
    </row>
    <row r="213" spans="1:5" x14ac:dyDescent="0.2">
      <c r="A213" s="1">
        <v>1</v>
      </c>
      <c r="B213" s="1">
        <v>5612</v>
      </c>
      <c r="C213" s="1">
        <v>9.3010000000000019</v>
      </c>
      <c r="D213" s="1">
        <v>0.29480000000000012</v>
      </c>
      <c r="E213" s="3">
        <v>213000</v>
      </c>
    </row>
    <row r="214" spans="1:5" x14ac:dyDescent="0.2">
      <c r="A214" s="1">
        <v>1</v>
      </c>
      <c r="B214" s="1">
        <v>5613</v>
      </c>
      <c r="C214" s="1">
        <v>9.3160000000000025</v>
      </c>
      <c r="D214" s="1">
        <v>0.10340000000000003</v>
      </c>
      <c r="E214" s="3">
        <v>2382000</v>
      </c>
    </row>
    <row r="215" spans="1:5" x14ac:dyDescent="0.2">
      <c r="A215" s="1">
        <v>1</v>
      </c>
      <c r="B215" s="1">
        <v>5614</v>
      </c>
      <c r="C215" s="1">
        <v>9.2710000000000026</v>
      </c>
      <c r="D215" s="1">
        <v>0.14210000000000003</v>
      </c>
      <c r="E215" s="3">
        <v>1775000</v>
      </c>
    </row>
    <row r="216" spans="1:5" x14ac:dyDescent="0.2">
      <c r="A216" s="1">
        <v>1</v>
      </c>
      <c r="B216" s="1">
        <v>5615</v>
      </c>
      <c r="C216" s="1">
        <v>9.408000000000003</v>
      </c>
      <c r="D216" s="1">
        <v>0.12950000000000003</v>
      </c>
      <c r="E216" s="3">
        <v>716000</v>
      </c>
    </row>
    <row r="217" spans="1:5" x14ac:dyDescent="0.2">
      <c r="A217" s="1">
        <v>1</v>
      </c>
      <c r="B217" s="1">
        <v>5616</v>
      </c>
      <c r="C217" s="1">
        <v>9.1940000000000026</v>
      </c>
      <c r="D217" s="1">
        <v>0.10080000000000003</v>
      </c>
      <c r="E217" s="3">
        <v>1194000</v>
      </c>
    </row>
    <row r="218" spans="1:5" x14ac:dyDescent="0.2">
      <c r="A218" s="1">
        <v>1</v>
      </c>
      <c r="B218" s="1">
        <v>5617</v>
      </c>
      <c r="C218" s="1">
        <v>9.1600000000000019</v>
      </c>
      <c r="D218" s="1">
        <v>8.2670000000000035E-2</v>
      </c>
      <c r="E218" s="3">
        <v>1953000</v>
      </c>
    </row>
    <row r="219" spans="1:5" x14ac:dyDescent="0.2">
      <c r="A219" s="1">
        <v>1</v>
      </c>
      <c r="B219" s="1">
        <v>5619</v>
      </c>
      <c r="C219" s="1">
        <v>9.3910000000000018</v>
      </c>
      <c r="D219" s="1">
        <v>0.17540000000000006</v>
      </c>
      <c r="E219" s="3">
        <v>324000</v>
      </c>
    </row>
    <row r="220" spans="1:5" x14ac:dyDescent="0.2">
      <c r="A220" s="1">
        <v>1</v>
      </c>
      <c r="B220" s="1">
        <v>5621</v>
      </c>
      <c r="C220" s="1">
        <v>9.2690000000000019</v>
      </c>
      <c r="D220" s="1">
        <v>0.32980000000000009</v>
      </c>
      <c r="E220" s="3">
        <v>237000</v>
      </c>
    </row>
    <row r="221" spans="1:5" x14ac:dyDescent="0.2">
      <c r="A221" s="1">
        <v>1</v>
      </c>
      <c r="B221" s="1">
        <v>5622</v>
      </c>
      <c r="C221" s="1">
        <v>9.4420000000000019</v>
      </c>
      <c r="D221" s="1">
        <v>0.38280000000000014</v>
      </c>
      <c r="E221" s="3">
        <v>190000</v>
      </c>
    </row>
    <row r="222" spans="1:5" x14ac:dyDescent="0.2">
      <c r="A222" s="1">
        <v>1</v>
      </c>
      <c r="B222" s="1">
        <v>5629</v>
      </c>
      <c r="C222" s="1">
        <v>9.3550000000000022</v>
      </c>
      <c r="D222" s="1">
        <v>0.24220000000000008</v>
      </c>
      <c r="E222" s="3">
        <v>145000</v>
      </c>
    </row>
    <row r="223" spans="1:5" x14ac:dyDescent="0.2">
      <c r="A223" s="1">
        <v>1</v>
      </c>
      <c r="B223" s="1">
        <v>6111</v>
      </c>
      <c r="C223" s="1">
        <v>9.429000000000002</v>
      </c>
      <c r="D223" s="1">
        <v>9.6370000000000039E-2</v>
      </c>
      <c r="E223" s="3">
        <v>11800000</v>
      </c>
    </row>
    <row r="224" spans="1:5" x14ac:dyDescent="0.2">
      <c r="A224" s="1">
        <v>1</v>
      </c>
      <c r="B224" s="1">
        <v>6112</v>
      </c>
      <c r="C224" s="1">
        <v>9.5710000000000015</v>
      </c>
      <c r="D224" s="1">
        <v>3.0330000000000013E-2</v>
      </c>
      <c r="E224" s="3">
        <v>762000</v>
      </c>
    </row>
    <row r="225" spans="1:5" x14ac:dyDescent="0.2">
      <c r="A225" s="1">
        <v>1</v>
      </c>
      <c r="B225" s="1">
        <v>6113</v>
      </c>
      <c r="C225" s="1">
        <v>9.6230000000000029</v>
      </c>
      <c r="D225" s="1">
        <v>0.10060000000000004</v>
      </c>
      <c r="E225" s="3">
        <v>3576000</v>
      </c>
    </row>
    <row r="226" spans="1:5" x14ac:dyDescent="0.2">
      <c r="A226" s="1">
        <v>1</v>
      </c>
      <c r="B226" s="1">
        <v>6114</v>
      </c>
      <c r="C226" s="1">
        <v>9.5370000000000026</v>
      </c>
      <c r="D226" s="1">
        <v>0.18840000000000007</v>
      </c>
      <c r="E226" s="3">
        <v>141000</v>
      </c>
    </row>
    <row r="227" spans="1:5" x14ac:dyDescent="0.2">
      <c r="A227" s="1">
        <v>1</v>
      </c>
      <c r="B227" s="1">
        <v>6115</v>
      </c>
      <c r="C227" s="1">
        <v>9.4450000000000021</v>
      </c>
      <c r="D227" s="1">
        <v>0.18250000000000005</v>
      </c>
      <c r="E227" s="3">
        <v>253000</v>
      </c>
    </row>
    <row r="228" spans="1:5" x14ac:dyDescent="0.2">
      <c r="A228" s="1">
        <v>1</v>
      </c>
      <c r="B228" s="1">
        <v>6116</v>
      </c>
      <c r="C228" s="1">
        <v>9.3900000000000023</v>
      </c>
      <c r="D228" s="1">
        <v>2.1880000000000011E-2</v>
      </c>
      <c r="E228" s="3">
        <v>203000</v>
      </c>
    </row>
    <row r="229" spans="1:5" x14ac:dyDescent="0.2">
      <c r="A229" s="1">
        <v>1</v>
      </c>
      <c r="B229" s="1">
        <v>6117</v>
      </c>
      <c r="C229" s="1">
        <v>9.4630000000000027</v>
      </c>
      <c r="D229" s="1">
        <v>8.798000000000003E-2</v>
      </c>
      <c r="E229" s="3">
        <v>161000</v>
      </c>
    </row>
    <row r="230" spans="1:5" x14ac:dyDescent="0.2">
      <c r="A230" s="1">
        <v>1</v>
      </c>
      <c r="B230" s="1">
        <v>6211</v>
      </c>
      <c r="C230" s="1">
        <v>9.5460000000000029</v>
      </c>
      <c r="D230" s="1">
        <v>0.17850000000000005</v>
      </c>
      <c r="E230" s="3">
        <v>4234000</v>
      </c>
    </row>
    <row r="231" spans="1:5" x14ac:dyDescent="0.2">
      <c r="A231" s="1">
        <v>1</v>
      </c>
      <c r="B231" s="1">
        <v>6212</v>
      </c>
      <c r="C231" s="1">
        <v>9.392000000000003</v>
      </c>
      <c r="D231" s="1">
        <v>9.4300000000000037E-2</v>
      </c>
      <c r="E231" s="3">
        <v>1215000</v>
      </c>
    </row>
    <row r="232" spans="1:5" x14ac:dyDescent="0.2">
      <c r="A232" s="1">
        <v>1</v>
      </c>
      <c r="B232" s="1">
        <v>6213</v>
      </c>
      <c r="C232" s="1">
        <v>9.4250000000000025</v>
      </c>
      <c r="D232" s="1">
        <v>8.5920000000000038E-2</v>
      </c>
      <c r="E232" s="3">
        <v>870000</v>
      </c>
    </row>
    <row r="233" spans="1:5" x14ac:dyDescent="0.2">
      <c r="A233" s="1">
        <v>1</v>
      </c>
      <c r="B233" s="1">
        <v>6214</v>
      </c>
      <c r="C233" s="1">
        <v>9.3710000000000022</v>
      </c>
      <c r="D233" s="1">
        <v>0.17780000000000007</v>
      </c>
      <c r="E233" s="3">
        <v>1114000</v>
      </c>
    </row>
    <row r="234" spans="1:5" x14ac:dyDescent="0.2">
      <c r="A234" s="1">
        <v>1</v>
      </c>
      <c r="B234" s="1">
        <v>6215</v>
      </c>
      <c r="C234" s="1">
        <v>9.3750000000000018</v>
      </c>
      <c r="D234" s="1">
        <v>0.20220000000000007</v>
      </c>
      <c r="E234" s="3">
        <v>572000</v>
      </c>
    </row>
    <row r="235" spans="1:5" x14ac:dyDescent="0.2">
      <c r="A235" s="1">
        <v>1</v>
      </c>
      <c r="B235" s="1">
        <v>6216</v>
      </c>
      <c r="C235" s="1">
        <v>9.3540000000000028</v>
      </c>
      <c r="D235" s="1">
        <v>0.12140000000000004</v>
      </c>
      <c r="E235" s="3">
        <v>1198000</v>
      </c>
    </row>
    <row r="236" spans="1:5" x14ac:dyDescent="0.2">
      <c r="A236" s="1">
        <v>1</v>
      </c>
      <c r="B236" s="1">
        <v>6219</v>
      </c>
      <c r="C236" s="1">
        <v>9.3390000000000022</v>
      </c>
      <c r="D236" s="1">
        <v>0.18910000000000007</v>
      </c>
      <c r="E236" s="3">
        <v>368000</v>
      </c>
    </row>
    <row r="237" spans="1:5" x14ac:dyDescent="0.2">
      <c r="A237" s="1">
        <v>1</v>
      </c>
      <c r="B237" s="1">
        <v>6221</v>
      </c>
      <c r="C237" s="1">
        <v>9.4970000000000017</v>
      </c>
      <c r="D237" s="1">
        <v>0.19340000000000007</v>
      </c>
      <c r="E237" s="3">
        <v>8342000</v>
      </c>
    </row>
    <row r="238" spans="1:5" x14ac:dyDescent="0.2">
      <c r="A238" s="1">
        <v>1</v>
      </c>
      <c r="B238" s="1">
        <v>6231</v>
      </c>
      <c r="C238" s="1">
        <v>9.1720000000000024</v>
      </c>
      <c r="D238" s="1">
        <v>0.12820000000000004</v>
      </c>
      <c r="E238" s="3">
        <v>1810000</v>
      </c>
    </row>
    <row r="239" spans="1:5" x14ac:dyDescent="0.2">
      <c r="A239" s="1">
        <v>1</v>
      </c>
      <c r="B239" s="1">
        <v>6233</v>
      </c>
      <c r="C239" s="1">
        <v>9.1070000000000029</v>
      </c>
      <c r="D239" s="1">
        <v>7.8300000000000036E-2</v>
      </c>
      <c r="E239" s="3">
        <v>740000</v>
      </c>
    </row>
    <row r="240" spans="1:5" x14ac:dyDescent="0.2">
      <c r="A240" s="1">
        <v>1</v>
      </c>
      <c r="B240" s="1">
        <v>6241</v>
      </c>
      <c r="C240" s="1">
        <v>9.2610000000000028</v>
      </c>
      <c r="D240" s="1">
        <v>0.10750000000000004</v>
      </c>
      <c r="E240" s="3">
        <v>1081000</v>
      </c>
    </row>
    <row r="241" spans="1:5" x14ac:dyDescent="0.2">
      <c r="A241" s="1">
        <v>1</v>
      </c>
      <c r="B241" s="1">
        <v>6242</v>
      </c>
      <c r="C241" s="1">
        <v>9.3000000000000025</v>
      </c>
      <c r="D241" s="1">
        <v>9.7290000000000043E-2</v>
      </c>
      <c r="E241" s="3">
        <v>167000</v>
      </c>
    </row>
    <row r="242" spans="1:5" x14ac:dyDescent="0.2">
      <c r="A242" s="1">
        <v>1</v>
      </c>
      <c r="B242" s="1">
        <v>6243</v>
      </c>
      <c r="C242" s="1">
        <v>9.1610000000000014</v>
      </c>
      <c r="D242" s="1">
        <v>8.4300000000000042E-2</v>
      </c>
      <c r="E242" s="3">
        <v>318000</v>
      </c>
    </row>
    <row r="243" spans="1:5" x14ac:dyDescent="0.2">
      <c r="A243" s="1">
        <v>1</v>
      </c>
      <c r="B243" s="1">
        <v>6244</v>
      </c>
      <c r="C243" s="1">
        <v>9.0470000000000024</v>
      </c>
      <c r="D243" s="1">
        <v>-3.9770000000000014E-2</v>
      </c>
      <c r="E243" s="3">
        <v>834000</v>
      </c>
    </row>
    <row r="244" spans="1:5" x14ac:dyDescent="0.2">
      <c r="A244" s="1">
        <v>1</v>
      </c>
      <c r="B244" s="1">
        <v>7111</v>
      </c>
      <c r="C244" s="1">
        <v>9.4330000000000016</v>
      </c>
      <c r="D244" s="1">
        <v>5.6990000000000027E-2</v>
      </c>
      <c r="E244" s="3">
        <v>85000</v>
      </c>
    </row>
    <row r="245" spans="1:5" x14ac:dyDescent="0.2">
      <c r="A245" s="1">
        <v>1</v>
      </c>
      <c r="B245" s="1">
        <v>7112</v>
      </c>
      <c r="C245" s="1">
        <v>9.6380000000000017</v>
      </c>
      <c r="D245" s="1">
        <v>0.11550000000000003</v>
      </c>
      <c r="E245" s="3">
        <v>252000</v>
      </c>
    </row>
    <row r="246" spans="1:5" x14ac:dyDescent="0.2">
      <c r="A246" s="1">
        <v>1</v>
      </c>
      <c r="B246" s="1">
        <v>7113</v>
      </c>
      <c r="C246" s="1">
        <v>9.5200000000000031</v>
      </c>
      <c r="D246" s="1">
        <v>0.11320000000000004</v>
      </c>
      <c r="E246" s="3">
        <v>98500</v>
      </c>
    </row>
    <row r="247" spans="1:5" x14ac:dyDescent="0.2">
      <c r="A247" s="1">
        <v>1</v>
      </c>
      <c r="B247" s="1">
        <v>7114</v>
      </c>
      <c r="C247" s="1">
        <v>9.6030000000000015</v>
      </c>
      <c r="D247" s="1">
        <v>0.12650000000000003</v>
      </c>
      <c r="E247" s="3">
        <v>13000</v>
      </c>
    </row>
    <row r="248" spans="1:5" x14ac:dyDescent="0.2">
      <c r="A248" s="1">
        <v>1</v>
      </c>
      <c r="B248" s="1">
        <v>7131</v>
      </c>
      <c r="C248" s="1">
        <v>9.299000000000003</v>
      </c>
      <c r="D248" s="1">
        <v>4.9620000000000018E-2</v>
      </c>
      <c r="E248" s="3">
        <v>1142000</v>
      </c>
    </row>
    <row r="249" spans="1:5" x14ac:dyDescent="0.2">
      <c r="A249" s="1">
        <v>1</v>
      </c>
      <c r="B249" s="1">
        <v>7132</v>
      </c>
      <c r="C249" s="1">
        <v>9.1500000000000021</v>
      </c>
      <c r="D249" s="1">
        <v>0.19350000000000006</v>
      </c>
      <c r="E249" s="3">
        <v>232000</v>
      </c>
    </row>
    <row r="250" spans="1:5" x14ac:dyDescent="0.2">
      <c r="A250" s="1">
        <v>1</v>
      </c>
      <c r="B250" s="1">
        <v>7139</v>
      </c>
      <c r="C250" s="1">
        <v>9.349000000000002</v>
      </c>
      <c r="D250" s="1">
        <v>6.8510000000000029E-2</v>
      </c>
      <c r="E250" s="3">
        <v>955000</v>
      </c>
    </row>
    <row r="251" spans="1:5" x14ac:dyDescent="0.2">
      <c r="A251" s="1">
        <v>1</v>
      </c>
      <c r="B251" s="1">
        <v>7211</v>
      </c>
      <c r="C251" s="1">
        <v>9.2010000000000023</v>
      </c>
      <c r="D251" s="1">
        <v>8.3180000000000032E-2</v>
      </c>
      <c r="E251" s="3">
        <v>3048000</v>
      </c>
    </row>
    <row r="252" spans="1:5" x14ac:dyDescent="0.2">
      <c r="A252" s="1">
        <v>1</v>
      </c>
      <c r="B252" s="1">
        <v>7212</v>
      </c>
      <c r="C252" s="1">
        <v>9.3060000000000027</v>
      </c>
      <c r="D252" s="1">
        <v>-4.0070000000000015E-2</v>
      </c>
      <c r="E252" s="3">
        <v>27500</v>
      </c>
    </row>
    <row r="253" spans="1:5" x14ac:dyDescent="0.2">
      <c r="A253" s="1">
        <v>1</v>
      </c>
      <c r="B253" s="1">
        <v>7213</v>
      </c>
      <c r="C253" s="1">
        <v>9.1600000000000019</v>
      </c>
      <c r="D253" s="1">
        <v>5.8950000000000023E-2</v>
      </c>
      <c r="E253" s="3">
        <v>4400</v>
      </c>
    </row>
    <row r="254" spans="1:5" x14ac:dyDescent="0.2">
      <c r="A254" s="1">
        <v>1</v>
      </c>
      <c r="B254" s="1">
        <v>7223</v>
      </c>
      <c r="C254" s="1">
        <v>9.1400000000000023</v>
      </c>
      <c r="D254" s="1">
        <v>5.1450000000000023E-2</v>
      </c>
      <c r="E254" s="3">
        <v>499000</v>
      </c>
    </row>
    <row r="255" spans="1:5" x14ac:dyDescent="0.2">
      <c r="A255" s="1">
        <v>1</v>
      </c>
      <c r="B255" s="1">
        <v>7224</v>
      </c>
      <c r="C255" s="1">
        <v>9.2340000000000018</v>
      </c>
      <c r="D255" s="1">
        <v>-5.9200000000000023E-2</v>
      </c>
      <c r="E255" s="3">
        <v>235000</v>
      </c>
    </row>
    <row r="256" spans="1:5" x14ac:dyDescent="0.2">
      <c r="A256" s="1">
        <v>1</v>
      </c>
      <c r="B256" s="1">
        <v>7225</v>
      </c>
      <c r="C256" s="1">
        <v>9.1550000000000029</v>
      </c>
      <c r="D256" s="1">
        <v>-9.9960000000000087E-12</v>
      </c>
      <c r="E256" s="3">
        <v>5905000</v>
      </c>
    </row>
    <row r="257" spans="1:5" x14ac:dyDescent="0.2">
      <c r="A257" s="1">
        <v>1</v>
      </c>
      <c r="B257" s="1">
        <v>8111</v>
      </c>
      <c r="C257" s="1">
        <v>9.3450000000000024</v>
      </c>
      <c r="D257" s="1">
        <v>0.10030000000000003</v>
      </c>
      <c r="E257" s="3">
        <v>1044000</v>
      </c>
    </row>
    <row r="258" spans="1:5" x14ac:dyDescent="0.2">
      <c r="A258" s="1">
        <v>1</v>
      </c>
      <c r="B258" s="1">
        <v>8112</v>
      </c>
      <c r="C258" s="1">
        <v>9.4520000000000017</v>
      </c>
      <c r="D258" s="1">
        <v>0.19800000000000006</v>
      </c>
      <c r="E258" s="3">
        <v>186000</v>
      </c>
    </row>
    <row r="259" spans="1:5" x14ac:dyDescent="0.2">
      <c r="A259" s="1">
        <v>1</v>
      </c>
      <c r="B259" s="1">
        <v>8113</v>
      </c>
      <c r="C259" s="1">
        <v>9.4860000000000024</v>
      </c>
      <c r="D259" s="1">
        <v>0.25380000000000008</v>
      </c>
      <c r="E259" s="3">
        <v>260000</v>
      </c>
    </row>
    <row r="260" spans="1:5" x14ac:dyDescent="0.2">
      <c r="A260" s="1">
        <v>1</v>
      </c>
      <c r="B260" s="1">
        <v>8114</v>
      </c>
      <c r="C260" s="1">
        <v>9.349000000000002</v>
      </c>
      <c r="D260" s="1">
        <v>7.0280000000000023E-2</v>
      </c>
      <c r="E260" s="3">
        <v>125000</v>
      </c>
    </row>
    <row r="261" spans="1:5" x14ac:dyDescent="0.2">
      <c r="A261" s="1">
        <v>1</v>
      </c>
      <c r="B261" s="1">
        <v>8121</v>
      </c>
      <c r="C261" s="1">
        <v>9.2270000000000021</v>
      </c>
      <c r="D261" s="1">
        <v>-2.547000000000001E-2</v>
      </c>
      <c r="E261" s="3">
        <v>489000</v>
      </c>
    </row>
    <row r="262" spans="1:5" x14ac:dyDescent="0.2">
      <c r="A262" s="1">
        <v>1</v>
      </c>
      <c r="B262" s="1">
        <v>8122</v>
      </c>
      <c r="C262" s="1">
        <v>9.4040000000000017</v>
      </c>
      <c r="D262" s="1">
        <v>0.10980000000000004</v>
      </c>
      <c r="E262" s="3">
        <v>128000</v>
      </c>
    </row>
    <row r="263" spans="1:5" x14ac:dyDescent="0.2">
      <c r="A263" s="1">
        <v>1</v>
      </c>
      <c r="B263" s="1">
        <v>8123</v>
      </c>
      <c r="C263" s="1">
        <v>9.1130000000000013</v>
      </c>
      <c r="D263" s="1">
        <v>0.11880000000000004</v>
      </c>
      <c r="E263" s="3">
        <v>370000</v>
      </c>
    </row>
    <row r="264" spans="1:5" x14ac:dyDescent="0.2">
      <c r="A264" s="1">
        <v>1</v>
      </c>
      <c r="B264" s="1">
        <v>8129</v>
      </c>
      <c r="C264" s="1">
        <v>9.2220000000000013</v>
      </c>
      <c r="D264" s="1">
        <v>-4.8570000000000019E-3</v>
      </c>
      <c r="E264" s="3">
        <v>315000</v>
      </c>
    </row>
    <row r="265" spans="1:5" x14ac:dyDescent="0.2">
      <c r="A265" s="1">
        <v>1</v>
      </c>
      <c r="B265" s="1">
        <v>8131</v>
      </c>
      <c r="C265" s="1">
        <v>9.3750000000000018</v>
      </c>
      <c r="D265" s="1">
        <v>-8.5570000000000038E-3</v>
      </c>
      <c r="E265" s="3">
        <v>144000</v>
      </c>
    </row>
    <row r="266" spans="1:5" x14ac:dyDescent="0.2">
      <c r="A266" s="1">
        <v>1</v>
      </c>
      <c r="B266" s="1">
        <v>8132</v>
      </c>
      <c r="C266" s="1">
        <v>9.4810000000000016</v>
      </c>
      <c r="D266" s="1">
        <v>0.13910000000000006</v>
      </c>
      <c r="E266" s="3">
        <v>175000</v>
      </c>
    </row>
    <row r="267" spans="1:5" x14ac:dyDescent="0.2">
      <c r="A267" s="1">
        <v>1</v>
      </c>
      <c r="B267" s="1">
        <v>8133</v>
      </c>
      <c r="C267" s="1">
        <v>9.392000000000003</v>
      </c>
      <c r="D267" s="1">
        <v>0.11650000000000003</v>
      </c>
      <c r="E267" s="3">
        <v>149000</v>
      </c>
    </row>
    <row r="268" spans="1:5" x14ac:dyDescent="0.2">
      <c r="A268" s="1">
        <v>1</v>
      </c>
      <c r="B268" s="1">
        <v>8134</v>
      </c>
      <c r="C268" s="1">
        <v>9.3450000000000024</v>
      </c>
      <c r="D268" s="1">
        <v>5.9210000000000026E-2</v>
      </c>
      <c r="E268" s="3">
        <v>131000</v>
      </c>
    </row>
    <row r="269" spans="1:5" x14ac:dyDescent="0.2">
      <c r="A269" s="1">
        <v>1</v>
      </c>
      <c r="B269" s="1">
        <v>8139</v>
      </c>
      <c r="C269" s="1">
        <v>9.4310000000000027</v>
      </c>
      <c r="D269" s="1">
        <v>0.15720000000000006</v>
      </c>
      <c r="E269" s="3">
        <v>576000</v>
      </c>
    </row>
    <row r="270" spans="1:5" x14ac:dyDescent="0.2">
      <c r="A270" s="1">
        <v>1</v>
      </c>
      <c r="B270" s="1">
        <v>8141</v>
      </c>
      <c r="C270" s="1">
        <v>9.1490000000000027</v>
      </c>
      <c r="D270" s="1">
        <v>0.25950000000000006</v>
      </c>
      <c r="E270" s="3">
        <v>99500</v>
      </c>
    </row>
    <row r="271" spans="1:5" x14ac:dyDescent="0.2">
      <c r="A271" s="1">
        <v>1</v>
      </c>
      <c r="B271" s="1">
        <v>9211</v>
      </c>
      <c r="C271" s="1">
        <v>9.4890000000000025</v>
      </c>
      <c r="D271" s="1">
        <v>0.25660000000000011</v>
      </c>
      <c r="E271" s="3">
        <v>5234000</v>
      </c>
    </row>
    <row r="272" spans="1:5" x14ac:dyDescent="0.2">
      <c r="A272" s="1">
        <v>1</v>
      </c>
      <c r="B272" s="1">
        <v>9221</v>
      </c>
      <c r="C272" s="1">
        <v>9.4350000000000023</v>
      </c>
      <c r="D272" s="1">
        <v>0.2773000000000001</v>
      </c>
      <c r="E272" s="3">
        <v>3191000</v>
      </c>
    </row>
    <row r="273" spans="1:5" x14ac:dyDescent="0.2">
      <c r="A273" s="1">
        <v>1</v>
      </c>
      <c r="B273" s="1">
        <v>9231</v>
      </c>
      <c r="C273" s="1">
        <v>9.3520000000000021</v>
      </c>
      <c r="D273" s="1">
        <v>0.18320000000000006</v>
      </c>
      <c r="E273" s="3">
        <v>1285000</v>
      </c>
    </row>
    <row r="274" spans="1:5" x14ac:dyDescent="0.2">
      <c r="A274" s="1">
        <v>1</v>
      </c>
      <c r="B274" s="1">
        <v>9241</v>
      </c>
      <c r="C274" s="1">
        <v>9.5150000000000023</v>
      </c>
      <c r="D274" s="1">
        <v>0.25040000000000007</v>
      </c>
      <c r="E274" s="3">
        <v>316000</v>
      </c>
    </row>
    <row r="275" spans="1:5" x14ac:dyDescent="0.2">
      <c r="A275" s="1">
        <v>1</v>
      </c>
      <c r="B275" s="1">
        <v>9251</v>
      </c>
      <c r="C275" s="1">
        <v>9.413000000000002</v>
      </c>
      <c r="D275" s="1">
        <v>0.17480000000000007</v>
      </c>
      <c r="E275" s="3">
        <v>77000</v>
      </c>
    </row>
    <row r="276" spans="1:5" x14ac:dyDescent="0.2">
      <c r="A276" s="1">
        <v>1</v>
      </c>
      <c r="B276" s="1">
        <v>9261</v>
      </c>
      <c r="C276" s="1">
        <v>9.4720000000000031</v>
      </c>
      <c r="D276" s="1">
        <v>0.18450000000000005</v>
      </c>
      <c r="E276" s="3">
        <v>418000</v>
      </c>
    </row>
    <row r="277" spans="1:5" x14ac:dyDescent="0.2">
      <c r="A277" s="1">
        <v>1</v>
      </c>
      <c r="B277" s="1">
        <v>9999</v>
      </c>
      <c r="C277" s="1">
        <v>9.3230000000000022</v>
      </c>
      <c r="D277" s="1">
        <v>0.21930000000000008</v>
      </c>
      <c r="E277" s="3">
        <v>2894000</v>
      </c>
    </row>
    <row r="278" spans="1:5" x14ac:dyDescent="0.2">
      <c r="A278" s="1">
        <v>2</v>
      </c>
      <c r="B278" s="1">
        <v>1111</v>
      </c>
      <c r="C278" s="1">
        <v>9.3100000000000023</v>
      </c>
      <c r="D278" s="1">
        <v>0.15340000000000004</v>
      </c>
      <c r="E278" s="3">
        <v>729000</v>
      </c>
    </row>
    <row r="279" spans="1:5" x14ac:dyDescent="0.2">
      <c r="A279" s="1">
        <v>2</v>
      </c>
      <c r="B279" s="1">
        <v>1112</v>
      </c>
      <c r="C279" s="1">
        <v>9.2230000000000025</v>
      </c>
      <c r="D279" s="1">
        <v>0.14600000000000005</v>
      </c>
      <c r="E279" s="3">
        <v>768000</v>
      </c>
    </row>
    <row r="280" spans="1:5" x14ac:dyDescent="0.2">
      <c r="A280" s="1">
        <v>2</v>
      </c>
      <c r="B280" s="1">
        <v>1113</v>
      </c>
      <c r="C280" s="1">
        <v>9.1830000000000016</v>
      </c>
      <c r="D280" s="1">
        <v>9.2950000000000033E-2</v>
      </c>
      <c r="E280" s="3">
        <v>1076000</v>
      </c>
    </row>
    <row r="281" spans="1:5" x14ac:dyDescent="0.2">
      <c r="A281" s="1">
        <v>2</v>
      </c>
      <c r="B281" s="1">
        <v>1114</v>
      </c>
      <c r="C281" s="1">
        <v>9.1920000000000019</v>
      </c>
      <c r="D281" s="1">
        <v>9.3560000000000046E-2</v>
      </c>
      <c r="E281" s="3">
        <v>1487000</v>
      </c>
    </row>
    <row r="282" spans="1:5" x14ac:dyDescent="0.2">
      <c r="A282" s="1">
        <v>2</v>
      </c>
      <c r="B282" s="1">
        <v>1121</v>
      </c>
      <c r="C282" s="1">
        <v>9.1880000000000024</v>
      </c>
      <c r="D282" s="1">
        <v>0.17140000000000005</v>
      </c>
      <c r="E282" s="3">
        <v>1767000</v>
      </c>
    </row>
    <row r="283" spans="1:5" x14ac:dyDescent="0.2">
      <c r="A283" s="1">
        <v>2</v>
      </c>
      <c r="B283" s="1">
        <v>1123</v>
      </c>
      <c r="C283" s="1">
        <v>9.147000000000002</v>
      </c>
      <c r="D283" s="1">
        <v>0.23490000000000008</v>
      </c>
      <c r="E283" s="3">
        <v>692000</v>
      </c>
    </row>
    <row r="284" spans="1:5" x14ac:dyDescent="0.2">
      <c r="A284" s="1">
        <v>2</v>
      </c>
      <c r="B284" s="1">
        <v>1129</v>
      </c>
      <c r="C284" s="1">
        <v>9.2250000000000014</v>
      </c>
      <c r="D284" s="1">
        <v>0.17410000000000006</v>
      </c>
      <c r="E284" s="3">
        <v>261000</v>
      </c>
    </row>
    <row r="285" spans="1:5" x14ac:dyDescent="0.2">
      <c r="A285" s="1">
        <v>2</v>
      </c>
      <c r="B285" s="1">
        <v>1132</v>
      </c>
      <c r="C285" s="1">
        <v>9.304000000000002</v>
      </c>
      <c r="D285" s="1">
        <v>0.13270000000000004</v>
      </c>
      <c r="E285" s="3">
        <v>29500</v>
      </c>
    </row>
    <row r="286" spans="1:5" x14ac:dyDescent="0.2">
      <c r="A286" s="1">
        <v>2</v>
      </c>
      <c r="B286" s="1">
        <v>1133</v>
      </c>
      <c r="C286" s="1">
        <v>9.3050000000000015</v>
      </c>
      <c r="D286" s="1">
        <v>0.19540000000000007</v>
      </c>
      <c r="E286" s="3">
        <v>1009000</v>
      </c>
    </row>
    <row r="287" spans="1:5" x14ac:dyDescent="0.2">
      <c r="A287" s="1">
        <v>2</v>
      </c>
      <c r="B287" s="1">
        <v>1141</v>
      </c>
      <c r="C287" s="1">
        <v>9.4610000000000021</v>
      </c>
      <c r="D287" s="1">
        <v>0.49130000000000018</v>
      </c>
      <c r="E287" s="3">
        <v>83000</v>
      </c>
    </row>
    <row r="288" spans="1:5" x14ac:dyDescent="0.2">
      <c r="A288" s="1">
        <v>2</v>
      </c>
      <c r="B288" s="1">
        <v>1142</v>
      </c>
      <c r="C288" s="1">
        <v>9.2380000000000013</v>
      </c>
      <c r="D288" s="1">
        <v>0.19490000000000007</v>
      </c>
      <c r="E288" s="3">
        <v>22000</v>
      </c>
    </row>
    <row r="289" spans="1:5" x14ac:dyDescent="0.2">
      <c r="A289" s="1">
        <v>2</v>
      </c>
      <c r="B289" s="1">
        <v>1151</v>
      </c>
      <c r="C289" s="1">
        <v>9.2060000000000031</v>
      </c>
      <c r="D289" s="1">
        <v>0.15930000000000005</v>
      </c>
      <c r="E289" s="3">
        <v>1769000</v>
      </c>
    </row>
    <row r="290" spans="1:5" x14ac:dyDescent="0.2">
      <c r="A290" s="1">
        <v>2</v>
      </c>
      <c r="B290" s="1">
        <v>1153</v>
      </c>
      <c r="C290" s="1">
        <v>9.3880000000000017</v>
      </c>
      <c r="D290" s="1">
        <v>0.19590000000000007</v>
      </c>
      <c r="E290" s="3">
        <v>236000</v>
      </c>
    </row>
    <row r="291" spans="1:5" x14ac:dyDescent="0.2">
      <c r="A291" s="1">
        <v>2</v>
      </c>
      <c r="B291" s="1">
        <v>2111</v>
      </c>
      <c r="C291" s="1">
        <v>9.6910000000000025</v>
      </c>
      <c r="D291" s="1">
        <v>0.63500000000000023</v>
      </c>
      <c r="E291" s="3">
        <v>2674000</v>
      </c>
    </row>
    <row r="292" spans="1:5" x14ac:dyDescent="0.2">
      <c r="A292" s="1">
        <v>2</v>
      </c>
      <c r="B292" s="1">
        <v>2123</v>
      </c>
      <c r="C292" s="1">
        <v>9.3670000000000027</v>
      </c>
      <c r="D292" s="1">
        <v>0.40820000000000012</v>
      </c>
      <c r="E292" s="3">
        <v>1952000</v>
      </c>
    </row>
    <row r="293" spans="1:5" x14ac:dyDescent="0.2">
      <c r="A293" s="1">
        <v>2</v>
      </c>
      <c r="B293" s="1">
        <v>2131</v>
      </c>
      <c r="C293" s="1">
        <v>9.3870000000000022</v>
      </c>
      <c r="D293" s="1">
        <v>0.64580000000000015</v>
      </c>
      <c r="E293" s="3">
        <v>5895000</v>
      </c>
    </row>
    <row r="294" spans="1:5" x14ac:dyDescent="0.2">
      <c r="A294" s="1">
        <v>2</v>
      </c>
      <c r="B294" s="1">
        <v>2211</v>
      </c>
      <c r="C294" s="1">
        <v>9.6800000000000015</v>
      </c>
      <c r="D294" s="1">
        <v>0.54360000000000019</v>
      </c>
      <c r="E294" s="3">
        <v>11520000</v>
      </c>
    </row>
    <row r="295" spans="1:5" x14ac:dyDescent="0.2">
      <c r="A295" s="1">
        <v>2</v>
      </c>
      <c r="B295" s="1">
        <v>2212</v>
      </c>
      <c r="C295" s="1">
        <v>9.6240000000000023</v>
      </c>
      <c r="D295" s="1">
        <v>0.49270000000000014</v>
      </c>
      <c r="E295" s="3">
        <v>2231000</v>
      </c>
    </row>
    <row r="296" spans="1:5" x14ac:dyDescent="0.2">
      <c r="A296" s="1">
        <v>2</v>
      </c>
      <c r="B296" s="1">
        <v>2213</v>
      </c>
      <c r="C296" s="1">
        <v>9.4820000000000029</v>
      </c>
      <c r="D296" s="1">
        <v>0.28910000000000008</v>
      </c>
      <c r="E296" s="3">
        <v>3913000</v>
      </c>
    </row>
    <row r="297" spans="1:5" x14ac:dyDescent="0.2">
      <c r="A297" s="1">
        <v>2</v>
      </c>
      <c r="B297" s="1">
        <v>2361</v>
      </c>
      <c r="C297" s="1">
        <v>9.4450000000000021</v>
      </c>
      <c r="D297" s="1">
        <v>0.16570000000000004</v>
      </c>
      <c r="E297" s="3">
        <v>8823000</v>
      </c>
    </row>
    <row r="298" spans="1:5" x14ac:dyDescent="0.2">
      <c r="A298" s="1">
        <v>2</v>
      </c>
      <c r="B298" s="1">
        <v>2362</v>
      </c>
      <c r="C298" s="1">
        <v>9.549000000000003</v>
      </c>
      <c r="D298" s="1">
        <v>0.32230000000000009</v>
      </c>
      <c r="E298" s="3">
        <v>12080000</v>
      </c>
    </row>
    <row r="299" spans="1:5" x14ac:dyDescent="0.2">
      <c r="A299" s="1">
        <v>2</v>
      </c>
      <c r="B299" s="1">
        <v>2371</v>
      </c>
      <c r="C299" s="1">
        <v>9.453000000000003</v>
      </c>
      <c r="D299" s="1">
        <v>0.36310000000000009</v>
      </c>
      <c r="E299" s="3">
        <v>7399000</v>
      </c>
    </row>
    <row r="300" spans="1:5" x14ac:dyDescent="0.2">
      <c r="A300" s="1">
        <v>2</v>
      </c>
      <c r="B300" s="1">
        <v>2372</v>
      </c>
      <c r="C300" s="1">
        <v>9.610000000000003</v>
      </c>
      <c r="D300" s="1">
        <v>0.26090000000000008</v>
      </c>
      <c r="E300" s="3">
        <v>635000</v>
      </c>
    </row>
    <row r="301" spans="1:5" x14ac:dyDescent="0.2">
      <c r="A301" s="1">
        <v>2</v>
      </c>
      <c r="B301" s="1">
        <v>2373</v>
      </c>
      <c r="C301" s="1">
        <v>9.4350000000000023</v>
      </c>
      <c r="D301" s="1">
        <v>0.28910000000000008</v>
      </c>
      <c r="E301" s="3">
        <v>8997000</v>
      </c>
    </row>
    <row r="302" spans="1:5" x14ac:dyDescent="0.2">
      <c r="A302" s="1">
        <v>2</v>
      </c>
      <c r="B302" s="1">
        <v>2379</v>
      </c>
      <c r="C302" s="1">
        <v>9.4680000000000017</v>
      </c>
      <c r="D302" s="1">
        <v>0.3877000000000001</v>
      </c>
      <c r="E302" s="3">
        <v>1587000</v>
      </c>
    </row>
    <row r="303" spans="1:5" x14ac:dyDescent="0.2">
      <c r="A303" s="1">
        <v>2</v>
      </c>
      <c r="B303" s="1">
        <v>2381</v>
      </c>
      <c r="C303" s="1">
        <v>9.376000000000003</v>
      </c>
      <c r="D303" s="1">
        <v>0.19530000000000006</v>
      </c>
      <c r="E303" s="3">
        <v>10190000</v>
      </c>
    </row>
    <row r="304" spans="1:5" x14ac:dyDescent="0.2">
      <c r="A304" s="1">
        <v>2</v>
      </c>
      <c r="B304" s="1">
        <v>2382</v>
      </c>
      <c r="C304" s="1">
        <v>9.4950000000000028</v>
      </c>
      <c r="D304" s="1">
        <v>0.23100000000000007</v>
      </c>
      <c r="E304" s="3">
        <v>31630000</v>
      </c>
    </row>
    <row r="305" spans="1:5" x14ac:dyDescent="0.2">
      <c r="A305" s="1">
        <v>2</v>
      </c>
      <c r="B305" s="1">
        <v>2383</v>
      </c>
      <c r="C305" s="1">
        <v>9.3720000000000017</v>
      </c>
      <c r="D305" s="1">
        <v>0.17700000000000005</v>
      </c>
      <c r="E305" s="3">
        <v>9352000</v>
      </c>
    </row>
    <row r="306" spans="1:5" x14ac:dyDescent="0.2">
      <c r="A306" s="1">
        <v>2</v>
      </c>
      <c r="B306" s="1">
        <v>2389</v>
      </c>
      <c r="C306" s="1">
        <v>9.3880000000000017</v>
      </c>
      <c r="D306" s="1">
        <v>0.24250000000000008</v>
      </c>
      <c r="E306" s="3">
        <v>8734000</v>
      </c>
    </row>
    <row r="307" spans="1:5" x14ac:dyDescent="0.2">
      <c r="A307" s="1">
        <v>2</v>
      </c>
      <c r="B307" s="1">
        <v>3111</v>
      </c>
      <c r="C307" s="1">
        <v>9.3310000000000031</v>
      </c>
      <c r="D307" s="1">
        <v>0.35970000000000013</v>
      </c>
      <c r="E307" s="3">
        <v>1210000</v>
      </c>
    </row>
    <row r="308" spans="1:5" x14ac:dyDescent="0.2">
      <c r="A308" s="1">
        <v>2</v>
      </c>
      <c r="B308" s="1">
        <v>3112</v>
      </c>
      <c r="C308" s="1">
        <v>9.3690000000000015</v>
      </c>
      <c r="D308" s="1">
        <v>0.45160000000000017</v>
      </c>
      <c r="E308" s="3">
        <v>1486000</v>
      </c>
    </row>
    <row r="309" spans="1:5" x14ac:dyDescent="0.2">
      <c r="A309" s="1">
        <v>2</v>
      </c>
      <c r="B309" s="1">
        <v>3113</v>
      </c>
      <c r="C309" s="1">
        <v>9.2730000000000015</v>
      </c>
      <c r="D309" s="1">
        <v>0.34930000000000011</v>
      </c>
      <c r="E309" s="3">
        <v>1128000</v>
      </c>
    </row>
    <row r="310" spans="1:5" x14ac:dyDescent="0.2">
      <c r="A310" s="1">
        <v>2</v>
      </c>
      <c r="B310" s="1">
        <v>3114</v>
      </c>
      <c r="C310" s="1">
        <v>9.208000000000002</v>
      </c>
      <c r="D310" s="1">
        <v>0.32760000000000011</v>
      </c>
      <c r="E310" s="3">
        <v>3292000</v>
      </c>
    </row>
    <row r="311" spans="1:5" x14ac:dyDescent="0.2">
      <c r="A311" s="1">
        <v>2</v>
      </c>
      <c r="B311" s="1">
        <v>3115</v>
      </c>
      <c r="C311" s="1">
        <v>9.2840000000000025</v>
      </c>
      <c r="D311" s="1">
        <v>0.40990000000000015</v>
      </c>
      <c r="E311" s="3">
        <v>2990000</v>
      </c>
    </row>
    <row r="312" spans="1:5" x14ac:dyDescent="0.2">
      <c r="A312" s="1">
        <v>2</v>
      </c>
      <c r="B312" s="1">
        <v>3116</v>
      </c>
      <c r="C312" s="1">
        <v>9.0120000000000022</v>
      </c>
      <c r="D312" s="1">
        <v>0.29170000000000007</v>
      </c>
      <c r="E312" s="3">
        <v>10260000</v>
      </c>
    </row>
    <row r="313" spans="1:5" x14ac:dyDescent="0.2">
      <c r="A313" s="1">
        <v>2</v>
      </c>
      <c r="B313" s="1">
        <v>3118</v>
      </c>
      <c r="C313" s="1">
        <v>9.1820000000000022</v>
      </c>
      <c r="D313" s="1">
        <v>0.28580000000000011</v>
      </c>
      <c r="E313" s="3">
        <v>4099000</v>
      </c>
    </row>
    <row r="314" spans="1:5" x14ac:dyDescent="0.2">
      <c r="A314" s="1">
        <v>2</v>
      </c>
      <c r="B314" s="1">
        <v>3119</v>
      </c>
      <c r="C314" s="1">
        <v>9.2950000000000017</v>
      </c>
      <c r="D314" s="1">
        <v>0.32690000000000008</v>
      </c>
      <c r="E314" s="3">
        <v>3455000</v>
      </c>
    </row>
    <row r="315" spans="1:5" x14ac:dyDescent="0.2">
      <c r="A315" s="1">
        <v>2</v>
      </c>
      <c r="B315" s="1">
        <v>3121</v>
      </c>
      <c r="C315" s="1">
        <v>9.381000000000002</v>
      </c>
      <c r="D315" s="1">
        <v>0.31340000000000012</v>
      </c>
      <c r="E315" s="3">
        <v>3382000</v>
      </c>
    </row>
    <row r="316" spans="1:5" x14ac:dyDescent="0.2">
      <c r="A316" s="1">
        <v>2</v>
      </c>
      <c r="B316" s="1">
        <v>3133</v>
      </c>
      <c r="C316" s="1">
        <v>9.2380000000000013</v>
      </c>
      <c r="D316" s="1">
        <v>0.22900000000000006</v>
      </c>
      <c r="E316" s="3">
        <v>644000</v>
      </c>
    </row>
    <row r="317" spans="1:5" x14ac:dyDescent="0.2">
      <c r="A317" s="1">
        <v>2</v>
      </c>
      <c r="B317" s="1">
        <v>3141</v>
      </c>
      <c r="C317" s="1">
        <v>9.126000000000003</v>
      </c>
      <c r="D317" s="1">
        <v>0.25340000000000007</v>
      </c>
      <c r="E317" s="3">
        <v>1160000</v>
      </c>
    </row>
    <row r="318" spans="1:5" x14ac:dyDescent="0.2">
      <c r="A318" s="1">
        <v>2</v>
      </c>
      <c r="B318" s="1">
        <v>3149</v>
      </c>
      <c r="C318" s="1">
        <v>9.1820000000000022</v>
      </c>
      <c r="D318" s="1">
        <v>0.13350000000000004</v>
      </c>
      <c r="E318" s="3">
        <v>1032000</v>
      </c>
    </row>
    <row r="319" spans="1:5" x14ac:dyDescent="0.2">
      <c r="A319" s="1">
        <v>2</v>
      </c>
      <c r="B319" s="1">
        <v>3151</v>
      </c>
      <c r="C319" s="1">
        <v>9.0880000000000027</v>
      </c>
      <c r="D319" s="1">
        <v>0.14440000000000006</v>
      </c>
      <c r="E319" s="3">
        <v>268000</v>
      </c>
    </row>
    <row r="320" spans="1:5" x14ac:dyDescent="0.2">
      <c r="A320" s="1">
        <v>2</v>
      </c>
      <c r="B320" s="1">
        <v>3152</v>
      </c>
      <c r="C320" s="1">
        <v>9.2770000000000028</v>
      </c>
      <c r="D320" s="1">
        <v>0.13880000000000003</v>
      </c>
      <c r="E320" s="3">
        <v>1555000</v>
      </c>
    </row>
    <row r="321" spans="1:5" x14ac:dyDescent="0.2">
      <c r="A321" s="1">
        <v>2</v>
      </c>
      <c r="B321" s="1">
        <v>3159</v>
      </c>
      <c r="C321" s="1">
        <v>9.1960000000000015</v>
      </c>
      <c r="D321" s="1">
        <v>0.12810000000000005</v>
      </c>
      <c r="E321" s="3">
        <v>185000</v>
      </c>
    </row>
    <row r="322" spans="1:5" x14ac:dyDescent="0.2">
      <c r="A322" s="1">
        <v>2</v>
      </c>
      <c r="B322" s="1">
        <v>3161</v>
      </c>
      <c r="C322" s="1">
        <v>9.2040000000000024</v>
      </c>
      <c r="D322" s="1">
        <v>0.2546000000000001</v>
      </c>
      <c r="E322" s="3">
        <v>77000</v>
      </c>
    </row>
    <row r="323" spans="1:5" x14ac:dyDescent="0.2">
      <c r="A323" s="1">
        <v>2</v>
      </c>
      <c r="B323" s="1">
        <v>3162</v>
      </c>
      <c r="C323" s="1">
        <v>9.1880000000000024</v>
      </c>
      <c r="D323" s="1">
        <v>0.16070000000000007</v>
      </c>
      <c r="E323" s="3">
        <v>299000</v>
      </c>
    </row>
    <row r="324" spans="1:5" x14ac:dyDescent="0.2">
      <c r="A324" s="1">
        <v>2</v>
      </c>
      <c r="B324" s="1">
        <v>3212</v>
      </c>
      <c r="C324" s="1">
        <v>9.2450000000000028</v>
      </c>
      <c r="D324" s="1">
        <v>0.29810000000000009</v>
      </c>
      <c r="E324" s="3">
        <v>1545000</v>
      </c>
    </row>
    <row r="325" spans="1:5" x14ac:dyDescent="0.2">
      <c r="A325" s="1">
        <v>2</v>
      </c>
      <c r="B325" s="1">
        <v>3219</v>
      </c>
      <c r="C325" s="1">
        <v>9.2090000000000014</v>
      </c>
      <c r="D325" s="1">
        <v>0.17780000000000007</v>
      </c>
      <c r="E325" s="3">
        <v>3936000</v>
      </c>
    </row>
    <row r="326" spans="1:5" x14ac:dyDescent="0.2">
      <c r="A326" s="1">
        <v>2</v>
      </c>
      <c r="B326" s="1">
        <v>3221</v>
      </c>
      <c r="C326" s="1">
        <v>9.4600000000000026</v>
      </c>
      <c r="D326" s="1">
        <v>0.56140000000000023</v>
      </c>
      <c r="E326" s="3">
        <v>2863000</v>
      </c>
    </row>
    <row r="327" spans="1:5" x14ac:dyDescent="0.2">
      <c r="A327" s="1">
        <v>2</v>
      </c>
      <c r="B327" s="1">
        <v>3222</v>
      </c>
      <c r="C327" s="1">
        <v>9.304000000000002</v>
      </c>
      <c r="D327" s="1">
        <v>0.37330000000000013</v>
      </c>
      <c r="E327" s="3">
        <v>5769000</v>
      </c>
    </row>
    <row r="328" spans="1:5" x14ac:dyDescent="0.2">
      <c r="A328" s="1">
        <v>2</v>
      </c>
      <c r="B328" s="1">
        <v>3231</v>
      </c>
      <c r="C328" s="1">
        <v>9.3130000000000024</v>
      </c>
      <c r="D328" s="1">
        <v>0.21190000000000006</v>
      </c>
      <c r="E328" s="3">
        <v>8315000</v>
      </c>
    </row>
    <row r="329" spans="1:5" x14ac:dyDescent="0.2">
      <c r="A329" s="1">
        <v>2</v>
      </c>
      <c r="B329" s="1">
        <v>3241</v>
      </c>
      <c r="C329" s="1">
        <v>9.6130000000000031</v>
      </c>
      <c r="D329" s="1">
        <v>0.6343000000000002</v>
      </c>
      <c r="E329" s="3">
        <v>2312000</v>
      </c>
    </row>
    <row r="330" spans="1:5" x14ac:dyDescent="0.2">
      <c r="A330" s="1">
        <v>2</v>
      </c>
      <c r="B330" s="1">
        <v>3251</v>
      </c>
      <c r="C330" s="1">
        <v>9.5440000000000023</v>
      </c>
      <c r="D330" s="1">
        <v>0.5476000000000002</v>
      </c>
      <c r="E330" s="3">
        <v>3178000</v>
      </c>
    </row>
    <row r="331" spans="1:5" x14ac:dyDescent="0.2">
      <c r="A331" s="1">
        <v>2</v>
      </c>
      <c r="B331" s="1">
        <v>3252</v>
      </c>
      <c r="C331" s="1">
        <v>9.4940000000000015</v>
      </c>
      <c r="D331" s="1">
        <v>0.51710000000000012</v>
      </c>
      <c r="E331" s="3">
        <v>2230000</v>
      </c>
    </row>
    <row r="332" spans="1:5" x14ac:dyDescent="0.2">
      <c r="A332" s="1">
        <v>2</v>
      </c>
      <c r="B332" s="1">
        <v>3253</v>
      </c>
      <c r="C332" s="1">
        <v>9.4940000000000015</v>
      </c>
      <c r="D332" s="1">
        <v>0.47390000000000015</v>
      </c>
      <c r="E332" s="3">
        <v>766000</v>
      </c>
    </row>
    <row r="333" spans="1:5" x14ac:dyDescent="0.2">
      <c r="A333" s="1">
        <v>2</v>
      </c>
      <c r="B333" s="1">
        <v>3254</v>
      </c>
      <c r="C333" s="1">
        <v>9.5740000000000016</v>
      </c>
      <c r="D333" s="1">
        <v>0.45660000000000017</v>
      </c>
      <c r="E333" s="3">
        <v>4980000</v>
      </c>
    </row>
    <row r="334" spans="1:5" x14ac:dyDescent="0.2">
      <c r="A334" s="1">
        <v>2</v>
      </c>
      <c r="B334" s="1">
        <v>3255</v>
      </c>
      <c r="C334" s="1">
        <v>9.4450000000000021</v>
      </c>
      <c r="D334" s="1">
        <v>0.33610000000000012</v>
      </c>
      <c r="E334" s="3">
        <v>1056000</v>
      </c>
    </row>
    <row r="335" spans="1:5" x14ac:dyDescent="0.2">
      <c r="A335" s="1">
        <v>2</v>
      </c>
      <c r="B335" s="1">
        <v>3256</v>
      </c>
      <c r="C335" s="1">
        <v>9.3980000000000015</v>
      </c>
      <c r="D335" s="1">
        <v>0.32930000000000009</v>
      </c>
      <c r="E335" s="3">
        <v>1933000</v>
      </c>
    </row>
    <row r="336" spans="1:5" x14ac:dyDescent="0.2">
      <c r="A336" s="1">
        <v>2</v>
      </c>
      <c r="B336" s="1">
        <v>3259</v>
      </c>
      <c r="C336" s="1">
        <v>9.4010000000000016</v>
      </c>
      <c r="D336" s="1">
        <v>0.37930000000000014</v>
      </c>
      <c r="E336" s="3">
        <v>1693000</v>
      </c>
    </row>
    <row r="337" spans="1:5" x14ac:dyDescent="0.2">
      <c r="A337" s="1">
        <v>2</v>
      </c>
      <c r="B337" s="1">
        <v>3261</v>
      </c>
      <c r="C337" s="1">
        <v>9.2470000000000017</v>
      </c>
      <c r="D337" s="1">
        <v>0.28000000000000008</v>
      </c>
      <c r="E337" s="3">
        <v>10910000</v>
      </c>
    </row>
    <row r="338" spans="1:5" x14ac:dyDescent="0.2">
      <c r="A338" s="1">
        <v>2</v>
      </c>
      <c r="B338" s="1">
        <v>3262</v>
      </c>
      <c r="C338" s="1">
        <v>9.2770000000000028</v>
      </c>
      <c r="D338" s="1">
        <v>0.3917000000000001</v>
      </c>
      <c r="E338" s="3">
        <v>3238000</v>
      </c>
    </row>
    <row r="339" spans="1:5" x14ac:dyDescent="0.2">
      <c r="A339" s="1">
        <v>2</v>
      </c>
      <c r="B339" s="1">
        <v>3272</v>
      </c>
      <c r="C339" s="1">
        <v>9.2860000000000014</v>
      </c>
      <c r="D339" s="1">
        <v>0.39790000000000014</v>
      </c>
      <c r="E339" s="3">
        <v>1712000</v>
      </c>
    </row>
    <row r="340" spans="1:5" x14ac:dyDescent="0.2">
      <c r="A340" s="1">
        <v>2</v>
      </c>
      <c r="B340" s="1">
        <v>3273</v>
      </c>
      <c r="C340" s="1">
        <v>9.3400000000000016</v>
      </c>
      <c r="D340" s="1">
        <v>0.30930000000000007</v>
      </c>
      <c r="E340" s="3">
        <v>3389000</v>
      </c>
    </row>
    <row r="341" spans="1:5" x14ac:dyDescent="0.2">
      <c r="A341" s="1">
        <v>2</v>
      </c>
      <c r="B341" s="1">
        <v>3274</v>
      </c>
      <c r="C341" s="1">
        <v>9.333000000000002</v>
      </c>
      <c r="D341" s="1">
        <v>0.50440000000000018</v>
      </c>
      <c r="E341" s="3">
        <v>344000</v>
      </c>
    </row>
    <row r="342" spans="1:5" x14ac:dyDescent="0.2">
      <c r="A342" s="1">
        <v>2</v>
      </c>
      <c r="B342" s="1">
        <v>3279</v>
      </c>
      <c r="C342" s="1">
        <v>9.3340000000000014</v>
      </c>
      <c r="D342" s="1">
        <v>0.32100000000000012</v>
      </c>
      <c r="E342" s="3">
        <v>1432000</v>
      </c>
    </row>
    <row r="343" spans="1:5" x14ac:dyDescent="0.2">
      <c r="A343" s="1">
        <v>2</v>
      </c>
      <c r="B343" s="1">
        <v>3311</v>
      </c>
      <c r="C343" s="1">
        <v>9.3960000000000026</v>
      </c>
      <c r="D343" s="1">
        <v>0.68390000000000017</v>
      </c>
      <c r="E343" s="3">
        <v>2004000</v>
      </c>
    </row>
    <row r="344" spans="1:5" x14ac:dyDescent="0.2">
      <c r="A344" s="1">
        <v>2</v>
      </c>
      <c r="B344" s="1">
        <v>3312</v>
      </c>
      <c r="C344" s="1">
        <v>9.328000000000003</v>
      </c>
      <c r="D344" s="1">
        <v>0.43900000000000011</v>
      </c>
      <c r="E344" s="3">
        <v>1202000</v>
      </c>
    </row>
    <row r="345" spans="1:5" x14ac:dyDescent="0.2">
      <c r="A345" s="1">
        <v>2</v>
      </c>
      <c r="B345" s="1">
        <v>3314</v>
      </c>
      <c r="C345" s="1">
        <v>9.3550000000000022</v>
      </c>
      <c r="D345" s="1">
        <v>0.44400000000000012</v>
      </c>
      <c r="E345" s="3">
        <v>1350000</v>
      </c>
    </row>
    <row r="346" spans="1:5" x14ac:dyDescent="0.2">
      <c r="A346" s="1">
        <v>2</v>
      </c>
      <c r="B346" s="1">
        <v>3315</v>
      </c>
      <c r="C346" s="1">
        <v>9.2710000000000026</v>
      </c>
      <c r="D346" s="1">
        <v>0.37970000000000015</v>
      </c>
      <c r="E346" s="3">
        <v>2805000</v>
      </c>
    </row>
    <row r="347" spans="1:5" x14ac:dyDescent="0.2">
      <c r="A347" s="1">
        <v>2</v>
      </c>
      <c r="B347" s="1">
        <v>3321</v>
      </c>
      <c r="C347" s="1">
        <v>9.3190000000000026</v>
      </c>
      <c r="D347" s="1">
        <v>0.30240000000000011</v>
      </c>
      <c r="E347" s="3">
        <v>1881000</v>
      </c>
    </row>
    <row r="348" spans="1:5" x14ac:dyDescent="0.2">
      <c r="A348" s="1">
        <v>2</v>
      </c>
      <c r="B348" s="1">
        <v>3323</v>
      </c>
      <c r="C348" s="1">
        <v>9.3290000000000024</v>
      </c>
      <c r="D348" s="1">
        <v>0.25940000000000007</v>
      </c>
      <c r="E348" s="3">
        <v>6712000</v>
      </c>
    </row>
    <row r="349" spans="1:5" x14ac:dyDescent="0.2">
      <c r="A349" s="1">
        <v>2</v>
      </c>
      <c r="B349" s="1">
        <v>3324</v>
      </c>
      <c r="C349" s="1">
        <v>9.3630000000000031</v>
      </c>
      <c r="D349" s="1">
        <v>0.38190000000000013</v>
      </c>
      <c r="E349" s="3">
        <v>1948000</v>
      </c>
    </row>
    <row r="350" spans="1:5" x14ac:dyDescent="0.2">
      <c r="A350" s="1">
        <v>2</v>
      </c>
      <c r="B350" s="1">
        <v>3325</v>
      </c>
      <c r="C350" s="1">
        <v>9.3170000000000019</v>
      </c>
      <c r="D350" s="1">
        <v>0.26380000000000009</v>
      </c>
      <c r="E350" s="3">
        <v>494000</v>
      </c>
    </row>
    <row r="351" spans="1:5" x14ac:dyDescent="0.2">
      <c r="A351" s="1">
        <v>2</v>
      </c>
      <c r="B351" s="1">
        <v>3326</v>
      </c>
      <c r="C351" s="1">
        <v>9.2650000000000023</v>
      </c>
      <c r="D351" s="1">
        <v>0.25420000000000009</v>
      </c>
      <c r="E351" s="3">
        <v>776000</v>
      </c>
    </row>
    <row r="352" spans="1:5" x14ac:dyDescent="0.2">
      <c r="A352" s="1">
        <v>2</v>
      </c>
      <c r="B352" s="1">
        <v>3327</v>
      </c>
      <c r="C352" s="1">
        <v>9.3820000000000014</v>
      </c>
      <c r="D352" s="1">
        <v>0.23880000000000007</v>
      </c>
      <c r="E352" s="3">
        <v>6460000</v>
      </c>
    </row>
    <row r="353" spans="1:5" x14ac:dyDescent="0.2">
      <c r="A353" s="1">
        <v>2</v>
      </c>
      <c r="B353" s="1">
        <v>3328</v>
      </c>
      <c r="C353" s="1">
        <v>9.2650000000000023</v>
      </c>
      <c r="D353" s="1">
        <v>0.24710000000000007</v>
      </c>
      <c r="E353" s="3">
        <v>2234000</v>
      </c>
    </row>
    <row r="354" spans="1:5" x14ac:dyDescent="0.2">
      <c r="A354" s="1">
        <v>2</v>
      </c>
      <c r="B354" s="1">
        <v>3329</v>
      </c>
      <c r="C354" s="1">
        <v>9.3630000000000031</v>
      </c>
      <c r="D354" s="1">
        <v>0.3398000000000001</v>
      </c>
      <c r="E354" s="3">
        <v>5470000</v>
      </c>
    </row>
    <row r="355" spans="1:5" x14ac:dyDescent="0.2">
      <c r="A355" s="1">
        <v>2</v>
      </c>
      <c r="B355" s="1">
        <v>3331</v>
      </c>
      <c r="C355" s="1">
        <v>9.381000000000002</v>
      </c>
      <c r="D355" s="1">
        <v>0.39740000000000014</v>
      </c>
      <c r="E355" s="3">
        <v>4824000</v>
      </c>
    </row>
    <row r="356" spans="1:5" x14ac:dyDescent="0.2">
      <c r="A356" s="1">
        <v>2</v>
      </c>
      <c r="B356" s="1">
        <v>3332</v>
      </c>
      <c r="C356" s="1">
        <v>9.5250000000000021</v>
      </c>
      <c r="D356" s="1">
        <v>0.3126000000000001</v>
      </c>
      <c r="E356" s="3">
        <v>2109000</v>
      </c>
    </row>
    <row r="357" spans="1:5" x14ac:dyDescent="0.2">
      <c r="A357" s="1">
        <v>2</v>
      </c>
      <c r="B357" s="1">
        <v>3333</v>
      </c>
      <c r="C357" s="1">
        <v>9.4520000000000017</v>
      </c>
      <c r="D357" s="1">
        <v>0.30140000000000011</v>
      </c>
      <c r="E357" s="3">
        <v>1757000</v>
      </c>
    </row>
    <row r="358" spans="1:5" x14ac:dyDescent="0.2">
      <c r="A358" s="1">
        <v>2</v>
      </c>
      <c r="B358" s="1">
        <v>3334</v>
      </c>
      <c r="C358" s="1">
        <v>9.2910000000000021</v>
      </c>
      <c r="D358" s="1">
        <v>0.28920000000000007</v>
      </c>
      <c r="E358" s="3">
        <v>2743000</v>
      </c>
    </row>
    <row r="359" spans="1:5" x14ac:dyDescent="0.2">
      <c r="A359" s="1">
        <v>2</v>
      </c>
      <c r="B359" s="1">
        <v>3335</v>
      </c>
      <c r="C359" s="1">
        <v>9.4350000000000023</v>
      </c>
      <c r="D359" s="1">
        <v>0.2612000000000001</v>
      </c>
      <c r="E359" s="3">
        <v>3297000</v>
      </c>
    </row>
    <row r="360" spans="1:5" x14ac:dyDescent="0.2">
      <c r="A360" s="1">
        <v>2</v>
      </c>
      <c r="B360" s="1">
        <v>3339</v>
      </c>
      <c r="C360" s="1">
        <v>9.4280000000000026</v>
      </c>
      <c r="D360" s="1">
        <v>0.33840000000000009</v>
      </c>
      <c r="E360" s="3">
        <v>5419000</v>
      </c>
    </row>
    <row r="361" spans="1:5" x14ac:dyDescent="0.2">
      <c r="A361" s="1">
        <v>2</v>
      </c>
      <c r="B361" s="1">
        <v>3341</v>
      </c>
      <c r="C361" s="1">
        <v>9.8570000000000029</v>
      </c>
      <c r="D361" s="1">
        <v>0.46800000000000014</v>
      </c>
      <c r="E361" s="3">
        <v>2659000</v>
      </c>
    </row>
    <row r="362" spans="1:5" x14ac:dyDescent="0.2">
      <c r="A362" s="1">
        <v>2</v>
      </c>
      <c r="B362" s="1">
        <v>3342</v>
      </c>
      <c r="C362" s="1">
        <v>9.7150000000000016</v>
      </c>
      <c r="D362" s="1">
        <v>0.38140000000000013</v>
      </c>
      <c r="E362" s="3">
        <v>1802000</v>
      </c>
    </row>
    <row r="363" spans="1:5" x14ac:dyDescent="0.2">
      <c r="A363" s="1">
        <v>2</v>
      </c>
      <c r="B363" s="1">
        <v>3344</v>
      </c>
      <c r="C363" s="1">
        <v>9.594000000000003</v>
      </c>
      <c r="D363" s="1">
        <v>0.40640000000000015</v>
      </c>
      <c r="E363" s="3">
        <v>7679000</v>
      </c>
    </row>
    <row r="364" spans="1:5" x14ac:dyDescent="0.2">
      <c r="A364" s="1">
        <v>2</v>
      </c>
      <c r="B364" s="1">
        <v>3345</v>
      </c>
      <c r="C364" s="1">
        <v>9.6970000000000027</v>
      </c>
      <c r="D364" s="1">
        <v>0.40350000000000014</v>
      </c>
      <c r="E364" s="3">
        <v>8528000</v>
      </c>
    </row>
    <row r="365" spans="1:5" x14ac:dyDescent="0.2">
      <c r="A365" s="1">
        <v>2</v>
      </c>
      <c r="B365" s="1">
        <v>3352</v>
      </c>
      <c r="C365" s="1">
        <v>9.2970000000000024</v>
      </c>
      <c r="D365" s="1">
        <v>0.3292000000000001</v>
      </c>
      <c r="E365" s="3">
        <v>1571000</v>
      </c>
    </row>
    <row r="366" spans="1:5" x14ac:dyDescent="0.2">
      <c r="A366" s="1">
        <v>2</v>
      </c>
      <c r="B366" s="1">
        <v>3353</v>
      </c>
      <c r="C366" s="1">
        <v>9.4300000000000015</v>
      </c>
      <c r="D366" s="1">
        <v>0.34360000000000013</v>
      </c>
      <c r="E366" s="3">
        <v>3031000</v>
      </c>
    </row>
    <row r="367" spans="1:5" x14ac:dyDescent="0.2">
      <c r="A367" s="1">
        <v>2</v>
      </c>
      <c r="B367" s="1">
        <v>3359</v>
      </c>
      <c r="C367" s="1">
        <v>9.349000000000002</v>
      </c>
      <c r="D367" s="1">
        <v>0.3600000000000001</v>
      </c>
      <c r="E367" s="3">
        <v>2709000</v>
      </c>
    </row>
    <row r="368" spans="1:5" x14ac:dyDescent="0.2">
      <c r="A368" s="1">
        <v>2</v>
      </c>
      <c r="B368" s="1">
        <v>3363</v>
      </c>
      <c r="C368" s="1">
        <v>9.2410000000000014</v>
      </c>
      <c r="D368" s="1">
        <v>0.38030000000000014</v>
      </c>
      <c r="E368" s="3">
        <v>10890000</v>
      </c>
    </row>
    <row r="369" spans="1:5" x14ac:dyDescent="0.2">
      <c r="A369" s="1">
        <v>2</v>
      </c>
      <c r="B369" s="1">
        <v>3364</v>
      </c>
      <c r="C369" s="1">
        <v>9.7300000000000022</v>
      </c>
      <c r="D369" s="1">
        <v>0.45430000000000015</v>
      </c>
      <c r="E369" s="3">
        <v>11920000</v>
      </c>
    </row>
    <row r="370" spans="1:5" x14ac:dyDescent="0.2">
      <c r="A370" s="1">
        <v>2</v>
      </c>
      <c r="B370" s="1">
        <v>3365</v>
      </c>
      <c r="C370" s="1">
        <v>9.349000000000002</v>
      </c>
      <c r="D370" s="1">
        <v>0.45330000000000015</v>
      </c>
      <c r="E370" s="3">
        <v>555000</v>
      </c>
    </row>
    <row r="371" spans="1:5" x14ac:dyDescent="0.2">
      <c r="A371" s="1">
        <v>2</v>
      </c>
      <c r="B371" s="1">
        <v>3366</v>
      </c>
      <c r="C371" s="1">
        <v>9.3450000000000024</v>
      </c>
      <c r="D371" s="1">
        <v>0.3852000000000001</v>
      </c>
      <c r="E371" s="3">
        <v>2781000</v>
      </c>
    </row>
    <row r="372" spans="1:5" x14ac:dyDescent="0.2">
      <c r="A372" s="1">
        <v>2</v>
      </c>
      <c r="B372" s="1">
        <v>3369</v>
      </c>
      <c r="C372" s="1">
        <v>9.3580000000000023</v>
      </c>
      <c r="D372" s="1">
        <v>0.37630000000000013</v>
      </c>
      <c r="E372" s="3">
        <v>775000</v>
      </c>
    </row>
    <row r="373" spans="1:5" x14ac:dyDescent="0.2">
      <c r="A373" s="1">
        <v>2</v>
      </c>
      <c r="B373" s="1">
        <v>3371</v>
      </c>
      <c r="C373" s="1">
        <v>9.1970000000000027</v>
      </c>
      <c r="D373" s="1">
        <v>0.16430000000000006</v>
      </c>
      <c r="E373" s="3">
        <v>4638000</v>
      </c>
    </row>
    <row r="374" spans="1:5" x14ac:dyDescent="0.2">
      <c r="A374" s="1">
        <v>2</v>
      </c>
      <c r="B374" s="1">
        <v>3372</v>
      </c>
      <c r="C374" s="1">
        <v>9.3150000000000031</v>
      </c>
      <c r="D374" s="1">
        <v>0.23880000000000007</v>
      </c>
      <c r="E374" s="3">
        <v>2147000</v>
      </c>
    </row>
    <row r="375" spans="1:5" x14ac:dyDescent="0.2">
      <c r="A375" s="1">
        <v>2</v>
      </c>
      <c r="B375" s="1">
        <v>3391</v>
      </c>
      <c r="C375" s="1">
        <v>9.4110000000000014</v>
      </c>
      <c r="D375" s="1">
        <v>0.32540000000000008</v>
      </c>
      <c r="E375" s="3">
        <v>5735000</v>
      </c>
    </row>
    <row r="376" spans="1:5" x14ac:dyDescent="0.2">
      <c r="A376" s="1">
        <v>2</v>
      </c>
      <c r="B376" s="1">
        <v>3399</v>
      </c>
      <c r="C376" s="1">
        <v>9.333000000000002</v>
      </c>
      <c r="D376" s="1">
        <v>0.21550000000000008</v>
      </c>
      <c r="E376" s="3">
        <v>5033000</v>
      </c>
    </row>
    <row r="377" spans="1:5" x14ac:dyDescent="0.2">
      <c r="A377" s="1">
        <v>2</v>
      </c>
      <c r="B377" s="1">
        <v>4231</v>
      </c>
      <c r="C377" s="1">
        <v>9.4020000000000028</v>
      </c>
      <c r="D377" s="1">
        <v>0.21010000000000006</v>
      </c>
      <c r="E377" s="3">
        <v>5425000</v>
      </c>
    </row>
    <row r="378" spans="1:5" x14ac:dyDescent="0.2">
      <c r="A378" s="1">
        <v>2</v>
      </c>
      <c r="B378" s="1">
        <v>4232</v>
      </c>
      <c r="C378" s="1">
        <v>9.4590000000000014</v>
      </c>
      <c r="D378" s="1">
        <v>0.20660000000000006</v>
      </c>
      <c r="E378" s="3">
        <v>1631000</v>
      </c>
    </row>
    <row r="379" spans="1:5" x14ac:dyDescent="0.2">
      <c r="A379" s="1">
        <v>2</v>
      </c>
      <c r="B379" s="1">
        <v>4233</v>
      </c>
      <c r="C379" s="1">
        <v>9.4280000000000026</v>
      </c>
      <c r="D379" s="1">
        <v>0.23480000000000006</v>
      </c>
      <c r="E379" s="3">
        <v>3697000</v>
      </c>
    </row>
    <row r="380" spans="1:5" x14ac:dyDescent="0.2">
      <c r="A380" s="1">
        <v>2</v>
      </c>
      <c r="B380" s="1">
        <v>4234</v>
      </c>
      <c r="C380" s="1">
        <v>9.6810000000000027</v>
      </c>
      <c r="D380" s="1">
        <v>0.34200000000000008</v>
      </c>
      <c r="E380" s="3">
        <v>10970000</v>
      </c>
    </row>
    <row r="381" spans="1:5" x14ac:dyDescent="0.2">
      <c r="A381" s="1">
        <v>2</v>
      </c>
      <c r="B381" s="1">
        <v>4235</v>
      </c>
      <c r="C381" s="1">
        <v>9.4070000000000018</v>
      </c>
      <c r="D381" s="1">
        <v>0.29360000000000008</v>
      </c>
      <c r="E381" s="3">
        <v>2109000</v>
      </c>
    </row>
    <row r="382" spans="1:5" x14ac:dyDescent="0.2">
      <c r="A382" s="1">
        <v>2</v>
      </c>
      <c r="B382" s="1">
        <v>4236</v>
      </c>
      <c r="C382" s="1">
        <v>9.6000000000000014</v>
      </c>
      <c r="D382" s="1">
        <v>0.29020000000000007</v>
      </c>
      <c r="E382" s="3">
        <v>5800000</v>
      </c>
    </row>
    <row r="383" spans="1:5" x14ac:dyDescent="0.2">
      <c r="A383" s="1">
        <v>2</v>
      </c>
      <c r="B383" s="1">
        <v>4237</v>
      </c>
      <c r="C383" s="1">
        <v>9.4820000000000029</v>
      </c>
      <c r="D383" s="1">
        <v>0.22900000000000006</v>
      </c>
      <c r="E383" s="3">
        <v>4283000</v>
      </c>
    </row>
    <row r="384" spans="1:5" x14ac:dyDescent="0.2">
      <c r="A384" s="1">
        <v>2</v>
      </c>
      <c r="B384" s="1">
        <v>4238</v>
      </c>
      <c r="C384" s="1">
        <v>9.4990000000000023</v>
      </c>
      <c r="D384" s="1">
        <v>0.27340000000000009</v>
      </c>
      <c r="E384" s="3">
        <v>11960000</v>
      </c>
    </row>
    <row r="385" spans="1:5" x14ac:dyDescent="0.2">
      <c r="A385" s="1">
        <v>2</v>
      </c>
      <c r="B385" s="1">
        <v>4239</v>
      </c>
      <c r="C385" s="1">
        <v>9.3890000000000029</v>
      </c>
      <c r="D385" s="1">
        <v>0.21010000000000006</v>
      </c>
      <c r="E385" s="3">
        <v>4578000</v>
      </c>
    </row>
    <row r="386" spans="1:5" x14ac:dyDescent="0.2">
      <c r="A386" s="1">
        <v>2</v>
      </c>
      <c r="B386" s="1">
        <v>4241</v>
      </c>
      <c r="C386" s="1">
        <v>9.4780000000000015</v>
      </c>
      <c r="D386" s="1">
        <v>0.25020000000000009</v>
      </c>
      <c r="E386" s="3">
        <v>1935000</v>
      </c>
    </row>
    <row r="387" spans="1:5" x14ac:dyDescent="0.2">
      <c r="A387" s="1">
        <v>2</v>
      </c>
      <c r="B387" s="1">
        <v>4242</v>
      </c>
      <c r="C387" s="1">
        <v>9.6930000000000032</v>
      </c>
      <c r="D387" s="1">
        <v>0.40910000000000013</v>
      </c>
      <c r="E387" s="3">
        <v>3236000</v>
      </c>
    </row>
    <row r="388" spans="1:5" x14ac:dyDescent="0.2">
      <c r="A388" s="1">
        <v>2</v>
      </c>
      <c r="B388" s="1">
        <v>4243</v>
      </c>
      <c r="C388" s="1">
        <v>9.538000000000002</v>
      </c>
      <c r="D388" s="1">
        <v>0.21180000000000007</v>
      </c>
      <c r="E388" s="3">
        <v>2460000</v>
      </c>
    </row>
    <row r="389" spans="1:5" x14ac:dyDescent="0.2">
      <c r="A389" s="1">
        <v>2</v>
      </c>
      <c r="B389" s="1">
        <v>4244</v>
      </c>
      <c r="C389" s="1">
        <v>9.3570000000000029</v>
      </c>
      <c r="D389" s="1">
        <v>0.29870000000000008</v>
      </c>
      <c r="E389" s="3">
        <v>12140000</v>
      </c>
    </row>
    <row r="390" spans="1:5" x14ac:dyDescent="0.2">
      <c r="A390" s="1">
        <v>2</v>
      </c>
      <c r="B390" s="1">
        <v>4245</v>
      </c>
      <c r="C390" s="1">
        <v>9.397000000000002</v>
      </c>
      <c r="D390" s="1">
        <v>0.26650000000000007</v>
      </c>
      <c r="E390" s="3">
        <v>1262000</v>
      </c>
    </row>
    <row r="391" spans="1:5" x14ac:dyDescent="0.2">
      <c r="A391" s="1">
        <v>2</v>
      </c>
      <c r="B391" s="1">
        <v>4246</v>
      </c>
      <c r="C391" s="1">
        <v>9.538000000000002</v>
      </c>
      <c r="D391" s="1">
        <v>0.34200000000000008</v>
      </c>
      <c r="E391" s="3">
        <v>2175000</v>
      </c>
    </row>
    <row r="392" spans="1:5" x14ac:dyDescent="0.2">
      <c r="A392" s="1">
        <v>2</v>
      </c>
      <c r="B392" s="1">
        <v>4247</v>
      </c>
      <c r="C392" s="1">
        <v>9.4310000000000027</v>
      </c>
      <c r="D392" s="1">
        <v>0.32200000000000012</v>
      </c>
      <c r="E392" s="3">
        <v>1592000</v>
      </c>
    </row>
    <row r="393" spans="1:5" x14ac:dyDescent="0.2">
      <c r="A393" s="1">
        <v>2</v>
      </c>
      <c r="B393" s="1">
        <v>4248</v>
      </c>
      <c r="C393" s="1">
        <v>9.4380000000000024</v>
      </c>
      <c r="D393" s="1">
        <v>0.28370000000000006</v>
      </c>
      <c r="E393" s="3">
        <v>3477000</v>
      </c>
    </row>
    <row r="394" spans="1:5" x14ac:dyDescent="0.2">
      <c r="A394" s="1">
        <v>2</v>
      </c>
      <c r="B394" s="1">
        <v>4249</v>
      </c>
      <c r="C394" s="1">
        <v>9.4030000000000022</v>
      </c>
      <c r="D394" s="1">
        <v>0.19000000000000006</v>
      </c>
      <c r="E394" s="3">
        <v>4993000</v>
      </c>
    </row>
    <row r="395" spans="1:5" x14ac:dyDescent="0.2">
      <c r="A395" s="1">
        <v>2</v>
      </c>
      <c r="B395" s="1">
        <v>4251</v>
      </c>
      <c r="C395" s="1">
        <v>9.7120000000000015</v>
      </c>
      <c r="D395" s="1">
        <v>0.35120000000000012</v>
      </c>
      <c r="E395" s="3">
        <v>12860000</v>
      </c>
    </row>
    <row r="396" spans="1:5" x14ac:dyDescent="0.2">
      <c r="A396" s="1">
        <v>2</v>
      </c>
      <c r="B396" s="1">
        <v>4411</v>
      </c>
      <c r="C396" s="1">
        <v>9.4750000000000014</v>
      </c>
      <c r="D396" s="1">
        <v>0.21060000000000006</v>
      </c>
      <c r="E396" s="3">
        <v>18920000</v>
      </c>
    </row>
    <row r="397" spans="1:5" x14ac:dyDescent="0.2">
      <c r="A397" s="1">
        <v>2</v>
      </c>
      <c r="B397" s="1">
        <v>4412</v>
      </c>
      <c r="C397" s="1">
        <v>9.3820000000000014</v>
      </c>
      <c r="D397" s="1">
        <v>0.11080000000000004</v>
      </c>
      <c r="E397" s="3">
        <v>2244000</v>
      </c>
    </row>
    <row r="398" spans="1:5" x14ac:dyDescent="0.2">
      <c r="A398" s="1">
        <v>2</v>
      </c>
      <c r="B398" s="1">
        <v>4413</v>
      </c>
      <c r="C398" s="1">
        <v>9.2760000000000016</v>
      </c>
      <c r="D398" s="1">
        <v>0.10850000000000004</v>
      </c>
      <c r="E398" s="3">
        <v>7257000</v>
      </c>
    </row>
    <row r="399" spans="1:5" x14ac:dyDescent="0.2">
      <c r="A399" s="1">
        <v>2</v>
      </c>
      <c r="B399" s="1">
        <v>4421</v>
      </c>
      <c r="C399" s="1">
        <v>9.3090000000000028</v>
      </c>
      <c r="D399" s="1">
        <v>0.13840000000000005</v>
      </c>
      <c r="E399" s="3">
        <v>2973000</v>
      </c>
    </row>
    <row r="400" spans="1:5" x14ac:dyDescent="0.2">
      <c r="A400" s="1">
        <v>2</v>
      </c>
      <c r="B400" s="1">
        <v>4422</v>
      </c>
      <c r="C400" s="1">
        <v>9.4210000000000029</v>
      </c>
      <c r="D400" s="1">
        <v>0.12160000000000004</v>
      </c>
      <c r="E400" s="3">
        <v>2498000</v>
      </c>
    </row>
    <row r="401" spans="1:5" x14ac:dyDescent="0.2">
      <c r="A401" s="1">
        <v>2</v>
      </c>
      <c r="B401" s="1">
        <v>4431</v>
      </c>
      <c r="C401" s="1">
        <v>9.3830000000000027</v>
      </c>
      <c r="D401" s="1">
        <v>0.22170000000000006</v>
      </c>
      <c r="E401" s="3">
        <v>6477000</v>
      </c>
    </row>
    <row r="402" spans="1:5" x14ac:dyDescent="0.2">
      <c r="A402" s="1">
        <v>2</v>
      </c>
      <c r="B402" s="1">
        <v>4441</v>
      </c>
      <c r="C402" s="1">
        <v>9.2920000000000016</v>
      </c>
      <c r="D402" s="1">
        <v>8.5610000000000033E-2</v>
      </c>
      <c r="E402" s="3">
        <v>14600000</v>
      </c>
    </row>
    <row r="403" spans="1:5" x14ac:dyDescent="0.2">
      <c r="A403" s="1">
        <v>2</v>
      </c>
      <c r="B403" s="1">
        <v>4442</v>
      </c>
      <c r="C403" s="1">
        <v>9.3060000000000027</v>
      </c>
      <c r="D403" s="1">
        <v>6.1350000000000023E-2</v>
      </c>
      <c r="E403" s="3">
        <v>1822000</v>
      </c>
    </row>
    <row r="404" spans="1:5" x14ac:dyDescent="0.2">
      <c r="A404" s="1">
        <v>2</v>
      </c>
      <c r="B404" s="1">
        <v>4451</v>
      </c>
      <c r="C404" s="1">
        <v>9.224000000000002</v>
      </c>
      <c r="D404" s="1">
        <v>6.4830000000000026E-2</v>
      </c>
      <c r="E404" s="3">
        <v>25740000</v>
      </c>
    </row>
    <row r="405" spans="1:5" x14ac:dyDescent="0.2">
      <c r="A405" s="1">
        <v>2</v>
      </c>
      <c r="B405" s="1">
        <v>4452</v>
      </c>
      <c r="C405" s="1">
        <v>9.2600000000000016</v>
      </c>
      <c r="D405" s="1">
        <v>7.9040000000000027E-2</v>
      </c>
      <c r="E405" s="3">
        <v>1728000</v>
      </c>
    </row>
    <row r="406" spans="1:5" x14ac:dyDescent="0.2">
      <c r="A406" s="1">
        <v>2</v>
      </c>
      <c r="B406" s="1">
        <v>4453</v>
      </c>
      <c r="C406" s="1">
        <v>9.2890000000000015</v>
      </c>
      <c r="D406" s="1">
        <v>-1.6000000000000007E-2</v>
      </c>
      <c r="E406" s="3">
        <v>1200000</v>
      </c>
    </row>
    <row r="407" spans="1:5" x14ac:dyDescent="0.2">
      <c r="A407" s="1">
        <v>2</v>
      </c>
      <c r="B407" s="1">
        <v>4461</v>
      </c>
      <c r="C407" s="1">
        <v>9.3910000000000018</v>
      </c>
      <c r="D407" s="1">
        <v>0.10870000000000003</v>
      </c>
      <c r="E407" s="3">
        <v>11660000</v>
      </c>
    </row>
    <row r="408" spans="1:5" x14ac:dyDescent="0.2">
      <c r="A408" s="1">
        <v>2</v>
      </c>
      <c r="B408" s="1">
        <v>4471</v>
      </c>
      <c r="C408" s="1">
        <v>9.0930000000000017</v>
      </c>
      <c r="D408" s="1">
        <v>5.0960000000000019E-2</v>
      </c>
      <c r="E408" s="3">
        <v>7920000</v>
      </c>
    </row>
    <row r="409" spans="1:5" x14ac:dyDescent="0.2">
      <c r="A409" s="1">
        <v>2</v>
      </c>
      <c r="B409" s="1">
        <v>4481</v>
      </c>
      <c r="C409" s="1">
        <v>9.3350000000000026</v>
      </c>
      <c r="D409" s="1">
        <v>0.13000000000000003</v>
      </c>
      <c r="E409" s="3">
        <v>5801000</v>
      </c>
    </row>
    <row r="410" spans="1:5" x14ac:dyDescent="0.2">
      <c r="A410" s="1">
        <v>2</v>
      </c>
      <c r="B410" s="1">
        <v>4482</v>
      </c>
      <c r="C410" s="1">
        <v>9.3120000000000029</v>
      </c>
      <c r="D410" s="1">
        <v>0.14670000000000005</v>
      </c>
      <c r="E410" s="3">
        <v>1207000</v>
      </c>
    </row>
    <row r="411" spans="1:5" x14ac:dyDescent="0.2">
      <c r="A411" s="1">
        <v>2</v>
      </c>
      <c r="B411" s="1">
        <v>4483</v>
      </c>
      <c r="C411" s="1">
        <v>9.413000000000002</v>
      </c>
      <c r="D411" s="1">
        <v>0.14150000000000004</v>
      </c>
      <c r="E411" s="3">
        <v>1470000</v>
      </c>
    </row>
    <row r="412" spans="1:5" x14ac:dyDescent="0.2">
      <c r="A412" s="1">
        <v>2</v>
      </c>
      <c r="B412" s="1">
        <v>4511</v>
      </c>
      <c r="C412" s="1">
        <v>9.2910000000000021</v>
      </c>
      <c r="D412" s="1">
        <v>1.2350000000000005E-2</v>
      </c>
      <c r="E412" s="3">
        <v>3802000</v>
      </c>
    </row>
    <row r="413" spans="1:5" x14ac:dyDescent="0.2">
      <c r="A413" s="1">
        <v>2</v>
      </c>
      <c r="B413" s="1">
        <v>4512</v>
      </c>
      <c r="C413" s="1">
        <v>9.2450000000000028</v>
      </c>
      <c r="D413" s="1">
        <v>3.5920000000000014E-2</v>
      </c>
      <c r="E413" s="3">
        <v>670000</v>
      </c>
    </row>
    <row r="414" spans="1:5" x14ac:dyDescent="0.2">
      <c r="A414" s="1">
        <v>2</v>
      </c>
      <c r="B414" s="1">
        <v>4521</v>
      </c>
      <c r="C414" s="1">
        <v>9.2000000000000028</v>
      </c>
      <c r="D414" s="1">
        <v>6.4700000000000021E-2</v>
      </c>
      <c r="E414" s="3">
        <v>12110000</v>
      </c>
    </row>
    <row r="415" spans="1:5" x14ac:dyDescent="0.2">
      <c r="A415" s="1">
        <v>2</v>
      </c>
      <c r="B415" s="1">
        <v>4529</v>
      </c>
      <c r="C415" s="1">
        <v>9.1450000000000014</v>
      </c>
      <c r="D415" s="1">
        <v>5.3710000000000022E-2</v>
      </c>
      <c r="E415" s="3">
        <v>22290000</v>
      </c>
    </row>
    <row r="416" spans="1:5" x14ac:dyDescent="0.2">
      <c r="A416" s="1">
        <v>2</v>
      </c>
      <c r="B416" s="1">
        <v>4531</v>
      </c>
      <c r="C416" s="1">
        <v>9.219000000000003</v>
      </c>
      <c r="D416" s="1">
        <v>-7.1040000000000034E-2</v>
      </c>
      <c r="E416" s="3">
        <v>434000</v>
      </c>
    </row>
    <row r="417" spans="1:5" x14ac:dyDescent="0.2">
      <c r="A417" s="1">
        <v>2</v>
      </c>
      <c r="B417" s="1">
        <v>4532</v>
      </c>
      <c r="C417" s="1">
        <v>9.3130000000000024</v>
      </c>
      <c r="D417" s="1">
        <v>0.10340000000000003</v>
      </c>
      <c r="E417" s="3">
        <v>2459000</v>
      </c>
    </row>
    <row r="418" spans="1:5" x14ac:dyDescent="0.2">
      <c r="A418" s="1">
        <v>2</v>
      </c>
      <c r="B418" s="1">
        <v>4533</v>
      </c>
      <c r="C418" s="1">
        <v>9.1210000000000022</v>
      </c>
      <c r="D418" s="1">
        <v>1.6000000000000007E-2</v>
      </c>
      <c r="E418" s="3">
        <v>1265000</v>
      </c>
    </row>
    <row r="419" spans="1:5" x14ac:dyDescent="0.2">
      <c r="A419" s="1">
        <v>2</v>
      </c>
      <c r="B419" s="1">
        <v>4539</v>
      </c>
      <c r="C419" s="1">
        <v>9.2940000000000023</v>
      </c>
      <c r="D419" s="1">
        <v>8.6090000000000041E-2</v>
      </c>
      <c r="E419" s="3">
        <v>2910000</v>
      </c>
    </row>
    <row r="420" spans="1:5" x14ac:dyDescent="0.2">
      <c r="A420" s="1">
        <v>2</v>
      </c>
      <c r="B420" s="1">
        <v>4541</v>
      </c>
      <c r="C420" s="1">
        <v>9.4660000000000029</v>
      </c>
      <c r="D420" s="1">
        <v>0.23310000000000008</v>
      </c>
      <c r="E420" s="3">
        <v>4598000</v>
      </c>
    </row>
    <row r="421" spans="1:5" x14ac:dyDescent="0.2">
      <c r="A421" s="1">
        <v>2</v>
      </c>
      <c r="B421" s="1">
        <v>4542</v>
      </c>
      <c r="C421" s="1">
        <v>9.208000000000002</v>
      </c>
      <c r="D421" s="1">
        <v>0.13430000000000003</v>
      </c>
      <c r="E421" s="3">
        <v>552000</v>
      </c>
    </row>
    <row r="422" spans="1:5" x14ac:dyDescent="0.2">
      <c r="A422" s="1">
        <v>2</v>
      </c>
      <c r="B422" s="1">
        <v>4543</v>
      </c>
      <c r="C422" s="1">
        <v>9.3660000000000014</v>
      </c>
      <c r="D422" s="1">
        <v>0.21430000000000007</v>
      </c>
      <c r="E422" s="3">
        <v>2112000</v>
      </c>
    </row>
    <row r="423" spans="1:5" x14ac:dyDescent="0.2">
      <c r="A423" s="1">
        <v>2</v>
      </c>
      <c r="B423" s="1">
        <v>4811</v>
      </c>
      <c r="C423" s="1">
        <v>9.708000000000002</v>
      </c>
      <c r="D423" s="1">
        <v>0.17390000000000005</v>
      </c>
      <c r="E423" s="3">
        <v>6812000</v>
      </c>
    </row>
    <row r="424" spans="1:5" x14ac:dyDescent="0.2">
      <c r="A424" s="1">
        <v>2</v>
      </c>
      <c r="B424" s="1">
        <v>4812</v>
      </c>
      <c r="C424" s="1">
        <v>9.6410000000000018</v>
      </c>
      <c r="D424" s="1">
        <v>0.2803000000000001</v>
      </c>
      <c r="E424" s="3">
        <v>572000</v>
      </c>
    </row>
    <row r="425" spans="1:5" x14ac:dyDescent="0.2">
      <c r="A425" s="1">
        <v>2</v>
      </c>
      <c r="B425" s="1">
        <v>4821</v>
      </c>
      <c r="C425" s="1">
        <v>9.4480000000000022</v>
      </c>
      <c r="D425" s="1">
        <v>0.34360000000000013</v>
      </c>
      <c r="E425" s="3">
        <v>24500</v>
      </c>
    </row>
    <row r="426" spans="1:5" x14ac:dyDescent="0.2">
      <c r="A426" s="1">
        <v>2</v>
      </c>
      <c r="B426" s="1">
        <v>4831</v>
      </c>
      <c r="C426" s="1">
        <v>9.6190000000000015</v>
      </c>
      <c r="D426" s="1">
        <v>0.38640000000000013</v>
      </c>
      <c r="E426" s="3">
        <v>534000</v>
      </c>
    </row>
    <row r="427" spans="1:5" x14ac:dyDescent="0.2">
      <c r="A427" s="1">
        <v>2</v>
      </c>
      <c r="B427" s="1">
        <v>4841</v>
      </c>
      <c r="C427" s="1">
        <v>9.3260000000000023</v>
      </c>
      <c r="D427" s="1">
        <v>0.28610000000000008</v>
      </c>
      <c r="E427" s="3">
        <v>16970000</v>
      </c>
    </row>
    <row r="428" spans="1:5" x14ac:dyDescent="0.2">
      <c r="A428" s="1">
        <v>2</v>
      </c>
      <c r="B428" s="1">
        <v>4842</v>
      </c>
      <c r="C428" s="1">
        <v>9.3120000000000029</v>
      </c>
      <c r="D428" s="1">
        <v>0.2879000000000001</v>
      </c>
      <c r="E428" s="3">
        <v>6950000</v>
      </c>
    </row>
    <row r="429" spans="1:5" x14ac:dyDescent="0.2">
      <c r="A429" s="1">
        <v>2</v>
      </c>
      <c r="B429" s="1">
        <v>4851</v>
      </c>
      <c r="C429" s="1">
        <v>9.4870000000000019</v>
      </c>
      <c r="D429" s="1">
        <v>0.39830000000000015</v>
      </c>
      <c r="E429" s="3">
        <v>4593000</v>
      </c>
    </row>
    <row r="430" spans="1:5" x14ac:dyDescent="0.2">
      <c r="A430" s="1">
        <v>2</v>
      </c>
      <c r="B430" s="1">
        <v>4852</v>
      </c>
      <c r="C430" s="1">
        <v>9.2920000000000016</v>
      </c>
      <c r="D430" s="1">
        <v>0.25220000000000009</v>
      </c>
      <c r="E430" s="3">
        <v>367000</v>
      </c>
    </row>
    <row r="431" spans="1:5" x14ac:dyDescent="0.2">
      <c r="A431" s="1">
        <v>2</v>
      </c>
      <c r="B431" s="1">
        <v>4853</v>
      </c>
      <c r="C431" s="1">
        <v>9.2270000000000021</v>
      </c>
      <c r="D431" s="1">
        <v>3.3840000000000016E-2</v>
      </c>
      <c r="E431" s="3">
        <v>760000</v>
      </c>
    </row>
    <row r="432" spans="1:5" x14ac:dyDescent="0.2">
      <c r="A432" s="1">
        <v>2</v>
      </c>
      <c r="B432" s="1">
        <v>4854</v>
      </c>
      <c r="C432" s="1">
        <v>9.3080000000000016</v>
      </c>
      <c r="D432" s="1">
        <v>2.742000000000001E-2</v>
      </c>
      <c r="E432" s="3">
        <v>2834000</v>
      </c>
    </row>
    <row r="433" spans="1:5" x14ac:dyDescent="0.2">
      <c r="A433" s="1">
        <v>2</v>
      </c>
      <c r="B433" s="1">
        <v>4855</v>
      </c>
      <c r="C433" s="1">
        <v>9.2690000000000019</v>
      </c>
      <c r="D433" s="1">
        <v>0.10410000000000004</v>
      </c>
      <c r="E433" s="3">
        <v>299000</v>
      </c>
    </row>
    <row r="434" spans="1:5" x14ac:dyDescent="0.2">
      <c r="A434" s="1">
        <v>2</v>
      </c>
      <c r="B434" s="1">
        <v>4859</v>
      </c>
      <c r="C434" s="1">
        <v>9.1700000000000017</v>
      </c>
      <c r="D434" s="1">
        <v>8.3960000000000035E-2</v>
      </c>
      <c r="E434" s="3">
        <v>1116000</v>
      </c>
    </row>
    <row r="435" spans="1:5" x14ac:dyDescent="0.2">
      <c r="A435" s="1">
        <v>2</v>
      </c>
      <c r="B435" s="1">
        <v>4861</v>
      </c>
      <c r="C435" s="1">
        <v>9.6290000000000031</v>
      </c>
      <c r="D435" s="1">
        <v>0.68150000000000022</v>
      </c>
      <c r="E435" s="3">
        <v>179000</v>
      </c>
    </row>
    <row r="436" spans="1:5" x14ac:dyDescent="0.2">
      <c r="A436" s="1">
        <v>2</v>
      </c>
      <c r="B436" s="1">
        <v>4862</v>
      </c>
      <c r="C436" s="1">
        <v>9.6250000000000018</v>
      </c>
      <c r="D436" s="1">
        <v>0.58510000000000018</v>
      </c>
      <c r="E436" s="3">
        <v>497000</v>
      </c>
    </row>
    <row r="437" spans="1:5" x14ac:dyDescent="0.2">
      <c r="A437" s="1">
        <v>2</v>
      </c>
      <c r="B437" s="1">
        <v>4869</v>
      </c>
      <c r="C437" s="1">
        <v>9.6680000000000028</v>
      </c>
      <c r="D437" s="1">
        <v>0.6171000000000002</v>
      </c>
      <c r="E437" s="3">
        <v>151000</v>
      </c>
    </row>
    <row r="438" spans="1:5" x14ac:dyDescent="0.2">
      <c r="A438" s="1">
        <v>2</v>
      </c>
      <c r="B438" s="1">
        <v>4872</v>
      </c>
      <c r="C438" s="1">
        <v>9.3980000000000015</v>
      </c>
      <c r="D438" s="1">
        <v>4.5760000000000016E-2</v>
      </c>
      <c r="E438" s="3">
        <v>127000</v>
      </c>
    </row>
    <row r="439" spans="1:5" x14ac:dyDescent="0.2">
      <c r="A439" s="1">
        <v>2</v>
      </c>
      <c r="B439" s="1">
        <v>4879</v>
      </c>
      <c r="C439" s="1">
        <v>9.4540000000000024</v>
      </c>
      <c r="D439" s="1">
        <v>0.17130000000000006</v>
      </c>
      <c r="E439" s="3">
        <v>42500</v>
      </c>
    </row>
    <row r="440" spans="1:5" x14ac:dyDescent="0.2">
      <c r="A440" s="1">
        <v>2</v>
      </c>
      <c r="B440" s="1">
        <v>4881</v>
      </c>
      <c r="C440" s="1">
        <v>9.4200000000000017</v>
      </c>
      <c r="D440" s="1">
        <v>0.27240000000000009</v>
      </c>
      <c r="E440" s="3">
        <v>3354000</v>
      </c>
    </row>
    <row r="441" spans="1:5" x14ac:dyDescent="0.2">
      <c r="A441" s="1">
        <v>2</v>
      </c>
      <c r="B441" s="1">
        <v>4882</v>
      </c>
      <c r="C441" s="1">
        <v>9.2860000000000014</v>
      </c>
      <c r="D441" s="1">
        <v>0.34980000000000011</v>
      </c>
      <c r="E441" s="3">
        <v>529000</v>
      </c>
    </row>
    <row r="442" spans="1:5" x14ac:dyDescent="0.2">
      <c r="A442" s="1">
        <v>2</v>
      </c>
      <c r="B442" s="1">
        <v>4883</v>
      </c>
      <c r="C442" s="1">
        <v>9.5810000000000031</v>
      </c>
      <c r="D442" s="1">
        <v>0.44160000000000016</v>
      </c>
      <c r="E442" s="3">
        <v>1415000</v>
      </c>
    </row>
    <row r="443" spans="1:5" x14ac:dyDescent="0.2">
      <c r="A443" s="1">
        <v>2</v>
      </c>
      <c r="B443" s="1">
        <v>4884</v>
      </c>
      <c r="C443" s="1">
        <v>9.2710000000000026</v>
      </c>
      <c r="D443" s="1">
        <v>0.19940000000000008</v>
      </c>
      <c r="E443" s="3">
        <v>1546000</v>
      </c>
    </row>
    <row r="444" spans="1:5" x14ac:dyDescent="0.2">
      <c r="A444" s="1">
        <v>2</v>
      </c>
      <c r="B444" s="1">
        <v>4885</v>
      </c>
      <c r="C444" s="1">
        <v>9.4330000000000016</v>
      </c>
      <c r="D444" s="1">
        <v>0.23160000000000008</v>
      </c>
      <c r="E444" s="3">
        <v>3015000</v>
      </c>
    </row>
    <row r="445" spans="1:5" x14ac:dyDescent="0.2">
      <c r="A445" s="1">
        <v>2</v>
      </c>
      <c r="B445" s="1">
        <v>4889</v>
      </c>
      <c r="C445" s="1">
        <v>9.2890000000000015</v>
      </c>
      <c r="D445" s="1">
        <v>0.23540000000000008</v>
      </c>
      <c r="E445" s="3">
        <v>423000</v>
      </c>
    </row>
    <row r="446" spans="1:5" x14ac:dyDescent="0.2">
      <c r="A446" s="1">
        <v>2</v>
      </c>
      <c r="B446" s="1">
        <v>4921</v>
      </c>
      <c r="C446" s="1">
        <v>9.5800000000000018</v>
      </c>
      <c r="D446" s="1">
        <v>0.15060000000000004</v>
      </c>
      <c r="E446" s="3">
        <v>8017000</v>
      </c>
    </row>
    <row r="447" spans="1:5" x14ac:dyDescent="0.2">
      <c r="A447" s="1">
        <v>2</v>
      </c>
      <c r="B447" s="1">
        <v>4931</v>
      </c>
      <c r="C447" s="1">
        <v>9.2110000000000021</v>
      </c>
      <c r="D447" s="1">
        <v>0.21620000000000006</v>
      </c>
      <c r="E447" s="3">
        <v>13060000</v>
      </c>
    </row>
    <row r="448" spans="1:5" x14ac:dyDescent="0.2">
      <c r="A448" s="1">
        <v>2</v>
      </c>
      <c r="B448" s="1">
        <v>5111</v>
      </c>
      <c r="C448" s="1">
        <v>9.5160000000000018</v>
      </c>
      <c r="D448" s="1">
        <v>0.2587000000000001</v>
      </c>
      <c r="E448" s="3">
        <v>7208000</v>
      </c>
    </row>
    <row r="449" spans="1:5" x14ac:dyDescent="0.2">
      <c r="A449" s="1">
        <v>2</v>
      </c>
      <c r="B449" s="1">
        <v>5112</v>
      </c>
      <c r="C449" s="1">
        <v>9.9210000000000029</v>
      </c>
      <c r="D449" s="1">
        <v>0.44450000000000012</v>
      </c>
      <c r="E449" s="3">
        <v>6198000</v>
      </c>
    </row>
    <row r="450" spans="1:5" x14ac:dyDescent="0.2">
      <c r="A450" s="1">
        <v>2</v>
      </c>
      <c r="B450" s="1">
        <v>5121</v>
      </c>
      <c r="C450" s="1">
        <v>9.740000000000002</v>
      </c>
      <c r="D450" s="1">
        <v>0.29570000000000007</v>
      </c>
      <c r="E450" s="3">
        <v>3651000</v>
      </c>
    </row>
    <row r="451" spans="1:5" x14ac:dyDescent="0.2">
      <c r="A451" s="1">
        <v>2</v>
      </c>
      <c r="B451" s="1">
        <v>5151</v>
      </c>
      <c r="C451" s="1">
        <v>9.6440000000000019</v>
      </c>
      <c r="D451" s="1">
        <v>0.24790000000000009</v>
      </c>
      <c r="E451" s="3">
        <v>3836000</v>
      </c>
    </row>
    <row r="452" spans="1:5" x14ac:dyDescent="0.2">
      <c r="A452" s="1">
        <v>2</v>
      </c>
      <c r="B452" s="1">
        <v>5152</v>
      </c>
      <c r="C452" s="1">
        <v>9.6350000000000016</v>
      </c>
      <c r="D452" s="1">
        <v>0.39160000000000011</v>
      </c>
      <c r="E452" s="3">
        <v>1307000</v>
      </c>
    </row>
    <row r="453" spans="1:5" x14ac:dyDescent="0.2">
      <c r="A453" s="1">
        <v>2</v>
      </c>
      <c r="B453" s="1">
        <v>5171</v>
      </c>
      <c r="C453" s="1">
        <v>9.5070000000000014</v>
      </c>
      <c r="D453" s="1">
        <v>0.47630000000000017</v>
      </c>
      <c r="E453" s="3">
        <v>11570000</v>
      </c>
    </row>
    <row r="454" spans="1:5" x14ac:dyDescent="0.2">
      <c r="A454" s="1">
        <v>2</v>
      </c>
      <c r="B454" s="1">
        <v>5172</v>
      </c>
      <c r="C454" s="1">
        <v>9.4610000000000021</v>
      </c>
      <c r="D454" s="1">
        <v>0.45270000000000016</v>
      </c>
      <c r="E454" s="3">
        <v>2953000</v>
      </c>
    </row>
    <row r="455" spans="1:5" x14ac:dyDescent="0.2">
      <c r="A455" s="1">
        <v>2</v>
      </c>
      <c r="B455" s="1">
        <v>5179</v>
      </c>
      <c r="C455" s="1">
        <v>9.5860000000000021</v>
      </c>
      <c r="D455" s="1">
        <v>0.41100000000000014</v>
      </c>
      <c r="E455" s="3">
        <v>1706000</v>
      </c>
    </row>
    <row r="456" spans="1:5" x14ac:dyDescent="0.2">
      <c r="A456" s="1">
        <v>2</v>
      </c>
      <c r="B456" s="1">
        <v>5182</v>
      </c>
      <c r="C456" s="1">
        <v>9.6690000000000023</v>
      </c>
      <c r="D456" s="1">
        <v>0.33540000000000009</v>
      </c>
      <c r="E456" s="3">
        <v>5046000</v>
      </c>
    </row>
    <row r="457" spans="1:5" x14ac:dyDescent="0.2">
      <c r="A457" s="1">
        <v>2</v>
      </c>
      <c r="B457" s="1">
        <v>5191</v>
      </c>
      <c r="C457" s="1">
        <v>9.6670000000000016</v>
      </c>
      <c r="D457" s="1">
        <v>0.31090000000000012</v>
      </c>
      <c r="E457" s="3">
        <v>4773000</v>
      </c>
    </row>
    <row r="458" spans="1:5" x14ac:dyDescent="0.2">
      <c r="A458" s="1">
        <v>2</v>
      </c>
      <c r="B458" s="1">
        <v>5211</v>
      </c>
      <c r="C458" s="1">
        <v>9.8900000000000023</v>
      </c>
      <c r="D458" s="1">
        <v>0.40450000000000014</v>
      </c>
      <c r="E458" s="3">
        <v>412000</v>
      </c>
    </row>
    <row r="459" spans="1:5" x14ac:dyDescent="0.2">
      <c r="A459" s="1">
        <v>2</v>
      </c>
      <c r="B459" s="1">
        <v>5221</v>
      </c>
      <c r="C459" s="1">
        <v>9.4880000000000031</v>
      </c>
      <c r="D459" s="1">
        <v>0.24100000000000008</v>
      </c>
      <c r="E459" s="3">
        <v>32450000</v>
      </c>
    </row>
    <row r="460" spans="1:5" x14ac:dyDescent="0.2">
      <c r="A460" s="1">
        <v>2</v>
      </c>
      <c r="B460" s="1">
        <v>5222</v>
      </c>
      <c r="C460" s="1">
        <v>9.5630000000000024</v>
      </c>
      <c r="D460" s="1">
        <v>0.32550000000000012</v>
      </c>
      <c r="E460" s="3">
        <v>10930000</v>
      </c>
    </row>
    <row r="461" spans="1:5" x14ac:dyDescent="0.2">
      <c r="A461" s="1">
        <v>2</v>
      </c>
      <c r="B461" s="1">
        <v>5223</v>
      </c>
      <c r="C461" s="1">
        <v>9.5430000000000028</v>
      </c>
      <c r="D461" s="1">
        <v>0.29380000000000012</v>
      </c>
      <c r="E461" s="3">
        <v>4723000</v>
      </c>
    </row>
    <row r="462" spans="1:5" x14ac:dyDescent="0.2">
      <c r="A462" s="1">
        <v>2</v>
      </c>
      <c r="B462" s="1">
        <v>5231</v>
      </c>
      <c r="C462" s="1">
        <v>10.140000000000002</v>
      </c>
      <c r="D462" s="1">
        <v>0.41270000000000012</v>
      </c>
      <c r="E462" s="3">
        <v>8576000</v>
      </c>
    </row>
    <row r="463" spans="1:5" x14ac:dyDescent="0.2">
      <c r="A463" s="1">
        <v>2</v>
      </c>
      <c r="B463" s="1">
        <v>5239</v>
      </c>
      <c r="C463" s="1">
        <v>9.9930000000000021</v>
      </c>
      <c r="D463" s="1">
        <v>0.41190000000000015</v>
      </c>
      <c r="E463" s="3">
        <v>7072000</v>
      </c>
    </row>
    <row r="464" spans="1:5" x14ac:dyDescent="0.2">
      <c r="A464" s="1">
        <v>2</v>
      </c>
      <c r="B464" s="1">
        <v>5241</v>
      </c>
      <c r="C464" s="1">
        <v>9.5770000000000017</v>
      </c>
      <c r="D464" s="1">
        <v>0.35210000000000014</v>
      </c>
      <c r="E464" s="3">
        <v>22820000</v>
      </c>
    </row>
    <row r="465" spans="1:5" x14ac:dyDescent="0.2">
      <c r="A465" s="1">
        <v>2</v>
      </c>
      <c r="B465" s="1">
        <v>5242</v>
      </c>
      <c r="C465" s="1">
        <v>9.5370000000000026</v>
      </c>
      <c r="D465" s="1">
        <v>0.23550000000000007</v>
      </c>
      <c r="E465" s="3">
        <v>16450000</v>
      </c>
    </row>
    <row r="466" spans="1:5" x14ac:dyDescent="0.2">
      <c r="A466" s="1">
        <v>2</v>
      </c>
      <c r="B466" s="1">
        <v>5251</v>
      </c>
      <c r="C466" s="1">
        <v>9.5650000000000031</v>
      </c>
      <c r="D466" s="1">
        <v>0.30210000000000009</v>
      </c>
      <c r="E466" s="3">
        <v>512000</v>
      </c>
    </row>
    <row r="467" spans="1:5" x14ac:dyDescent="0.2">
      <c r="A467" s="1">
        <v>2</v>
      </c>
      <c r="B467" s="1">
        <v>5259</v>
      </c>
      <c r="C467" s="1">
        <v>9.8050000000000015</v>
      </c>
      <c r="D467" s="1">
        <v>0.38240000000000013</v>
      </c>
      <c r="E467" s="3">
        <v>176000</v>
      </c>
    </row>
    <row r="468" spans="1:5" x14ac:dyDescent="0.2">
      <c r="A468" s="1">
        <v>2</v>
      </c>
      <c r="B468" s="1">
        <v>5311</v>
      </c>
      <c r="C468" s="1">
        <v>9.4000000000000021</v>
      </c>
      <c r="D468" s="1">
        <v>0.19770000000000007</v>
      </c>
      <c r="E468" s="3">
        <v>8013000</v>
      </c>
    </row>
    <row r="469" spans="1:5" x14ac:dyDescent="0.2">
      <c r="A469" s="1">
        <v>2</v>
      </c>
      <c r="B469" s="1">
        <v>5312</v>
      </c>
      <c r="C469" s="1">
        <v>9.5270000000000028</v>
      </c>
      <c r="D469" s="1">
        <v>0.18750000000000006</v>
      </c>
      <c r="E469" s="3">
        <v>3608000</v>
      </c>
    </row>
    <row r="470" spans="1:5" x14ac:dyDescent="0.2">
      <c r="A470" s="1">
        <v>2</v>
      </c>
      <c r="B470" s="1">
        <v>5313</v>
      </c>
      <c r="C470" s="1">
        <v>9.4330000000000016</v>
      </c>
      <c r="D470" s="1">
        <v>0.21020000000000005</v>
      </c>
      <c r="E470" s="3">
        <v>8684000</v>
      </c>
    </row>
    <row r="471" spans="1:5" x14ac:dyDescent="0.2">
      <c r="A471" s="1">
        <v>2</v>
      </c>
      <c r="B471" s="1">
        <v>5321</v>
      </c>
      <c r="C471" s="1">
        <v>9.3530000000000015</v>
      </c>
      <c r="D471" s="1">
        <v>0.23790000000000008</v>
      </c>
      <c r="E471" s="3">
        <v>2368000</v>
      </c>
    </row>
    <row r="472" spans="1:5" x14ac:dyDescent="0.2">
      <c r="A472" s="1">
        <v>2</v>
      </c>
      <c r="B472" s="1">
        <v>5322</v>
      </c>
      <c r="C472" s="1">
        <v>9.2530000000000019</v>
      </c>
      <c r="D472" s="1">
        <v>0.19490000000000007</v>
      </c>
      <c r="E472" s="3">
        <v>2203000</v>
      </c>
    </row>
    <row r="473" spans="1:5" x14ac:dyDescent="0.2">
      <c r="A473" s="1">
        <v>2</v>
      </c>
      <c r="B473" s="1">
        <v>5323</v>
      </c>
      <c r="C473" s="1">
        <v>9.3740000000000023</v>
      </c>
      <c r="D473" s="1">
        <v>0.21220000000000006</v>
      </c>
      <c r="E473" s="3">
        <v>603000</v>
      </c>
    </row>
    <row r="474" spans="1:5" x14ac:dyDescent="0.2">
      <c r="A474" s="1">
        <v>2</v>
      </c>
      <c r="B474" s="1">
        <v>5324</v>
      </c>
      <c r="C474" s="1">
        <v>9.4720000000000031</v>
      </c>
      <c r="D474" s="1">
        <v>0.36340000000000011</v>
      </c>
      <c r="E474" s="3">
        <v>2256000</v>
      </c>
    </row>
    <row r="475" spans="1:5" x14ac:dyDescent="0.2">
      <c r="A475" s="1">
        <v>2</v>
      </c>
      <c r="B475" s="1">
        <v>5331</v>
      </c>
      <c r="C475" s="1">
        <v>9.7530000000000019</v>
      </c>
      <c r="D475" s="1">
        <v>0.2929000000000001</v>
      </c>
      <c r="E475" s="3">
        <v>385000</v>
      </c>
    </row>
    <row r="476" spans="1:5" x14ac:dyDescent="0.2">
      <c r="A476" s="1">
        <v>2</v>
      </c>
      <c r="B476" s="1">
        <v>5411</v>
      </c>
      <c r="C476" s="1">
        <v>9.6700000000000017</v>
      </c>
      <c r="D476" s="1">
        <v>0.30320000000000008</v>
      </c>
      <c r="E476" s="3">
        <v>18540000</v>
      </c>
    </row>
    <row r="477" spans="1:5" x14ac:dyDescent="0.2">
      <c r="A477" s="1">
        <v>2</v>
      </c>
      <c r="B477" s="1">
        <v>5412</v>
      </c>
      <c r="C477" s="1">
        <v>9.6480000000000015</v>
      </c>
      <c r="D477" s="1">
        <v>0.24110000000000006</v>
      </c>
      <c r="E477" s="3">
        <v>13740000</v>
      </c>
    </row>
    <row r="478" spans="1:5" x14ac:dyDescent="0.2">
      <c r="A478" s="1">
        <v>2</v>
      </c>
      <c r="B478" s="1">
        <v>5413</v>
      </c>
      <c r="C478" s="1">
        <v>9.6830000000000016</v>
      </c>
      <c r="D478" s="1">
        <v>0.34530000000000011</v>
      </c>
      <c r="E478" s="3">
        <v>23530000</v>
      </c>
    </row>
    <row r="479" spans="1:5" x14ac:dyDescent="0.2">
      <c r="A479" s="1">
        <v>2</v>
      </c>
      <c r="B479" s="1">
        <v>5414</v>
      </c>
      <c r="C479" s="1">
        <v>9.6030000000000015</v>
      </c>
      <c r="D479" s="1">
        <v>0.20570000000000008</v>
      </c>
      <c r="E479" s="3">
        <v>1825000</v>
      </c>
    </row>
    <row r="480" spans="1:5" x14ac:dyDescent="0.2">
      <c r="A480" s="1">
        <v>2</v>
      </c>
      <c r="B480" s="1">
        <v>5415</v>
      </c>
      <c r="C480" s="1">
        <v>9.8030000000000026</v>
      </c>
      <c r="D480" s="1">
        <v>0.36430000000000012</v>
      </c>
      <c r="E480" s="3">
        <v>30380000</v>
      </c>
    </row>
    <row r="481" spans="1:5" x14ac:dyDescent="0.2">
      <c r="A481" s="1">
        <v>2</v>
      </c>
      <c r="B481" s="1">
        <v>5416</v>
      </c>
      <c r="C481" s="1">
        <v>9.7150000000000016</v>
      </c>
      <c r="D481" s="1">
        <v>0.32050000000000012</v>
      </c>
      <c r="E481" s="3">
        <v>17760000</v>
      </c>
    </row>
    <row r="482" spans="1:5" x14ac:dyDescent="0.2">
      <c r="A482" s="1">
        <v>2</v>
      </c>
      <c r="B482" s="1">
        <v>5417</v>
      </c>
      <c r="C482" s="1">
        <v>9.7850000000000019</v>
      </c>
      <c r="D482" s="1">
        <v>0.42910000000000015</v>
      </c>
      <c r="E482" s="3">
        <v>11480000</v>
      </c>
    </row>
    <row r="483" spans="1:5" x14ac:dyDescent="0.2">
      <c r="A483" s="1">
        <v>2</v>
      </c>
      <c r="B483" s="1">
        <v>5418</v>
      </c>
      <c r="C483" s="1">
        <v>9.724000000000002</v>
      </c>
      <c r="D483" s="1">
        <v>0.26660000000000006</v>
      </c>
      <c r="E483" s="3">
        <v>6943000</v>
      </c>
    </row>
    <row r="484" spans="1:5" x14ac:dyDescent="0.2">
      <c r="A484" s="1">
        <v>2</v>
      </c>
      <c r="B484" s="1">
        <v>5419</v>
      </c>
      <c r="C484" s="1">
        <v>9.4570000000000025</v>
      </c>
      <c r="D484" s="1">
        <v>0.13190000000000004</v>
      </c>
      <c r="E484" s="3">
        <v>8215000</v>
      </c>
    </row>
    <row r="485" spans="1:5" x14ac:dyDescent="0.2">
      <c r="A485" s="1">
        <v>2</v>
      </c>
      <c r="B485" s="1">
        <v>5511</v>
      </c>
      <c r="C485" s="1">
        <v>9.6110000000000024</v>
      </c>
      <c r="D485" s="1">
        <v>0.31590000000000013</v>
      </c>
      <c r="E485" s="3">
        <v>39110000</v>
      </c>
    </row>
    <row r="486" spans="1:5" x14ac:dyDescent="0.2">
      <c r="A486" s="1">
        <v>2</v>
      </c>
      <c r="B486" s="1">
        <v>5611</v>
      </c>
      <c r="C486" s="1">
        <v>9.5580000000000016</v>
      </c>
      <c r="D486" s="1">
        <v>0.2672000000000001</v>
      </c>
      <c r="E486" s="3">
        <v>6911000</v>
      </c>
    </row>
    <row r="487" spans="1:5" x14ac:dyDescent="0.2">
      <c r="A487" s="1">
        <v>2</v>
      </c>
      <c r="B487" s="1">
        <v>5612</v>
      </c>
      <c r="C487" s="1">
        <v>9.2790000000000017</v>
      </c>
      <c r="D487" s="1">
        <v>0.33800000000000013</v>
      </c>
      <c r="E487" s="3">
        <v>2348000</v>
      </c>
    </row>
    <row r="488" spans="1:5" x14ac:dyDescent="0.2">
      <c r="A488" s="1">
        <v>2</v>
      </c>
      <c r="B488" s="1">
        <v>5613</v>
      </c>
      <c r="C488" s="1">
        <v>9.304000000000002</v>
      </c>
      <c r="D488" s="1">
        <v>0.12920000000000004</v>
      </c>
      <c r="E488" s="3">
        <v>22850000</v>
      </c>
    </row>
    <row r="489" spans="1:5" x14ac:dyDescent="0.2">
      <c r="A489" s="1">
        <v>2</v>
      </c>
      <c r="B489" s="1">
        <v>5614</v>
      </c>
      <c r="C489" s="1">
        <v>9.2620000000000022</v>
      </c>
      <c r="D489" s="1">
        <v>0.17670000000000005</v>
      </c>
      <c r="E489" s="3">
        <v>11380000</v>
      </c>
    </row>
    <row r="490" spans="1:5" x14ac:dyDescent="0.2">
      <c r="A490" s="1">
        <v>2</v>
      </c>
      <c r="B490" s="1">
        <v>5615</v>
      </c>
      <c r="C490" s="1">
        <v>9.4500000000000028</v>
      </c>
      <c r="D490" s="1">
        <v>0.21960000000000007</v>
      </c>
      <c r="E490" s="3">
        <v>2811000</v>
      </c>
    </row>
    <row r="491" spans="1:5" x14ac:dyDescent="0.2">
      <c r="A491" s="1">
        <v>2</v>
      </c>
      <c r="B491" s="1">
        <v>5616</v>
      </c>
      <c r="C491" s="1">
        <v>9.2220000000000013</v>
      </c>
      <c r="D491" s="1">
        <v>0.13010000000000005</v>
      </c>
      <c r="E491" s="3">
        <v>9173000</v>
      </c>
    </row>
    <row r="492" spans="1:5" x14ac:dyDescent="0.2">
      <c r="A492" s="1">
        <v>2</v>
      </c>
      <c r="B492" s="1">
        <v>5617</v>
      </c>
      <c r="C492" s="1">
        <v>9.1980000000000022</v>
      </c>
      <c r="D492" s="1">
        <v>0.10700000000000004</v>
      </c>
      <c r="E492" s="3">
        <v>18040000</v>
      </c>
    </row>
    <row r="493" spans="1:5" x14ac:dyDescent="0.2">
      <c r="A493" s="1">
        <v>2</v>
      </c>
      <c r="B493" s="1">
        <v>5619</v>
      </c>
      <c r="C493" s="1">
        <v>9.3910000000000018</v>
      </c>
      <c r="D493" s="1">
        <v>0.21140000000000006</v>
      </c>
      <c r="E493" s="3">
        <v>3509000</v>
      </c>
    </row>
    <row r="494" spans="1:5" x14ac:dyDescent="0.2">
      <c r="A494" s="1">
        <v>2</v>
      </c>
      <c r="B494" s="1">
        <v>5621</v>
      </c>
      <c r="C494" s="1">
        <v>9.3030000000000026</v>
      </c>
      <c r="D494" s="1">
        <v>0.3217000000000001</v>
      </c>
      <c r="E494" s="3">
        <v>2803000</v>
      </c>
    </row>
    <row r="495" spans="1:5" x14ac:dyDescent="0.2">
      <c r="A495" s="1">
        <v>2</v>
      </c>
      <c r="B495" s="1">
        <v>5622</v>
      </c>
      <c r="C495" s="1">
        <v>9.4490000000000016</v>
      </c>
      <c r="D495" s="1">
        <v>0.39000000000000012</v>
      </c>
      <c r="E495" s="3">
        <v>2418000</v>
      </c>
    </row>
    <row r="496" spans="1:5" x14ac:dyDescent="0.2">
      <c r="A496" s="1">
        <v>2</v>
      </c>
      <c r="B496" s="1">
        <v>5629</v>
      </c>
      <c r="C496" s="1">
        <v>9.3860000000000028</v>
      </c>
      <c r="D496" s="1">
        <v>0.3217000000000001</v>
      </c>
      <c r="E496" s="3">
        <v>2074000</v>
      </c>
    </row>
    <row r="497" spans="1:5" x14ac:dyDescent="0.2">
      <c r="A497" s="1">
        <v>2</v>
      </c>
      <c r="B497" s="1">
        <v>6111</v>
      </c>
      <c r="C497" s="1">
        <v>9.4640000000000022</v>
      </c>
      <c r="D497" s="1">
        <v>0.12390000000000004</v>
      </c>
      <c r="E497" s="3">
        <v>139700000</v>
      </c>
    </row>
    <row r="498" spans="1:5" x14ac:dyDescent="0.2">
      <c r="A498" s="1">
        <v>2</v>
      </c>
      <c r="B498" s="1">
        <v>6112</v>
      </c>
      <c r="C498" s="1">
        <v>9.5860000000000021</v>
      </c>
      <c r="D498" s="1">
        <v>8.4070000000000034E-2</v>
      </c>
      <c r="E498" s="3">
        <v>8849000</v>
      </c>
    </row>
    <row r="499" spans="1:5" x14ac:dyDescent="0.2">
      <c r="A499" s="1">
        <v>2</v>
      </c>
      <c r="B499" s="1">
        <v>6113</v>
      </c>
      <c r="C499" s="1">
        <v>9.6430000000000025</v>
      </c>
      <c r="D499" s="1">
        <v>0.13070000000000004</v>
      </c>
      <c r="E499" s="3">
        <v>46780000</v>
      </c>
    </row>
    <row r="500" spans="1:5" x14ac:dyDescent="0.2">
      <c r="A500" s="1">
        <v>2</v>
      </c>
      <c r="B500" s="1">
        <v>6114</v>
      </c>
      <c r="C500" s="1">
        <v>9.5890000000000022</v>
      </c>
      <c r="D500" s="1">
        <v>0.23500000000000007</v>
      </c>
      <c r="E500" s="3">
        <v>1067000</v>
      </c>
    </row>
    <row r="501" spans="1:5" x14ac:dyDescent="0.2">
      <c r="A501" s="1">
        <v>2</v>
      </c>
      <c r="B501" s="1">
        <v>6115</v>
      </c>
      <c r="C501" s="1">
        <v>9.4250000000000025</v>
      </c>
      <c r="D501" s="1">
        <v>0.18040000000000006</v>
      </c>
      <c r="E501" s="3">
        <v>1947000</v>
      </c>
    </row>
    <row r="502" spans="1:5" x14ac:dyDescent="0.2">
      <c r="A502" s="1">
        <v>2</v>
      </c>
      <c r="B502" s="1">
        <v>6116</v>
      </c>
      <c r="C502" s="1">
        <v>9.4260000000000019</v>
      </c>
      <c r="D502" s="1">
        <v>5.0540000000000022E-2</v>
      </c>
      <c r="E502" s="3">
        <v>2317000</v>
      </c>
    </row>
    <row r="503" spans="1:5" x14ac:dyDescent="0.2">
      <c r="A503" s="1">
        <v>2</v>
      </c>
      <c r="B503" s="1">
        <v>6117</v>
      </c>
      <c r="C503" s="1">
        <v>9.5250000000000021</v>
      </c>
      <c r="D503" s="1">
        <v>0.16940000000000005</v>
      </c>
      <c r="E503" s="3">
        <v>1872000</v>
      </c>
    </row>
    <row r="504" spans="1:5" x14ac:dyDescent="0.2">
      <c r="A504" s="1">
        <v>2</v>
      </c>
      <c r="B504" s="1">
        <v>6211</v>
      </c>
      <c r="C504" s="1">
        <v>9.5450000000000017</v>
      </c>
      <c r="D504" s="1">
        <v>0.21300000000000008</v>
      </c>
      <c r="E504" s="3">
        <v>41910000</v>
      </c>
    </row>
    <row r="505" spans="1:5" x14ac:dyDescent="0.2">
      <c r="A505" s="1">
        <v>2</v>
      </c>
      <c r="B505" s="1">
        <v>6212</v>
      </c>
      <c r="C505" s="1">
        <v>9.397000000000002</v>
      </c>
      <c r="D505" s="1">
        <v>0.13050000000000003</v>
      </c>
      <c r="E505" s="3">
        <v>13360000</v>
      </c>
    </row>
    <row r="506" spans="1:5" x14ac:dyDescent="0.2">
      <c r="A506" s="1">
        <v>2</v>
      </c>
      <c r="B506" s="1">
        <v>6213</v>
      </c>
      <c r="C506" s="1">
        <v>9.4070000000000018</v>
      </c>
      <c r="D506" s="1">
        <v>0.10410000000000004</v>
      </c>
      <c r="E506" s="3">
        <v>10140000</v>
      </c>
    </row>
    <row r="507" spans="1:5" x14ac:dyDescent="0.2">
      <c r="A507" s="1">
        <v>2</v>
      </c>
      <c r="B507" s="1">
        <v>6214</v>
      </c>
      <c r="C507" s="1">
        <v>9.4120000000000026</v>
      </c>
      <c r="D507" s="1">
        <v>0.22560000000000008</v>
      </c>
      <c r="E507" s="3">
        <v>12550000</v>
      </c>
    </row>
    <row r="508" spans="1:5" x14ac:dyDescent="0.2">
      <c r="A508" s="1">
        <v>2</v>
      </c>
      <c r="B508" s="1">
        <v>6215</v>
      </c>
      <c r="C508" s="1">
        <v>9.4110000000000014</v>
      </c>
      <c r="D508" s="1">
        <v>0.26240000000000008</v>
      </c>
      <c r="E508" s="3">
        <v>4167000</v>
      </c>
    </row>
    <row r="509" spans="1:5" x14ac:dyDescent="0.2">
      <c r="A509" s="1">
        <v>2</v>
      </c>
      <c r="B509" s="1">
        <v>6216</v>
      </c>
      <c r="C509" s="1">
        <v>9.2950000000000017</v>
      </c>
      <c r="D509" s="1">
        <v>0.13700000000000004</v>
      </c>
      <c r="E509" s="3">
        <v>11480000</v>
      </c>
    </row>
    <row r="510" spans="1:5" x14ac:dyDescent="0.2">
      <c r="A510" s="1">
        <v>2</v>
      </c>
      <c r="B510" s="1">
        <v>6219</v>
      </c>
      <c r="C510" s="1">
        <v>9.3410000000000029</v>
      </c>
      <c r="D510" s="1">
        <v>0.21650000000000008</v>
      </c>
      <c r="E510" s="3">
        <v>4269000</v>
      </c>
    </row>
    <row r="511" spans="1:5" x14ac:dyDescent="0.2">
      <c r="A511" s="1">
        <v>2</v>
      </c>
      <c r="B511" s="1">
        <v>6221</v>
      </c>
      <c r="C511" s="1">
        <v>9.4940000000000015</v>
      </c>
      <c r="D511" s="1">
        <v>0.23000000000000007</v>
      </c>
      <c r="E511" s="3">
        <v>99510000</v>
      </c>
    </row>
    <row r="512" spans="1:5" x14ac:dyDescent="0.2">
      <c r="A512" s="1">
        <v>2</v>
      </c>
      <c r="B512" s="1">
        <v>6231</v>
      </c>
      <c r="C512" s="1">
        <v>9.1670000000000016</v>
      </c>
      <c r="D512" s="1">
        <v>0.15630000000000005</v>
      </c>
      <c r="E512" s="3">
        <v>23620000</v>
      </c>
    </row>
    <row r="513" spans="1:5" x14ac:dyDescent="0.2">
      <c r="A513" s="1">
        <v>2</v>
      </c>
      <c r="B513" s="1">
        <v>6233</v>
      </c>
      <c r="C513" s="1">
        <v>9.1120000000000019</v>
      </c>
      <c r="D513" s="1">
        <v>0.10590000000000004</v>
      </c>
      <c r="E513" s="3">
        <v>9393000</v>
      </c>
    </row>
    <row r="514" spans="1:5" x14ac:dyDescent="0.2">
      <c r="A514" s="1">
        <v>2</v>
      </c>
      <c r="B514" s="1">
        <v>6241</v>
      </c>
      <c r="C514" s="1">
        <v>9.2120000000000015</v>
      </c>
      <c r="D514" s="1">
        <v>0.10830000000000004</v>
      </c>
      <c r="E514" s="3">
        <v>18480000</v>
      </c>
    </row>
    <row r="515" spans="1:5" x14ac:dyDescent="0.2">
      <c r="A515" s="1">
        <v>2</v>
      </c>
      <c r="B515" s="1">
        <v>6242</v>
      </c>
      <c r="C515" s="1">
        <v>9.3100000000000023</v>
      </c>
      <c r="D515" s="1">
        <v>0.12370000000000005</v>
      </c>
      <c r="E515" s="3">
        <v>2228000</v>
      </c>
    </row>
    <row r="516" spans="1:5" x14ac:dyDescent="0.2">
      <c r="A516" s="1">
        <v>2</v>
      </c>
      <c r="B516" s="1">
        <v>6243</v>
      </c>
      <c r="C516" s="1">
        <v>9.158000000000003</v>
      </c>
      <c r="D516" s="1">
        <v>0.10710000000000003</v>
      </c>
      <c r="E516" s="3">
        <v>4352000</v>
      </c>
    </row>
    <row r="517" spans="1:5" x14ac:dyDescent="0.2">
      <c r="A517" s="1">
        <v>2</v>
      </c>
      <c r="B517" s="1">
        <v>6244</v>
      </c>
      <c r="C517" s="1">
        <v>9.0730000000000022</v>
      </c>
      <c r="D517" s="1">
        <v>7.8390000000000022E-3</v>
      </c>
      <c r="E517" s="3">
        <v>8348000</v>
      </c>
    </row>
    <row r="518" spans="1:5" x14ac:dyDescent="0.2">
      <c r="A518" s="1">
        <v>2</v>
      </c>
      <c r="B518" s="1">
        <v>7111</v>
      </c>
      <c r="C518" s="1">
        <v>9.5160000000000018</v>
      </c>
      <c r="D518" s="1">
        <v>0.14380000000000004</v>
      </c>
      <c r="E518" s="3">
        <v>1086000</v>
      </c>
    </row>
    <row r="519" spans="1:5" x14ac:dyDescent="0.2">
      <c r="A519" s="1">
        <v>2</v>
      </c>
      <c r="B519" s="1">
        <v>7112</v>
      </c>
      <c r="C519" s="1">
        <v>9.7090000000000032</v>
      </c>
      <c r="D519" s="1">
        <v>0.19770000000000007</v>
      </c>
      <c r="E519" s="3">
        <v>1205000</v>
      </c>
    </row>
    <row r="520" spans="1:5" x14ac:dyDescent="0.2">
      <c r="A520" s="1">
        <v>2</v>
      </c>
      <c r="B520" s="1">
        <v>7113</v>
      </c>
      <c r="C520" s="1">
        <v>9.5800000000000018</v>
      </c>
      <c r="D520" s="1">
        <v>0.17530000000000007</v>
      </c>
      <c r="E520" s="3">
        <v>985000</v>
      </c>
    </row>
    <row r="521" spans="1:5" x14ac:dyDescent="0.2">
      <c r="A521" s="1">
        <v>2</v>
      </c>
      <c r="B521" s="1">
        <v>7114</v>
      </c>
      <c r="C521" s="1">
        <v>9.8230000000000022</v>
      </c>
      <c r="D521" s="1">
        <v>0.22360000000000008</v>
      </c>
      <c r="E521" s="3">
        <v>368000</v>
      </c>
    </row>
    <row r="522" spans="1:5" x14ac:dyDescent="0.2">
      <c r="A522" s="1">
        <v>2</v>
      </c>
      <c r="B522" s="1">
        <v>7131</v>
      </c>
      <c r="C522" s="1">
        <v>9.4000000000000021</v>
      </c>
      <c r="D522" s="1">
        <v>7.0850000000000024E-2</v>
      </c>
      <c r="E522" s="3">
        <v>913000</v>
      </c>
    </row>
    <row r="523" spans="1:5" x14ac:dyDescent="0.2">
      <c r="A523" s="1">
        <v>2</v>
      </c>
      <c r="B523" s="1">
        <v>7132</v>
      </c>
      <c r="C523" s="1">
        <v>9.1540000000000017</v>
      </c>
      <c r="D523" s="1">
        <v>0.15940000000000004</v>
      </c>
      <c r="E523" s="3">
        <v>4478000</v>
      </c>
    </row>
    <row r="524" spans="1:5" x14ac:dyDescent="0.2">
      <c r="A524" s="1">
        <v>2</v>
      </c>
      <c r="B524" s="1">
        <v>7139</v>
      </c>
      <c r="C524" s="1">
        <v>9.3660000000000014</v>
      </c>
      <c r="D524" s="1">
        <v>8.4360000000000032E-2</v>
      </c>
      <c r="E524" s="3">
        <v>8995000</v>
      </c>
    </row>
    <row r="525" spans="1:5" x14ac:dyDescent="0.2">
      <c r="A525" s="1">
        <v>2</v>
      </c>
      <c r="B525" s="1">
        <v>7211</v>
      </c>
      <c r="C525" s="1">
        <v>9.2020000000000017</v>
      </c>
      <c r="D525" s="1">
        <v>0.12380000000000004</v>
      </c>
      <c r="E525" s="3">
        <v>21650000</v>
      </c>
    </row>
    <row r="526" spans="1:5" x14ac:dyDescent="0.2">
      <c r="A526" s="1">
        <v>2</v>
      </c>
      <c r="B526" s="1">
        <v>7212</v>
      </c>
      <c r="C526" s="1">
        <v>9.3120000000000029</v>
      </c>
      <c r="D526" s="1">
        <v>6.7510000000000027E-3</v>
      </c>
      <c r="E526" s="3">
        <v>428000</v>
      </c>
    </row>
    <row r="527" spans="1:5" x14ac:dyDescent="0.2">
      <c r="A527" s="1">
        <v>2</v>
      </c>
      <c r="B527" s="1">
        <v>7213</v>
      </c>
      <c r="C527" s="1">
        <v>9.1710000000000029</v>
      </c>
      <c r="D527" s="1">
        <v>0.11520000000000004</v>
      </c>
      <c r="E527" s="3">
        <v>110000</v>
      </c>
    </row>
    <row r="528" spans="1:5" x14ac:dyDescent="0.2">
      <c r="A528" s="1">
        <v>2</v>
      </c>
      <c r="B528" s="1">
        <v>7223</v>
      </c>
      <c r="C528" s="1">
        <v>9.1850000000000023</v>
      </c>
      <c r="D528" s="1">
        <v>8.3850000000000036E-2</v>
      </c>
      <c r="E528" s="3">
        <v>5096000</v>
      </c>
    </row>
    <row r="529" spans="1:5" x14ac:dyDescent="0.2">
      <c r="A529" s="1">
        <v>2</v>
      </c>
      <c r="B529" s="1">
        <v>7224</v>
      </c>
      <c r="C529" s="1">
        <v>9.2110000000000021</v>
      </c>
      <c r="D529" s="1">
        <v>-8.5360000000000033E-2</v>
      </c>
      <c r="E529" s="3">
        <v>1875000</v>
      </c>
    </row>
    <row r="530" spans="1:5" x14ac:dyDescent="0.2">
      <c r="A530" s="1">
        <v>2</v>
      </c>
      <c r="B530" s="1">
        <v>7225</v>
      </c>
      <c r="C530" s="1">
        <v>9.1610000000000014</v>
      </c>
      <c r="D530" s="1">
        <v>4.792000000000004E-11</v>
      </c>
      <c r="E530" s="3">
        <v>50560000</v>
      </c>
    </row>
    <row r="531" spans="1:5" x14ac:dyDescent="0.2">
      <c r="A531" s="1">
        <v>2</v>
      </c>
      <c r="B531" s="1">
        <v>8111</v>
      </c>
      <c r="C531" s="1">
        <v>9.344000000000003</v>
      </c>
      <c r="D531" s="1">
        <v>0.12160000000000004</v>
      </c>
      <c r="E531" s="3">
        <v>11610000</v>
      </c>
    </row>
    <row r="532" spans="1:5" x14ac:dyDescent="0.2">
      <c r="A532" s="1">
        <v>2</v>
      </c>
      <c r="B532" s="1">
        <v>8112</v>
      </c>
      <c r="C532" s="1">
        <v>9.4620000000000015</v>
      </c>
      <c r="D532" s="1">
        <v>0.24870000000000009</v>
      </c>
      <c r="E532" s="3">
        <v>1631000</v>
      </c>
    </row>
    <row r="533" spans="1:5" x14ac:dyDescent="0.2">
      <c r="A533" s="1">
        <v>2</v>
      </c>
      <c r="B533" s="1">
        <v>8113</v>
      </c>
      <c r="C533" s="1">
        <v>9.4370000000000029</v>
      </c>
      <c r="D533" s="1">
        <v>0.27200000000000008</v>
      </c>
      <c r="E533" s="3">
        <v>3261000</v>
      </c>
    </row>
    <row r="534" spans="1:5" x14ac:dyDescent="0.2">
      <c r="A534" s="1">
        <v>2</v>
      </c>
      <c r="B534" s="1">
        <v>8114</v>
      </c>
      <c r="C534" s="1">
        <v>9.3180000000000014</v>
      </c>
      <c r="D534" s="1">
        <v>7.9770000000000035E-2</v>
      </c>
      <c r="E534" s="3">
        <v>813000</v>
      </c>
    </row>
    <row r="535" spans="1:5" x14ac:dyDescent="0.2">
      <c r="A535" s="1">
        <v>2</v>
      </c>
      <c r="B535" s="1">
        <v>8121</v>
      </c>
      <c r="C535" s="1">
        <v>9.219000000000003</v>
      </c>
      <c r="D535" s="1">
        <v>-8.5110000000000029E-3</v>
      </c>
      <c r="E535" s="3">
        <v>5301000</v>
      </c>
    </row>
    <row r="536" spans="1:5" x14ac:dyDescent="0.2">
      <c r="A536" s="1">
        <v>2</v>
      </c>
      <c r="B536" s="1">
        <v>8122</v>
      </c>
      <c r="C536" s="1">
        <v>9.4340000000000028</v>
      </c>
      <c r="D536" s="1">
        <v>0.11670000000000004</v>
      </c>
      <c r="E536" s="3">
        <v>1424000</v>
      </c>
    </row>
    <row r="537" spans="1:5" x14ac:dyDescent="0.2">
      <c r="A537" s="1">
        <v>2</v>
      </c>
      <c r="B537" s="1">
        <v>8123</v>
      </c>
      <c r="C537" s="1">
        <v>9.1200000000000028</v>
      </c>
      <c r="D537" s="1">
        <v>0.14040000000000005</v>
      </c>
      <c r="E537" s="3">
        <v>3341000</v>
      </c>
    </row>
    <row r="538" spans="1:5" x14ac:dyDescent="0.2">
      <c r="A538" s="1">
        <v>2</v>
      </c>
      <c r="B538" s="1">
        <v>8129</v>
      </c>
      <c r="C538" s="1">
        <v>9.2360000000000024</v>
      </c>
      <c r="D538" s="1">
        <v>5.3940000000000023E-2</v>
      </c>
      <c r="E538" s="3">
        <v>2374000</v>
      </c>
    </row>
    <row r="539" spans="1:5" x14ac:dyDescent="0.2">
      <c r="A539" s="1">
        <v>2</v>
      </c>
      <c r="B539" s="1">
        <v>8131</v>
      </c>
      <c r="C539" s="1">
        <v>9.4040000000000017</v>
      </c>
      <c r="D539" s="1">
        <v>2.2780000000000009E-2</v>
      </c>
      <c r="E539" s="3">
        <v>1802000</v>
      </c>
    </row>
    <row r="540" spans="1:5" x14ac:dyDescent="0.2">
      <c r="A540" s="1">
        <v>2</v>
      </c>
      <c r="B540" s="1">
        <v>8132</v>
      </c>
      <c r="C540" s="1">
        <v>9.6220000000000017</v>
      </c>
      <c r="D540" s="1">
        <v>0.22330000000000008</v>
      </c>
      <c r="E540" s="3">
        <v>2241000</v>
      </c>
    </row>
    <row r="541" spans="1:5" x14ac:dyDescent="0.2">
      <c r="A541" s="1">
        <v>2</v>
      </c>
      <c r="B541" s="1">
        <v>8133</v>
      </c>
      <c r="C541" s="1">
        <v>9.4520000000000017</v>
      </c>
      <c r="D541" s="1">
        <v>0.16580000000000006</v>
      </c>
      <c r="E541" s="3">
        <v>3209000</v>
      </c>
    </row>
    <row r="542" spans="1:5" x14ac:dyDescent="0.2">
      <c r="A542" s="1">
        <v>2</v>
      </c>
      <c r="B542" s="1">
        <v>8134</v>
      </c>
      <c r="C542" s="1">
        <v>9.3480000000000025</v>
      </c>
      <c r="D542" s="1">
        <v>8.477000000000004E-2</v>
      </c>
      <c r="E542" s="3">
        <v>2419000</v>
      </c>
    </row>
    <row r="543" spans="1:5" x14ac:dyDescent="0.2">
      <c r="A543" s="1">
        <v>2</v>
      </c>
      <c r="B543" s="1">
        <v>8139</v>
      </c>
      <c r="C543" s="1">
        <v>9.6120000000000019</v>
      </c>
      <c r="D543" s="1">
        <v>0.28400000000000009</v>
      </c>
      <c r="E543" s="3">
        <v>5627000</v>
      </c>
    </row>
    <row r="544" spans="1:5" x14ac:dyDescent="0.2">
      <c r="A544" s="1">
        <v>2</v>
      </c>
      <c r="B544" s="1">
        <v>8141</v>
      </c>
      <c r="C544" s="1">
        <v>9.1430000000000025</v>
      </c>
      <c r="D544" s="1">
        <v>0.20040000000000005</v>
      </c>
      <c r="E544" s="3">
        <v>1285000</v>
      </c>
    </row>
    <row r="545" spans="1:5" x14ac:dyDescent="0.2">
      <c r="A545" s="1">
        <v>2</v>
      </c>
      <c r="B545" s="1">
        <v>9211</v>
      </c>
      <c r="C545" s="1">
        <v>9.4070000000000018</v>
      </c>
      <c r="D545" s="1">
        <v>0.24730000000000008</v>
      </c>
      <c r="E545" s="3">
        <v>52360000</v>
      </c>
    </row>
    <row r="546" spans="1:5" x14ac:dyDescent="0.2">
      <c r="A546" s="1">
        <v>2</v>
      </c>
      <c r="B546" s="1">
        <v>9221</v>
      </c>
      <c r="C546" s="1">
        <v>9.4220000000000024</v>
      </c>
      <c r="D546" s="1">
        <v>0.30980000000000008</v>
      </c>
      <c r="E546" s="3">
        <v>33050000</v>
      </c>
    </row>
    <row r="547" spans="1:5" x14ac:dyDescent="0.2">
      <c r="A547" s="1">
        <v>2</v>
      </c>
      <c r="B547" s="1">
        <v>9231</v>
      </c>
      <c r="C547" s="1">
        <v>9.4340000000000028</v>
      </c>
      <c r="D547" s="1">
        <v>0.22990000000000008</v>
      </c>
      <c r="E547" s="3">
        <v>12500000</v>
      </c>
    </row>
    <row r="548" spans="1:5" x14ac:dyDescent="0.2">
      <c r="A548" s="1">
        <v>2</v>
      </c>
      <c r="B548" s="1">
        <v>9241</v>
      </c>
      <c r="C548" s="1">
        <v>9.5000000000000018</v>
      </c>
      <c r="D548" s="1">
        <v>0.22590000000000007</v>
      </c>
      <c r="E548" s="3">
        <v>4008000</v>
      </c>
    </row>
    <row r="549" spans="1:5" x14ac:dyDescent="0.2">
      <c r="A549" s="1">
        <v>2</v>
      </c>
      <c r="B549" s="1">
        <v>9251</v>
      </c>
      <c r="C549" s="1">
        <v>9.4390000000000018</v>
      </c>
      <c r="D549" s="1">
        <v>0.24100000000000008</v>
      </c>
      <c r="E549" s="3">
        <v>1635000</v>
      </c>
    </row>
    <row r="550" spans="1:5" x14ac:dyDescent="0.2">
      <c r="A550" s="1">
        <v>2</v>
      </c>
      <c r="B550" s="1">
        <v>9261</v>
      </c>
      <c r="C550" s="1">
        <v>9.4680000000000017</v>
      </c>
      <c r="D550" s="1">
        <v>0.22900000000000006</v>
      </c>
      <c r="E550" s="3">
        <v>7550000</v>
      </c>
    </row>
    <row r="551" spans="1:5" x14ac:dyDescent="0.2">
      <c r="A551" s="1">
        <v>2</v>
      </c>
      <c r="B551" s="1">
        <v>9999</v>
      </c>
      <c r="C551" s="1">
        <v>9.3180000000000014</v>
      </c>
      <c r="D551" s="1">
        <v>0.29130000000000011</v>
      </c>
      <c r="E551" s="3">
        <v>49730000</v>
      </c>
    </row>
    <row r="552" spans="1:5" x14ac:dyDescent="0.2">
      <c r="A552" s="1">
        <v>3</v>
      </c>
      <c r="B552" s="1">
        <v>1111</v>
      </c>
      <c r="C552" s="1">
        <v>9.3820000000000014</v>
      </c>
      <c r="D552" s="1">
        <v>9.5420000000000046E-2</v>
      </c>
      <c r="E552" s="3">
        <v>17000</v>
      </c>
    </row>
    <row r="553" spans="1:5" x14ac:dyDescent="0.2">
      <c r="A553" s="1">
        <v>3</v>
      </c>
      <c r="B553" s="1">
        <v>1112</v>
      </c>
      <c r="C553" s="1">
        <v>9.3160000000000025</v>
      </c>
      <c r="D553" s="1">
        <v>0.18610000000000007</v>
      </c>
      <c r="E553" s="3">
        <v>233000</v>
      </c>
    </row>
    <row r="554" spans="1:5" x14ac:dyDescent="0.2">
      <c r="A554" s="1">
        <v>3</v>
      </c>
      <c r="B554" s="1">
        <v>1113</v>
      </c>
      <c r="C554" s="1">
        <v>9.2550000000000026</v>
      </c>
      <c r="D554" s="1">
        <v>0.11420000000000004</v>
      </c>
      <c r="E554" s="3">
        <v>222000</v>
      </c>
    </row>
    <row r="555" spans="1:5" x14ac:dyDescent="0.2">
      <c r="A555" s="1">
        <v>3</v>
      </c>
      <c r="B555" s="1">
        <v>1114</v>
      </c>
      <c r="C555" s="1">
        <v>9.2540000000000013</v>
      </c>
      <c r="D555" s="1">
        <v>0.15860000000000005</v>
      </c>
      <c r="E555" s="3">
        <v>323000</v>
      </c>
    </row>
    <row r="556" spans="1:5" x14ac:dyDescent="0.2">
      <c r="A556" s="1">
        <v>3</v>
      </c>
      <c r="B556" s="1">
        <v>1121</v>
      </c>
      <c r="C556" s="1">
        <v>9.256000000000002</v>
      </c>
      <c r="D556" s="1">
        <v>0.14490000000000006</v>
      </c>
      <c r="E556" s="3">
        <v>52000</v>
      </c>
    </row>
    <row r="557" spans="1:5" x14ac:dyDescent="0.2">
      <c r="A557" s="1">
        <v>3</v>
      </c>
      <c r="B557" s="1">
        <v>1123</v>
      </c>
      <c r="C557" s="1">
        <v>9.2520000000000024</v>
      </c>
      <c r="D557" s="1">
        <v>0.24010000000000006</v>
      </c>
      <c r="E557" s="3">
        <v>18500</v>
      </c>
    </row>
    <row r="558" spans="1:5" x14ac:dyDescent="0.2">
      <c r="A558" s="1">
        <v>3</v>
      </c>
      <c r="B558" s="1">
        <v>1129</v>
      </c>
      <c r="C558" s="1">
        <v>9.2680000000000025</v>
      </c>
      <c r="D558" s="1">
        <v>0.20390000000000005</v>
      </c>
      <c r="E558" s="3">
        <v>19000</v>
      </c>
    </row>
    <row r="559" spans="1:5" x14ac:dyDescent="0.2">
      <c r="A559" s="1">
        <v>3</v>
      </c>
      <c r="B559" s="1">
        <v>1132</v>
      </c>
      <c r="C559" s="1">
        <v>9.3560000000000016</v>
      </c>
      <c r="D559" s="1">
        <v>-2.9640000000000014E-2</v>
      </c>
      <c r="E559" s="3">
        <v>600</v>
      </c>
    </row>
    <row r="560" spans="1:5" x14ac:dyDescent="0.2">
      <c r="A560" s="1">
        <v>3</v>
      </c>
      <c r="B560" s="1">
        <v>1133</v>
      </c>
      <c r="C560" s="1">
        <v>9.4070000000000018</v>
      </c>
      <c r="D560" s="1">
        <v>0.16800000000000007</v>
      </c>
      <c r="E560" s="3">
        <v>7500</v>
      </c>
    </row>
    <row r="561" spans="1:5" x14ac:dyDescent="0.2">
      <c r="A561" s="1">
        <v>3</v>
      </c>
      <c r="B561" s="1">
        <v>1141</v>
      </c>
      <c r="C561" s="1">
        <v>9.485000000000003</v>
      </c>
      <c r="D561" s="1">
        <v>0.25190000000000007</v>
      </c>
      <c r="E561" s="3">
        <v>5500</v>
      </c>
    </row>
    <row r="562" spans="1:5" x14ac:dyDescent="0.2">
      <c r="A562" s="1">
        <v>3</v>
      </c>
      <c r="B562" s="1">
        <v>1142</v>
      </c>
      <c r="C562" s="1">
        <v>9.2690000000000019</v>
      </c>
      <c r="D562" s="1">
        <v>0.19730000000000006</v>
      </c>
      <c r="E562" s="3">
        <v>2600</v>
      </c>
    </row>
    <row r="563" spans="1:5" x14ac:dyDescent="0.2">
      <c r="A563" s="1">
        <v>3</v>
      </c>
      <c r="B563" s="1">
        <v>1151</v>
      </c>
      <c r="C563" s="1">
        <v>9.2650000000000023</v>
      </c>
      <c r="D563" s="1">
        <v>0.19460000000000005</v>
      </c>
      <c r="E563" s="3">
        <v>472000</v>
      </c>
    </row>
    <row r="564" spans="1:5" x14ac:dyDescent="0.2">
      <c r="A564" s="1">
        <v>3</v>
      </c>
      <c r="B564" s="1">
        <v>1153</v>
      </c>
      <c r="C564" s="1">
        <v>9.5440000000000023</v>
      </c>
      <c r="D564" s="1">
        <v>0.18920000000000006</v>
      </c>
      <c r="E564" s="3">
        <v>11000</v>
      </c>
    </row>
    <row r="565" spans="1:5" x14ac:dyDescent="0.2">
      <c r="A565" s="1">
        <v>3</v>
      </c>
      <c r="B565" s="1">
        <v>2111</v>
      </c>
      <c r="C565" s="1">
        <v>10.120000000000003</v>
      </c>
      <c r="D565" s="1">
        <v>0.62990000000000024</v>
      </c>
      <c r="E565" s="3">
        <v>1536000</v>
      </c>
    </row>
    <row r="566" spans="1:5" x14ac:dyDescent="0.2">
      <c r="A566" s="1">
        <v>3</v>
      </c>
      <c r="B566" s="1">
        <v>2123</v>
      </c>
      <c r="C566" s="1">
        <v>9.4840000000000018</v>
      </c>
      <c r="D566" s="1">
        <v>0.42920000000000014</v>
      </c>
      <c r="E566" s="3">
        <v>184000</v>
      </c>
    </row>
    <row r="567" spans="1:5" x14ac:dyDescent="0.2">
      <c r="A567" s="1">
        <v>3</v>
      </c>
      <c r="B567" s="1">
        <v>2131</v>
      </c>
      <c r="C567" s="1">
        <v>9.7710000000000026</v>
      </c>
      <c r="D567" s="1">
        <v>0.55730000000000013</v>
      </c>
      <c r="E567" s="3">
        <v>1352000</v>
      </c>
    </row>
    <row r="568" spans="1:5" x14ac:dyDescent="0.2">
      <c r="A568" s="1">
        <v>3</v>
      </c>
      <c r="B568" s="1">
        <v>2211</v>
      </c>
      <c r="C568" s="1">
        <v>9.8170000000000019</v>
      </c>
      <c r="D568" s="1">
        <v>0.61670000000000025</v>
      </c>
      <c r="E568" s="3">
        <v>1512000</v>
      </c>
    </row>
    <row r="569" spans="1:5" x14ac:dyDescent="0.2">
      <c r="A569" s="1">
        <v>3</v>
      </c>
      <c r="B569" s="1">
        <v>2212</v>
      </c>
      <c r="C569" s="1">
        <v>9.8190000000000026</v>
      </c>
      <c r="D569" s="1">
        <v>0.59540000000000015</v>
      </c>
      <c r="E569" s="3">
        <v>952000</v>
      </c>
    </row>
    <row r="570" spans="1:5" x14ac:dyDescent="0.2">
      <c r="A570" s="1">
        <v>3</v>
      </c>
      <c r="B570" s="1">
        <v>2213</v>
      </c>
      <c r="C570" s="1">
        <v>9.6440000000000019</v>
      </c>
      <c r="D570" s="1">
        <v>0.43780000000000013</v>
      </c>
      <c r="E570" s="3">
        <v>1006000</v>
      </c>
    </row>
    <row r="571" spans="1:5" x14ac:dyDescent="0.2">
      <c r="A571" s="1">
        <v>3</v>
      </c>
      <c r="B571" s="1">
        <v>2361</v>
      </c>
      <c r="C571" s="1">
        <v>9.5640000000000018</v>
      </c>
      <c r="D571" s="1">
        <v>0.21700000000000008</v>
      </c>
      <c r="E571" s="3">
        <v>1844000</v>
      </c>
    </row>
    <row r="572" spans="1:5" x14ac:dyDescent="0.2">
      <c r="A572" s="1">
        <v>3</v>
      </c>
      <c r="B572" s="1">
        <v>2362</v>
      </c>
      <c r="C572" s="1">
        <v>9.6970000000000027</v>
      </c>
      <c r="D572" s="1">
        <v>0.39140000000000014</v>
      </c>
      <c r="E572" s="3">
        <v>2517000</v>
      </c>
    </row>
    <row r="573" spans="1:5" x14ac:dyDescent="0.2">
      <c r="A573" s="1">
        <v>3</v>
      </c>
      <c r="B573" s="1">
        <v>2371</v>
      </c>
      <c r="C573" s="1">
        <v>9.6080000000000023</v>
      </c>
      <c r="D573" s="1">
        <v>0.41370000000000012</v>
      </c>
      <c r="E573" s="3">
        <v>1398000</v>
      </c>
    </row>
    <row r="574" spans="1:5" x14ac:dyDescent="0.2">
      <c r="A574" s="1">
        <v>3</v>
      </c>
      <c r="B574" s="1">
        <v>2372</v>
      </c>
      <c r="C574" s="1">
        <v>9.7320000000000029</v>
      </c>
      <c r="D574" s="1">
        <v>0.33990000000000009</v>
      </c>
      <c r="E574" s="3">
        <v>125000</v>
      </c>
    </row>
    <row r="575" spans="1:5" x14ac:dyDescent="0.2">
      <c r="A575" s="1">
        <v>3</v>
      </c>
      <c r="B575" s="1">
        <v>2373</v>
      </c>
      <c r="C575" s="1">
        <v>9.5720000000000027</v>
      </c>
      <c r="D575" s="1">
        <v>0.3897000000000001</v>
      </c>
      <c r="E575" s="3">
        <v>1514000</v>
      </c>
    </row>
    <row r="576" spans="1:5" x14ac:dyDescent="0.2">
      <c r="A576" s="1">
        <v>3</v>
      </c>
      <c r="B576" s="1">
        <v>2379</v>
      </c>
      <c r="C576" s="1">
        <v>9.7200000000000024</v>
      </c>
      <c r="D576" s="1">
        <v>0.40710000000000013</v>
      </c>
      <c r="E576" s="3">
        <v>377000</v>
      </c>
    </row>
    <row r="577" spans="1:5" x14ac:dyDescent="0.2">
      <c r="A577" s="1">
        <v>3</v>
      </c>
      <c r="B577" s="1">
        <v>2381</v>
      </c>
      <c r="C577" s="1">
        <v>9.5090000000000021</v>
      </c>
      <c r="D577" s="1">
        <v>0.24460000000000007</v>
      </c>
      <c r="E577" s="3">
        <v>2002000</v>
      </c>
    </row>
    <row r="578" spans="1:5" x14ac:dyDescent="0.2">
      <c r="A578" s="1">
        <v>3</v>
      </c>
      <c r="B578" s="1">
        <v>2382</v>
      </c>
      <c r="C578" s="1">
        <v>9.6320000000000014</v>
      </c>
      <c r="D578" s="1">
        <v>0.29730000000000012</v>
      </c>
      <c r="E578" s="3">
        <v>6423000</v>
      </c>
    </row>
    <row r="579" spans="1:5" x14ac:dyDescent="0.2">
      <c r="A579" s="1">
        <v>3</v>
      </c>
      <c r="B579" s="1">
        <v>2383</v>
      </c>
      <c r="C579" s="1">
        <v>9.4920000000000027</v>
      </c>
      <c r="D579" s="1">
        <v>0.23220000000000007</v>
      </c>
      <c r="E579" s="3">
        <v>2177000</v>
      </c>
    </row>
    <row r="580" spans="1:5" x14ac:dyDescent="0.2">
      <c r="A580" s="1">
        <v>3</v>
      </c>
      <c r="B580" s="1">
        <v>2389</v>
      </c>
      <c r="C580" s="1">
        <v>9.5200000000000031</v>
      </c>
      <c r="D580" s="1">
        <v>0.28770000000000007</v>
      </c>
      <c r="E580" s="3">
        <v>1744000</v>
      </c>
    </row>
    <row r="581" spans="1:5" x14ac:dyDescent="0.2">
      <c r="A581" s="1">
        <v>3</v>
      </c>
      <c r="B581" s="1">
        <v>3111</v>
      </c>
      <c r="C581" s="1">
        <v>9.4020000000000028</v>
      </c>
      <c r="D581" s="1">
        <v>0.37440000000000012</v>
      </c>
      <c r="E581" s="3">
        <v>43500</v>
      </c>
    </row>
    <row r="582" spans="1:5" x14ac:dyDescent="0.2">
      <c r="A582" s="1">
        <v>3</v>
      </c>
      <c r="B582" s="1">
        <v>3112</v>
      </c>
      <c r="C582" s="1">
        <v>9.5510000000000019</v>
      </c>
      <c r="D582" s="1">
        <v>0.46480000000000016</v>
      </c>
      <c r="E582" s="3">
        <v>126000</v>
      </c>
    </row>
    <row r="583" spans="1:5" x14ac:dyDescent="0.2">
      <c r="A583" s="1">
        <v>3</v>
      </c>
      <c r="B583" s="1">
        <v>3113</v>
      </c>
      <c r="C583" s="1">
        <v>9.4220000000000024</v>
      </c>
      <c r="D583" s="1">
        <v>0.3539000000000001</v>
      </c>
      <c r="E583" s="3">
        <v>310000</v>
      </c>
    </row>
    <row r="584" spans="1:5" x14ac:dyDescent="0.2">
      <c r="A584" s="1">
        <v>3</v>
      </c>
      <c r="B584" s="1">
        <v>3114</v>
      </c>
      <c r="C584" s="1">
        <v>9.2860000000000014</v>
      </c>
      <c r="D584" s="1">
        <v>0.32210000000000011</v>
      </c>
      <c r="E584" s="3">
        <v>397000</v>
      </c>
    </row>
    <row r="585" spans="1:5" x14ac:dyDescent="0.2">
      <c r="A585" s="1">
        <v>3</v>
      </c>
      <c r="B585" s="1">
        <v>3115</v>
      </c>
      <c r="C585" s="1">
        <v>9.349000000000002</v>
      </c>
      <c r="D585" s="1">
        <v>0.3645000000000001</v>
      </c>
      <c r="E585" s="3">
        <v>267000</v>
      </c>
    </row>
    <row r="586" spans="1:5" x14ac:dyDescent="0.2">
      <c r="A586" s="1">
        <v>3</v>
      </c>
      <c r="B586" s="1">
        <v>3116</v>
      </c>
      <c r="C586" s="1">
        <v>9.2040000000000024</v>
      </c>
      <c r="D586" s="1">
        <v>0.31950000000000012</v>
      </c>
      <c r="E586" s="3">
        <v>529000</v>
      </c>
    </row>
    <row r="587" spans="1:5" x14ac:dyDescent="0.2">
      <c r="A587" s="1">
        <v>3</v>
      </c>
      <c r="B587" s="1">
        <v>3118</v>
      </c>
      <c r="C587" s="1">
        <v>9.2700000000000014</v>
      </c>
      <c r="D587" s="1">
        <v>0.2869000000000001</v>
      </c>
      <c r="E587" s="3">
        <v>950000</v>
      </c>
    </row>
    <row r="588" spans="1:5" x14ac:dyDescent="0.2">
      <c r="A588" s="1">
        <v>3</v>
      </c>
      <c r="B588" s="1">
        <v>3119</v>
      </c>
      <c r="C588" s="1">
        <v>9.3450000000000024</v>
      </c>
      <c r="D588" s="1">
        <v>0.34050000000000014</v>
      </c>
      <c r="E588" s="3">
        <v>672000</v>
      </c>
    </row>
    <row r="589" spans="1:5" x14ac:dyDescent="0.2">
      <c r="A589" s="1">
        <v>3</v>
      </c>
      <c r="B589" s="1">
        <v>3121</v>
      </c>
      <c r="C589" s="1">
        <v>9.4840000000000018</v>
      </c>
      <c r="D589" s="1">
        <v>0.30230000000000012</v>
      </c>
      <c r="E589" s="3">
        <v>802000</v>
      </c>
    </row>
    <row r="590" spans="1:5" x14ac:dyDescent="0.2">
      <c r="A590" s="1">
        <v>3</v>
      </c>
      <c r="B590" s="1">
        <v>3133</v>
      </c>
      <c r="C590" s="1">
        <v>9.3620000000000019</v>
      </c>
      <c r="D590" s="1">
        <v>0.30020000000000008</v>
      </c>
      <c r="E590" s="3">
        <v>60000</v>
      </c>
    </row>
    <row r="591" spans="1:5" x14ac:dyDescent="0.2">
      <c r="A591" s="1">
        <v>3</v>
      </c>
      <c r="B591" s="1">
        <v>3141</v>
      </c>
      <c r="C591" s="1">
        <v>9.2590000000000021</v>
      </c>
      <c r="D591" s="1">
        <v>0.17880000000000007</v>
      </c>
      <c r="E591" s="3">
        <v>67500</v>
      </c>
    </row>
    <row r="592" spans="1:5" x14ac:dyDescent="0.2">
      <c r="A592" s="1">
        <v>3</v>
      </c>
      <c r="B592" s="1">
        <v>3149</v>
      </c>
      <c r="C592" s="1">
        <v>9.256000000000002</v>
      </c>
      <c r="D592" s="1">
        <v>0.16190000000000004</v>
      </c>
      <c r="E592" s="3">
        <v>147000</v>
      </c>
    </row>
    <row r="593" spans="1:5" x14ac:dyDescent="0.2">
      <c r="A593" s="1">
        <v>3</v>
      </c>
      <c r="B593" s="1">
        <v>3151</v>
      </c>
      <c r="C593" s="1">
        <v>9.2910000000000021</v>
      </c>
      <c r="D593" s="1">
        <v>0.17470000000000005</v>
      </c>
      <c r="E593" s="3">
        <v>6800</v>
      </c>
    </row>
    <row r="594" spans="1:5" x14ac:dyDescent="0.2">
      <c r="A594" s="1">
        <v>3</v>
      </c>
      <c r="B594" s="1">
        <v>3152</v>
      </c>
      <c r="C594" s="1">
        <v>9.2010000000000023</v>
      </c>
      <c r="D594" s="1">
        <v>0.18540000000000006</v>
      </c>
      <c r="E594" s="3">
        <v>207000</v>
      </c>
    </row>
    <row r="595" spans="1:5" x14ac:dyDescent="0.2">
      <c r="A595" s="1">
        <v>3</v>
      </c>
      <c r="B595" s="1">
        <v>3159</v>
      </c>
      <c r="C595" s="1">
        <v>9.235000000000003</v>
      </c>
      <c r="D595" s="1">
        <v>0.20230000000000006</v>
      </c>
      <c r="E595" s="3">
        <v>42500</v>
      </c>
    </row>
    <row r="596" spans="1:5" x14ac:dyDescent="0.2">
      <c r="A596" s="1">
        <v>3</v>
      </c>
      <c r="B596" s="1">
        <v>3161</v>
      </c>
      <c r="C596" s="1">
        <v>9.4930000000000021</v>
      </c>
      <c r="D596" s="1">
        <v>0.30750000000000011</v>
      </c>
      <c r="E596" s="3">
        <v>10500</v>
      </c>
    </row>
    <row r="597" spans="1:5" x14ac:dyDescent="0.2">
      <c r="A597" s="1">
        <v>3</v>
      </c>
      <c r="B597" s="1">
        <v>3162</v>
      </c>
      <c r="C597" s="1">
        <v>9.3570000000000029</v>
      </c>
      <c r="D597" s="1">
        <v>0.29870000000000008</v>
      </c>
      <c r="E597" s="3">
        <v>5800</v>
      </c>
    </row>
    <row r="598" spans="1:5" x14ac:dyDescent="0.2">
      <c r="A598" s="1">
        <v>3</v>
      </c>
      <c r="B598" s="1">
        <v>3212</v>
      </c>
      <c r="C598" s="1">
        <v>9.3480000000000025</v>
      </c>
      <c r="D598" s="1">
        <v>0.23710000000000009</v>
      </c>
      <c r="E598" s="3">
        <v>38500</v>
      </c>
    </row>
    <row r="599" spans="1:5" x14ac:dyDescent="0.2">
      <c r="A599" s="1">
        <v>3</v>
      </c>
      <c r="B599" s="1">
        <v>3219</v>
      </c>
      <c r="C599" s="1">
        <v>9.3170000000000019</v>
      </c>
      <c r="D599" s="1">
        <v>0.17440000000000005</v>
      </c>
      <c r="E599" s="3">
        <v>278000</v>
      </c>
    </row>
    <row r="600" spans="1:5" x14ac:dyDescent="0.2">
      <c r="A600" s="1">
        <v>3</v>
      </c>
      <c r="B600" s="1">
        <v>3221</v>
      </c>
      <c r="C600" s="1">
        <v>9.4710000000000019</v>
      </c>
      <c r="D600" s="1">
        <v>0.57930000000000015</v>
      </c>
      <c r="E600" s="3">
        <v>107000</v>
      </c>
    </row>
    <row r="601" spans="1:5" x14ac:dyDescent="0.2">
      <c r="A601" s="1">
        <v>3</v>
      </c>
      <c r="B601" s="1">
        <v>3222</v>
      </c>
      <c r="C601" s="1">
        <v>9.397000000000002</v>
      </c>
      <c r="D601" s="1">
        <v>0.37880000000000014</v>
      </c>
      <c r="E601" s="3">
        <v>1103000</v>
      </c>
    </row>
    <row r="602" spans="1:5" x14ac:dyDescent="0.2">
      <c r="A602" s="1">
        <v>3</v>
      </c>
      <c r="B602" s="1">
        <v>3231</v>
      </c>
      <c r="C602" s="1">
        <v>9.4040000000000017</v>
      </c>
      <c r="D602" s="1">
        <v>0.26190000000000008</v>
      </c>
      <c r="E602" s="3">
        <v>1712000</v>
      </c>
    </row>
    <row r="603" spans="1:5" x14ac:dyDescent="0.2">
      <c r="A603" s="1">
        <v>3</v>
      </c>
      <c r="B603" s="1">
        <v>3241</v>
      </c>
      <c r="C603" s="1">
        <v>9.8750000000000018</v>
      </c>
      <c r="D603" s="1">
        <v>0.61540000000000017</v>
      </c>
      <c r="E603" s="3">
        <v>836000</v>
      </c>
    </row>
    <row r="604" spans="1:5" x14ac:dyDescent="0.2">
      <c r="A604" s="1">
        <v>3</v>
      </c>
      <c r="B604" s="1">
        <v>3251</v>
      </c>
      <c r="C604" s="1">
        <v>9.7740000000000027</v>
      </c>
      <c r="D604" s="1">
        <v>0.55020000000000013</v>
      </c>
      <c r="E604" s="3">
        <v>870000</v>
      </c>
    </row>
    <row r="605" spans="1:5" x14ac:dyDescent="0.2">
      <c r="A605" s="1">
        <v>3</v>
      </c>
      <c r="B605" s="1">
        <v>3252</v>
      </c>
      <c r="C605" s="1">
        <v>9.6930000000000032</v>
      </c>
      <c r="D605" s="1">
        <v>0.54230000000000023</v>
      </c>
      <c r="E605" s="3">
        <v>329000</v>
      </c>
    </row>
    <row r="606" spans="1:5" x14ac:dyDescent="0.2">
      <c r="A606" s="1">
        <v>3</v>
      </c>
      <c r="B606" s="1">
        <v>3253</v>
      </c>
      <c r="C606" s="1">
        <v>9.6400000000000023</v>
      </c>
      <c r="D606" s="1">
        <v>0.45090000000000013</v>
      </c>
      <c r="E606" s="3">
        <v>74500</v>
      </c>
    </row>
    <row r="607" spans="1:5" x14ac:dyDescent="0.2">
      <c r="A607" s="1">
        <v>3</v>
      </c>
      <c r="B607" s="1">
        <v>3254</v>
      </c>
      <c r="C607" s="1">
        <v>9.8900000000000023</v>
      </c>
      <c r="D607" s="1">
        <v>0.59110000000000018</v>
      </c>
      <c r="E607" s="3">
        <v>2419000</v>
      </c>
    </row>
    <row r="608" spans="1:5" x14ac:dyDescent="0.2">
      <c r="A608" s="1">
        <v>3</v>
      </c>
      <c r="B608" s="1">
        <v>3255</v>
      </c>
      <c r="C608" s="1">
        <v>9.5600000000000023</v>
      </c>
      <c r="D608" s="1">
        <v>0.40060000000000012</v>
      </c>
      <c r="E608" s="3">
        <v>366000</v>
      </c>
    </row>
    <row r="609" spans="1:5" x14ac:dyDescent="0.2">
      <c r="A609" s="1">
        <v>3</v>
      </c>
      <c r="B609" s="1">
        <v>3256</v>
      </c>
      <c r="C609" s="1">
        <v>9.4990000000000023</v>
      </c>
      <c r="D609" s="1">
        <v>0.39030000000000015</v>
      </c>
      <c r="E609" s="3">
        <v>549000</v>
      </c>
    </row>
    <row r="610" spans="1:5" x14ac:dyDescent="0.2">
      <c r="A610" s="1">
        <v>3</v>
      </c>
      <c r="B610" s="1">
        <v>3259</v>
      </c>
      <c r="C610" s="1">
        <v>9.5560000000000027</v>
      </c>
      <c r="D610" s="1">
        <v>0.3887000000000001</v>
      </c>
      <c r="E610" s="3">
        <v>415000</v>
      </c>
    </row>
    <row r="611" spans="1:5" x14ac:dyDescent="0.2">
      <c r="A611" s="1">
        <v>3</v>
      </c>
      <c r="B611" s="1">
        <v>3261</v>
      </c>
      <c r="C611" s="1">
        <v>9.3380000000000027</v>
      </c>
      <c r="D611" s="1">
        <v>0.30310000000000009</v>
      </c>
      <c r="E611" s="3">
        <v>1909000</v>
      </c>
    </row>
    <row r="612" spans="1:5" x14ac:dyDescent="0.2">
      <c r="A612" s="1">
        <v>3</v>
      </c>
      <c r="B612" s="1">
        <v>3262</v>
      </c>
      <c r="C612" s="1">
        <v>9.3640000000000025</v>
      </c>
      <c r="D612" s="1">
        <v>0.30640000000000012</v>
      </c>
      <c r="E612" s="3">
        <v>240000</v>
      </c>
    </row>
    <row r="613" spans="1:5" x14ac:dyDescent="0.2">
      <c r="A613" s="1">
        <v>3</v>
      </c>
      <c r="B613" s="1">
        <v>3272</v>
      </c>
      <c r="C613" s="1">
        <v>9.3310000000000031</v>
      </c>
      <c r="D613" s="1">
        <v>0.36530000000000012</v>
      </c>
      <c r="E613" s="3">
        <v>319000</v>
      </c>
    </row>
    <row r="614" spans="1:5" x14ac:dyDescent="0.2">
      <c r="A614" s="1">
        <v>3</v>
      </c>
      <c r="B614" s="1">
        <v>3273</v>
      </c>
      <c r="C614" s="1">
        <v>9.4470000000000027</v>
      </c>
      <c r="D614" s="1">
        <v>0.3529000000000001</v>
      </c>
      <c r="E614" s="3">
        <v>494000</v>
      </c>
    </row>
    <row r="615" spans="1:5" x14ac:dyDescent="0.2">
      <c r="A615" s="1">
        <v>3</v>
      </c>
      <c r="B615" s="1">
        <v>3274</v>
      </c>
      <c r="C615" s="1">
        <v>9.4330000000000016</v>
      </c>
      <c r="D615" s="1">
        <v>0.48230000000000017</v>
      </c>
      <c r="E615" s="3">
        <v>36000</v>
      </c>
    </row>
    <row r="616" spans="1:5" x14ac:dyDescent="0.2">
      <c r="A616" s="1">
        <v>3</v>
      </c>
      <c r="B616" s="1">
        <v>3279</v>
      </c>
      <c r="C616" s="1">
        <v>9.4110000000000014</v>
      </c>
      <c r="D616" s="1">
        <v>0.26940000000000008</v>
      </c>
      <c r="E616" s="3">
        <v>184000</v>
      </c>
    </row>
    <row r="617" spans="1:5" x14ac:dyDescent="0.2">
      <c r="A617" s="1">
        <v>3</v>
      </c>
      <c r="B617" s="1">
        <v>3311</v>
      </c>
      <c r="C617" s="1">
        <v>9.5050000000000026</v>
      </c>
      <c r="D617" s="1">
        <v>0.58510000000000018</v>
      </c>
      <c r="E617" s="3">
        <v>419000</v>
      </c>
    </row>
    <row r="618" spans="1:5" x14ac:dyDescent="0.2">
      <c r="A618" s="1">
        <v>3</v>
      </c>
      <c r="B618" s="1">
        <v>3312</v>
      </c>
      <c r="C618" s="1">
        <v>9.4150000000000027</v>
      </c>
      <c r="D618" s="1">
        <v>0.41620000000000013</v>
      </c>
      <c r="E618" s="3">
        <v>286000</v>
      </c>
    </row>
    <row r="619" spans="1:5" x14ac:dyDescent="0.2">
      <c r="A619" s="1">
        <v>3</v>
      </c>
      <c r="B619" s="1">
        <v>3314</v>
      </c>
      <c r="C619" s="1">
        <v>9.4640000000000022</v>
      </c>
      <c r="D619" s="1">
        <v>0.42570000000000013</v>
      </c>
      <c r="E619" s="3">
        <v>212000</v>
      </c>
    </row>
    <row r="620" spans="1:5" x14ac:dyDescent="0.2">
      <c r="A620" s="1">
        <v>3</v>
      </c>
      <c r="B620" s="1">
        <v>3315</v>
      </c>
      <c r="C620" s="1">
        <v>9.3290000000000024</v>
      </c>
      <c r="D620" s="1">
        <v>0.34200000000000008</v>
      </c>
      <c r="E620" s="3">
        <v>246000</v>
      </c>
    </row>
    <row r="621" spans="1:5" x14ac:dyDescent="0.2">
      <c r="A621" s="1">
        <v>3</v>
      </c>
      <c r="B621" s="1">
        <v>3321</v>
      </c>
      <c r="C621" s="1">
        <v>9.4410000000000025</v>
      </c>
      <c r="D621" s="1">
        <v>0.32340000000000008</v>
      </c>
      <c r="E621" s="3">
        <v>543000</v>
      </c>
    </row>
    <row r="622" spans="1:5" x14ac:dyDescent="0.2">
      <c r="A622" s="1">
        <v>3</v>
      </c>
      <c r="B622" s="1">
        <v>3323</v>
      </c>
      <c r="C622" s="1">
        <v>9.424000000000003</v>
      </c>
      <c r="D622" s="1">
        <v>0.27850000000000008</v>
      </c>
      <c r="E622" s="3">
        <v>1196000</v>
      </c>
    </row>
    <row r="623" spans="1:5" x14ac:dyDescent="0.2">
      <c r="A623" s="1">
        <v>3</v>
      </c>
      <c r="B623" s="1">
        <v>3324</v>
      </c>
      <c r="C623" s="1">
        <v>9.474000000000002</v>
      </c>
      <c r="D623" s="1">
        <v>0.40190000000000015</v>
      </c>
      <c r="E623" s="3">
        <v>297000</v>
      </c>
    </row>
    <row r="624" spans="1:5" x14ac:dyDescent="0.2">
      <c r="A624" s="1">
        <v>3</v>
      </c>
      <c r="B624" s="1">
        <v>3325</v>
      </c>
      <c r="C624" s="1">
        <v>9.4510000000000023</v>
      </c>
      <c r="D624" s="1">
        <v>0.33700000000000013</v>
      </c>
      <c r="E624" s="3">
        <v>101000</v>
      </c>
    </row>
    <row r="625" spans="1:5" x14ac:dyDescent="0.2">
      <c r="A625" s="1">
        <v>3</v>
      </c>
      <c r="B625" s="1">
        <v>3326</v>
      </c>
      <c r="C625" s="1">
        <v>9.429000000000002</v>
      </c>
      <c r="D625" s="1">
        <v>0.25200000000000006</v>
      </c>
      <c r="E625" s="3">
        <v>228000</v>
      </c>
    </row>
    <row r="626" spans="1:5" x14ac:dyDescent="0.2">
      <c r="A626" s="1">
        <v>3</v>
      </c>
      <c r="B626" s="1">
        <v>3327</v>
      </c>
      <c r="C626" s="1">
        <v>9.4700000000000024</v>
      </c>
      <c r="D626" s="1">
        <v>0.27800000000000008</v>
      </c>
      <c r="E626" s="3">
        <v>1751000</v>
      </c>
    </row>
    <row r="627" spans="1:5" x14ac:dyDescent="0.2">
      <c r="A627" s="1">
        <v>3</v>
      </c>
      <c r="B627" s="1">
        <v>3328</v>
      </c>
      <c r="C627" s="1">
        <v>9.3370000000000015</v>
      </c>
      <c r="D627" s="1">
        <v>0.28570000000000007</v>
      </c>
      <c r="E627" s="3">
        <v>720000</v>
      </c>
    </row>
    <row r="628" spans="1:5" x14ac:dyDescent="0.2">
      <c r="A628" s="1">
        <v>3</v>
      </c>
      <c r="B628" s="1">
        <v>3329</v>
      </c>
      <c r="C628" s="1">
        <v>9.4630000000000027</v>
      </c>
      <c r="D628" s="1">
        <v>0.32860000000000011</v>
      </c>
      <c r="E628" s="3">
        <v>1097000</v>
      </c>
    </row>
    <row r="629" spans="1:5" x14ac:dyDescent="0.2">
      <c r="A629" s="1">
        <v>3</v>
      </c>
      <c r="B629" s="1">
        <v>3331</v>
      </c>
      <c r="C629" s="1">
        <v>9.6680000000000028</v>
      </c>
      <c r="D629" s="1">
        <v>0.46350000000000013</v>
      </c>
      <c r="E629" s="3">
        <v>1208000</v>
      </c>
    </row>
    <row r="630" spans="1:5" x14ac:dyDescent="0.2">
      <c r="A630" s="1">
        <v>3</v>
      </c>
      <c r="B630" s="1">
        <v>3332</v>
      </c>
      <c r="C630" s="1">
        <v>9.7580000000000027</v>
      </c>
      <c r="D630" s="1">
        <v>0.41320000000000012</v>
      </c>
      <c r="E630" s="3">
        <v>600000</v>
      </c>
    </row>
    <row r="631" spans="1:5" x14ac:dyDescent="0.2">
      <c r="A631" s="1">
        <v>3</v>
      </c>
      <c r="B631" s="1">
        <v>3333</v>
      </c>
      <c r="C631" s="1">
        <v>9.6660000000000021</v>
      </c>
      <c r="D631" s="1">
        <v>0.38070000000000009</v>
      </c>
      <c r="E631" s="3">
        <v>378000</v>
      </c>
    </row>
    <row r="632" spans="1:5" x14ac:dyDescent="0.2">
      <c r="A632" s="1">
        <v>3</v>
      </c>
      <c r="B632" s="1">
        <v>3334</v>
      </c>
      <c r="C632" s="1">
        <v>9.4380000000000024</v>
      </c>
      <c r="D632" s="1">
        <v>0.31920000000000009</v>
      </c>
      <c r="E632" s="3">
        <v>291000</v>
      </c>
    </row>
    <row r="633" spans="1:5" x14ac:dyDescent="0.2">
      <c r="A633" s="1">
        <v>3</v>
      </c>
      <c r="B633" s="1">
        <v>3335</v>
      </c>
      <c r="C633" s="1">
        <v>9.5370000000000026</v>
      </c>
      <c r="D633" s="1">
        <v>0.31550000000000011</v>
      </c>
      <c r="E633" s="3">
        <v>1063000</v>
      </c>
    </row>
    <row r="634" spans="1:5" x14ac:dyDescent="0.2">
      <c r="A634" s="1">
        <v>3</v>
      </c>
      <c r="B634" s="1">
        <v>3339</v>
      </c>
      <c r="C634" s="1">
        <v>9.5790000000000024</v>
      </c>
      <c r="D634" s="1">
        <v>0.35970000000000013</v>
      </c>
      <c r="E634" s="3">
        <v>972000</v>
      </c>
    </row>
    <row r="635" spans="1:5" x14ac:dyDescent="0.2">
      <c r="A635" s="1">
        <v>3</v>
      </c>
      <c r="B635" s="1">
        <v>3341</v>
      </c>
      <c r="C635" s="1">
        <v>10.090000000000002</v>
      </c>
      <c r="D635" s="1">
        <v>0.63350000000000017</v>
      </c>
      <c r="E635" s="3">
        <v>1750000</v>
      </c>
    </row>
    <row r="636" spans="1:5" x14ac:dyDescent="0.2">
      <c r="A636" s="1">
        <v>3</v>
      </c>
      <c r="B636" s="1">
        <v>3342</v>
      </c>
      <c r="C636" s="1">
        <v>9.9060000000000024</v>
      </c>
      <c r="D636" s="1">
        <v>0.47270000000000018</v>
      </c>
      <c r="E636" s="3">
        <v>649000</v>
      </c>
    </row>
    <row r="637" spans="1:5" x14ac:dyDescent="0.2">
      <c r="A637" s="1">
        <v>3</v>
      </c>
      <c r="B637" s="1">
        <v>3344</v>
      </c>
      <c r="C637" s="1">
        <v>9.7940000000000023</v>
      </c>
      <c r="D637" s="1">
        <v>0.41960000000000014</v>
      </c>
      <c r="E637" s="3">
        <v>2071000</v>
      </c>
    </row>
    <row r="638" spans="1:5" x14ac:dyDescent="0.2">
      <c r="A638" s="1">
        <v>3</v>
      </c>
      <c r="B638" s="1">
        <v>3345</v>
      </c>
      <c r="C638" s="1">
        <v>9.7180000000000017</v>
      </c>
      <c r="D638" s="1">
        <v>0.41820000000000013</v>
      </c>
      <c r="E638" s="3">
        <v>1966000</v>
      </c>
    </row>
    <row r="639" spans="1:5" x14ac:dyDescent="0.2">
      <c r="A639" s="1">
        <v>3</v>
      </c>
      <c r="B639" s="1">
        <v>3352</v>
      </c>
      <c r="C639" s="1">
        <v>9.4090000000000025</v>
      </c>
      <c r="D639" s="1">
        <v>0.29110000000000008</v>
      </c>
      <c r="E639" s="3">
        <v>74000</v>
      </c>
    </row>
    <row r="640" spans="1:5" x14ac:dyDescent="0.2">
      <c r="A640" s="1">
        <v>3</v>
      </c>
      <c r="B640" s="1">
        <v>3353</v>
      </c>
      <c r="C640" s="1">
        <v>9.5500000000000025</v>
      </c>
      <c r="D640" s="1">
        <v>0.35560000000000014</v>
      </c>
      <c r="E640" s="3">
        <v>660000</v>
      </c>
    </row>
    <row r="641" spans="1:5" x14ac:dyDescent="0.2">
      <c r="A641" s="1">
        <v>3</v>
      </c>
      <c r="B641" s="1">
        <v>3359</v>
      </c>
      <c r="C641" s="1">
        <v>9.5400000000000027</v>
      </c>
      <c r="D641" s="1">
        <v>0.34850000000000009</v>
      </c>
      <c r="E641" s="3">
        <v>589000</v>
      </c>
    </row>
    <row r="642" spans="1:5" x14ac:dyDescent="0.2">
      <c r="A642" s="1">
        <v>3</v>
      </c>
      <c r="B642" s="1">
        <v>3363</v>
      </c>
      <c r="C642" s="1">
        <v>9.4930000000000021</v>
      </c>
      <c r="D642" s="1">
        <v>0.42170000000000013</v>
      </c>
      <c r="E642" s="3">
        <v>2458000</v>
      </c>
    </row>
    <row r="643" spans="1:5" x14ac:dyDescent="0.2">
      <c r="A643" s="1">
        <v>3</v>
      </c>
      <c r="B643" s="1">
        <v>3364</v>
      </c>
      <c r="C643" s="1">
        <v>9.7930000000000028</v>
      </c>
      <c r="D643" s="1">
        <v>0.53740000000000021</v>
      </c>
      <c r="E643" s="3">
        <v>1515000</v>
      </c>
    </row>
    <row r="644" spans="1:5" x14ac:dyDescent="0.2">
      <c r="A644" s="1">
        <v>3</v>
      </c>
      <c r="B644" s="1">
        <v>3365</v>
      </c>
      <c r="C644" s="1">
        <v>9.5180000000000025</v>
      </c>
      <c r="D644" s="1">
        <v>0.40820000000000012</v>
      </c>
      <c r="E644" s="3">
        <v>84000</v>
      </c>
    </row>
    <row r="645" spans="1:5" x14ac:dyDescent="0.2">
      <c r="A645" s="1">
        <v>3</v>
      </c>
      <c r="B645" s="1">
        <v>3366</v>
      </c>
      <c r="C645" s="1">
        <v>9.5930000000000017</v>
      </c>
      <c r="D645" s="1">
        <v>0.47400000000000014</v>
      </c>
      <c r="E645" s="3">
        <v>372000</v>
      </c>
    </row>
    <row r="646" spans="1:5" x14ac:dyDescent="0.2">
      <c r="A646" s="1">
        <v>3</v>
      </c>
      <c r="B646" s="1">
        <v>3369</v>
      </c>
      <c r="C646" s="1">
        <v>9.7090000000000032</v>
      </c>
      <c r="D646" s="1">
        <v>0.32790000000000008</v>
      </c>
      <c r="E646" s="3">
        <v>59500</v>
      </c>
    </row>
    <row r="647" spans="1:5" x14ac:dyDescent="0.2">
      <c r="A647" s="1">
        <v>3</v>
      </c>
      <c r="B647" s="1">
        <v>3371</v>
      </c>
      <c r="C647" s="1">
        <v>9.3840000000000021</v>
      </c>
      <c r="D647" s="1">
        <v>0.16770000000000004</v>
      </c>
      <c r="E647" s="3">
        <v>317000</v>
      </c>
    </row>
    <row r="648" spans="1:5" x14ac:dyDescent="0.2">
      <c r="A648" s="1">
        <v>3</v>
      </c>
      <c r="B648" s="1">
        <v>3372</v>
      </c>
      <c r="C648" s="1">
        <v>9.4440000000000026</v>
      </c>
      <c r="D648" s="1">
        <v>0.26700000000000007</v>
      </c>
      <c r="E648" s="3">
        <v>294000</v>
      </c>
    </row>
    <row r="649" spans="1:5" x14ac:dyDescent="0.2">
      <c r="A649" s="1">
        <v>3</v>
      </c>
      <c r="B649" s="1">
        <v>3391</v>
      </c>
      <c r="C649" s="1">
        <v>9.6020000000000021</v>
      </c>
      <c r="D649" s="1">
        <v>0.40390000000000015</v>
      </c>
      <c r="E649" s="3">
        <v>1368000</v>
      </c>
    </row>
    <row r="650" spans="1:5" x14ac:dyDescent="0.2">
      <c r="A650" s="1">
        <v>3</v>
      </c>
      <c r="B650" s="1">
        <v>3399</v>
      </c>
      <c r="C650" s="1">
        <v>9.4610000000000021</v>
      </c>
      <c r="D650" s="1">
        <v>0.27070000000000011</v>
      </c>
      <c r="E650" s="3">
        <v>947000</v>
      </c>
    </row>
    <row r="651" spans="1:5" x14ac:dyDescent="0.2">
      <c r="A651" s="1">
        <v>3</v>
      </c>
      <c r="B651" s="1">
        <v>4231</v>
      </c>
      <c r="C651" s="1">
        <v>9.5130000000000017</v>
      </c>
      <c r="D651" s="1">
        <v>0.29640000000000011</v>
      </c>
      <c r="E651" s="3">
        <v>1253000</v>
      </c>
    </row>
    <row r="652" spans="1:5" x14ac:dyDescent="0.2">
      <c r="A652" s="1">
        <v>3</v>
      </c>
      <c r="B652" s="1">
        <v>4232</v>
      </c>
      <c r="C652" s="1">
        <v>9.490000000000002</v>
      </c>
      <c r="D652" s="1">
        <v>0.2607000000000001</v>
      </c>
      <c r="E652" s="3">
        <v>524000</v>
      </c>
    </row>
    <row r="653" spans="1:5" x14ac:dyDescent="0.2">
      <c r="A653" s="1">
        <v>3</v>
      </c>
      <c r="B653" s="1">
        <v>4233</v>
      </c>
      <c r="C653" s="1">
        <v>9.4810000000000016</v>
      </c>
      <c r="D653" s="1">
        <v>0.26840000000000008</v>
      </c>
      <c r="E653" s="3">
        <v>673000</v>
      </c>
    </row>
    <row r="654" spans="1:5" x14ac:dyDescent="0.2">
      <c r="A654" s="1">
        <v>3</v>
      </c>
      <c r="B654" s="1">
        <v>4234</v>
      </c>
      <c r="C654" s="1">
        <v>9.7620000000000022</v>
      </c>
      <c r="D654" s="1">
        <v>0.4003000000000001</v>
      </c>
      <c r="E654" s="3">
        <v>3368000</v>
      </c>
    </row>
    <row r="655" spans="1:5" x14ac:dyDescent="0.2">
      <c r="A655" s="1">
        <v>3</v>
      </c>
      <c r="B655" s="1">
        <v>4235</v>
      </c>
      <c r="C655" s="1">
        <v>9.5310000000000024</v>
      </c>
      <c r="D655" s="1">
        <v>0.33940000000000009</v>
      </c>
      <c r="E655" s="3">
        <v>817000</v>
      </c>
    </row>
    <row r="656" spans="1:5" x14ac:dyDescent="0.2">
      <c r="A656" s="1">
        <v>3</v>
      </c>
      <c r="B656" s="1">
        <v>4236</v>
      </c>
      <c r="C656" s="1">
        <v>9.7220000000000031</v>
      </c>
      <c r="D656" s="1">
        <v>0.3680000000000001</v>
      </c>
      <c r="E656" s="3">
        <v>1671000</v>
      </c>
    </row>
    <row r="657" spans="1:5" x14ac:dyDescent="0.2">
      <c r="A657" s="1">
        <v>3</v>
      </c>
      <c r="B657" s="1">
        <v>4237</v>
      </c>
      <c r="C657" s="1">
        <v>9.5410000000000021</v>
      </c>
      <c r="D657" s="1">
        <v>0.2768000000000001</v>
      </c>
      <c r="E657" s="3">
        <v>1005000</v>
      </c>
    </row>
    <row r="658" spans="1:5" x14ac:dyDescent="0.2">
      <c r="A658" s="1">
        <v>3</v>
      </c>
      <c r="B658" s="1">
        <v>4238</v>
      </c>
      <c r="C658" s="1">
        <v>9.6160000000000014</v>
      </c>
      <c r="D658" s="1">
        <v>0.32280000000000009</v>
      </c>
      <c r="E658" s="3">
        <v>2784000</v>
      </c>
    </row>
    <row r="659" spans="1:5" x14ac:dyDescent="0.2">
      <c r="A659" s="1">
        <v>3</v>
      </c>
      <c r="B659" s="1">
        <v>4239</v>
      </c>
      <c r="C659" s="1">
        <v>9.4400000000000031</v>
      </c>
      <c r="D659" s="1">
        <v>0.26410000000000006</v>
      </c>
      <c r="E659" s="3">
        <v>1064000</v>
      </c>
    </row>
    <row r="660" spans="1:5" x14ac:dyDescent="0.2">
      <c r="A660" s="1">
        <v>3</v>
      </c>
      <c r="B660" s="1">
        <v>4241</v>
      </c>
      <c r="C660" s="1">
        <v>9.5320000000000018</v>
      </c>
      <c r="D660" s="1">
        <v>0.30490000000000012</v>
      </c>
      <c r="E660" s="3">
        <v>556000</v>
      </c>
    </row>
    <row r="661" spans="1:5" x14ac:dyDescent="0.2">
      <c r="A661" s="1">
        <v>3</v>
      </c>
      <c r="B661" s="1">
        <v>4242</v>
      </c>
      <c r="C661" s="1">
        <v>9.7770000000000028</v>
      </c>
      <c r="D661" s="1">
        <v>0.48510000000000014</v>
      </c>
      <c r="E661" s="3">
        <v>1174000</v>
      </c>
    </row>
    <row r="662" spans="1:5" x14ac:dyDescent="0.2">
      <c r="A662" s="1">
        <v>3</v>
      </c>
      <c r="B662" s="1">
        <v>4243</v>
      </c>
      <c r="C662" s="1">
        <v>9.4120000000000026</v>
      </c>
      <c r="D662" s="1">
        <v>0.25640000000000007</v>
      </c>
      <c r="E662" s="3">
        <v>384000</v>
      </c>
    </row>
    <row r="663" spans="1:5" x14ac:dyDescent="0.2">
      <c r="A663" s="1">
        <v>3</v>
      </c>
      <c r="B663" s="1">
        <v>4244</v>
      </c>
      <c r="C663" s="1">
        <v>9.4280000000000026</v>
      </c>
      <c r="D663" s="1">
        <v>0.32830000000000009</v>
      </c>
      <c r="E663" s="3">
        <v>3095000</v>
      </c>
    </row>
    <row r="664" spans="1:5" x14ac:dyDescent="0.2">
      <c r="A664" s="1">
        <v>3</v>
      </c>
      <c r="B664" s="1">
        <v>4245</v>
      </c>
      <c r="C664" s="1">
        <v>9.4930000000000021</v>
      </c>
      <c r="D664" s="1">
        <v>0.25400000000000006</v>
      </c>
      <c r="E664" s="3">
        <v>29000</v>
      </c>
    </row>
    <row r="665" spans="1:5" x14ac:dyDescent="0.2">
      <c r="A665" s="1">
        <v>3</v>
      </c>
      <c r="B665" s="1">
        <v>4246</v>
      </c>
      <c r="C665" s="1">
        <v>9.6870000000000029</v>
      </c>
      <c r="D665" s="1">
        <v>0.4033000000000001</v>
      </c>
      <c r="E665" s="3">
        <v>702000</v>
      </c>
    </row>
    <row r="666" spans="1:5" x14ac:dyDescent="0.2">
      <c r="A666" s="1">
        <v>3</v>
      </c>
      <c r="B666" s="1">
        <v>4247</v>
      </c>
      <c r="C666" s="1">
        <v>9.7000000000000028</v>
      </c>
      <c r="D666" s="1">
        <v>0.46640000000000015</v>
      </c>
      <c r="E666" s="3">
        <v>393000</v>
      </c>
    </row>
    <row r="667" spans="1:5" x14ac:dyDescent="0.2">
      <c r="A667" s="1">
        <v>3</v>
      </c>
      <c r="B667" s="1">
        <v>4248</v>
      </c>
      <c r="C667" s="1">
        <v>9.599000000000002</v>
      </c>
      <c r="D667" s="1">
        <v>0.34630000000000011</v>
      </c>
      <c r="E667" s="3">
        <v>761000</v>
      </c>
    </row>
    <row r="668" spans="1:5" x14ac:dyDescent="0.2">
      <c r="A668" s="1">
        <v>3</v>
      </c>
      <c r="B668" s="1">
        <v>4249</v>
      </c>
      <c r="C668" s="1">
        <v>9.4700000000000024</v>
      </c>
      <c r="D668" s="1">
        <v>0.25500000000000006</v>
      </c>
      <c r="E668" s="3">
        <v>985000</v>
      </c>
    </row>
    <row r="669" spans="1:5" x14ac:dyDescent="0.2">
      <c r="A669" s="1">
        <v>3</v>
      </c>
      <c r="B669" s="1">
        <v>4251</v>
      </c>
      <c r="C669" s="1">
        <v>9.804000000000002</v>
      </c>
      <c r="D669" s="1">
        <v>0.4048000000000001</v>
      </c>
      <c r="E669" s="3">
        <v>3624000</v>
      </c>
    </row>
    <row r="670" spans="1:5" x14ac:dyDescent="0.2">
      <c r="A670" s="1">
        <v>3</v>
      </c>
      <c r="B670" s="1">
        <v>4411</v>
      </c>
      <c r="C670" s="1">
        <v>9.5630000000000024</v>
      </c>
      <c r="D670" s="1">
        <v>0.24850000000000008</v>
      </c>
      <c r="E670" s="3">
        <v>3844000</v>
      </c>
    </row>
    <row r="671" spans="1:5" x14ac:dyDescent="0.2">
      <c r="A671" s="1">
        <v>3</v>
      </c>
      <c r="B671" s="1">
        <v>4412</v>
      </c>
      <c r="C671" s="1">
        <v>9.4820000000000029</v>
      </c>
      <c r="D671" s="1">
        <v>0.12330000000000003</v>
      </c>
      <c r="E671" s="3">
        <v>266000</v>
      </c>
    </row>
    <row r="672" spans="1:5" x14ac:dyDescent="0.2">
      <c r="A672" s="1">
        <v>3</v>
      </c>
      <c r="B672" s="1">
        <v>4413</v>
      </c>
      <c r="C672" s="1">
        <v>9.3520000000000021</v>
      </c>
      <c r="D672" s="1">
        <v>0.13230000000000003</v>
      </c>
      <c r="E672" s="3">
        <v>1167000</v>
      </c>
    </row>
    <row r="673" spans="1:5" x14ac:dyDescent="0.2">
      <c r="A673" s="1">
        <v>3</v>
      </c>
      <c r="B673" s="1">
        <v>4421</v>
      </c>
      <c r="C673" s="1">
        <v>9.3860000000000028</v>
      </c>
      <c r="D673" s="1">
        <v>0.20510000000000006</v>
      </c>
      <c r="E673" s="3">
        <v>633000</v>
      </c>
    </row>
    <row r="674" spans="1:5" x14ac:dyDescent="0.2">
      <c r="A674" s="1">
        <v>3</v>
      </c>
      <c r="B674" s="1">
        <v>4422</v>
      </c>
      <c r="C674" s="1">
        <v>9.4480000000000022</v>
      </c>
      <c r="D674" s="1">
        <v>0.13770000000000004</v>
      </c>
      <c r="E674" s="3">
        <v>582000</v>
      </c>
    </row>
    <row r="675" spans="1:5" x14ac:dyDescent="0.2">
      <c r="A675" s="1">
        <v>3</v>
      </c>
      <c r="B675" s="1">
        <v>4431</v>
      </c>
      <c r="C675" s="1">
        <v>9.5100000000000016</v>
      </c>
      <c r="D675" s="1">
        <v>0.28220000000000012</v>
      </c>
      <c r="E675" s="3">
        <v>1728000</v>
      </c>
    </row>
    <row r="676" spans="1:5" x14ac:dyDescent="0.2">
      <c r="A676" s="1">
        <v>3</v>
      </c>
      <c r="B676" s="1">
        <v>4441</v>
      </c>
      <c r="C676" s="1">
        <v>9.3640000000000025</v>
      </c>
      <c r="D676" s="1">
        <v>0.10870000000000003</v>
      </c>
      <c r="E676" s="3">
        <v>2711000</v>
      </c>
    </row>
    <row r="677" spans="1:5" x14ac:dyDescent="0.2">
      <c r="A677" s="1">
        <v>3</v>
      </c>
      <c r="B677" s="1">
        <v>4442</v>
      </c>
      <c r="C677" s="1">
        <v>9.3950000000000014</v>
      </c>
      <c r="D677" s="1">
        <v>6.1880000000000025E-2</v>
      </c>
      <c r="E677" s="3">
        <v>245000</v>
      </c>
    </row>
    <row r="678" spans="1:5" x14ac:dyDescent="0.2">
      <c r="A678" s="1">
        <v>3</v>
      </c>
      <c r="B678" s="1">
        <v>4451</v>
      </c>
      <c r="C678" s="1">
        <v>9.2840000000000025</v>
      </c>
      <c r="D678" s="1">
        <v>8.161000000000003E-2</v>
      </c>
      <c r="E678" s="3">
        <v>5928000</v>
      </c>
    </row>
    <row r="679" spans="1:5" x14ac:dyDescent="0.2">
      <c r="A679" s="1">
        <v>3</v>
      </c>
      <c r="B679" s="1">
        <v>4452</v>
      </c>
      <c r="C679" s="1">
        <v>9.2920000000000016</v>
      </c>
      <c r="D679" s="1">
        <v>8.0370000000000039E-2</v>
      </c>
      <c r="E679" s="3">
        <v>452000</v>
      </c>
    </row>
    <row r="680" spans="1:5" x14ac:dyDescent="0.2">
      <c r="A680" s="1">
        <v>3</v>
      </c>
      <c r="B680" s="1">
        <v>4453</v>
      </c>
      <c r="C680" s="1">
        <v>9.3620000000000019</v>
      </c>
      <c r="D680" s="1">
        <v>9.4340000000000031E-3</v>
      </c>
      <c r="E680" s="3">
        <v>403000</v>
      </c>
    </row>
    <row r="681" spans="1:5" x14ac:dyDescent="0.2">
      <c r="A681" s="1">
        <v>3</v>
      </c>
      <c r="B681" s="1">
        <v>4461</v>
      </c>
      <c r="C681" s="1">
        <v>9.4060000000000024</v>
      </c>
      <c r="D681" s="1">
        <v>0.15890000000000004</v>
      </c>
      <c r="E681" s="3">
        <v>2893000</v>
      </c>
    </row>
    <row r="682" spans="1:5" x14ac:dyDescent="0.2">
      <c r="A682" s="1">
        <v>3</v>
      </c>
      <c r="B682" s="1">
        <v>4471</v>
      </c>
      <c r="C682" s="1">
        <v>9.1820000000000022</v>
      </c>
      <c r="D682" s="1">
        <v>3.8640000000000015E-2</v>
      </c>
      <c r="E682" s="3">
        <v>907000</v>
      </c>
    </row>
    <row r="683" spans="1:5" x14ac:dyDescent="0.2">
      <c r="A683" s="1">
        <v>3</v>
      </c>
      <c r="B683" s="1">
        <v>4481</v>
      </c>
      <c r="C683" s="1">
        <v>9.344000000000003</v>
      </c>
      <c r="D683" s="1">
        <v>0.15190000000000003</v>
      </c>
      <c r="E683" s="3">
        <v>1470000</v>
      </c>
    </row>
    <row r="684" spans="1:5" x14ac:dyDescent="0.2">
      <c r="A684" s="1">
        <v>3</v>
      </c>
      <c r="B684" s="1">
        <v>4482</v>
      </c>
      <c r="C684" s="1">
        <v>9.3190000000000026</v>
      </c>
      <c r="D684" s="1">
        <v>0.17360000000000006</v>
      </c>
      <c r="E684" s="3">
        <v>272000</v>
      </c>
    </row>
    <row r="685" spans="1:5" x14ac:dyDescent="0.2">
      <c r="A685" s="1">
        <v>3</v>
      </c>
      <c r="B685" s="1">
        <v>4483</v>
      </c>
      <c r="C685" s="1">
        <v>9.4620000000000015</v>
      </c>
      <c r="D685" s="1">
        <v>0.16270000000000004</v>
      </c>
      <c r="E685" s="3">
        <v>308000</v>
      </c>
    </row>
    <row r="686" spans="1:5" x14ac:dyDescent="0.2">
      <c r="A686" s="1">
        <v>3</v>
      </c>
      <c r="B686" s="1">
        <v>4511</v>
      </c>
      <c r="C686" s="1">
        <v>9.3560000000000016</v>
      </c>
      <c r="D686" s="1">
        <v>5.0960000000000019E-2</v>
      </c>
      <c r="E686" s="3">
        <v>800000</v>
      </c>
    </row>
    <row r="687" spans="1:5" x14ac:dyDescent="0.2">
      <c r="A687" s="1">
        <v>3</v>
      </c>
      <c r="B687" s="1">
        <v>4512</v>
      </c>
      <c r="C687" s="1">
        <v>9.2620000000000022</v>
      </c>
      <c r="D687" s="1">
        <v>0.10270000000000003</v>
      </c>
      <c r="E687" s="3">
        <v>171000</v>
      </c>
    </row>
    <row r="688" spans="1:5" x14ac:dyDescent="0.2">
      <c r="A688" s="1">
        <v>3</v>
      </c>
      <c r="B688" s="1">
        <v>4521</v>
      </c>
      <c r="C688" s="1">
        <v>9.2170000000000023</v>
      </c>
      <c r="D688" s="1">
        <v>9.039000000000004E-2</v>
      </c>
      <c r="E688" s="3">
        <v>3028000</v>
      </c>
    </row>
    <row r="689" spans="1:5" x14ac:dyDescent="0.2">
      <c r="A689" s="1">
        <v>3</v>
      </c>
      <c r="B689" s="1">
        <v>4529</v>
      </c>
      <c r="C689" s="1">
        <v>9.2320000000000029</v>
      </c>
      <c r="D689" s="1">
        <v>5.5810000000000026E-2</v>
      </c>
      <c r="E689" s="3">
        <v>2965000</v>
      </c>
    </row>
    <row r="690" spans="1:5" x14ac:dyDescent="0.2">
      <c r="A690" s="1">
        <v>3</v>
      </c>
      <c r="B690" s="1">
        <v>4531</v>
      </c>
      <c r="C690" s="1">
        <v>9.3060000000000027</v>
      </c>
      <c r="D690" s="1">
        <v>-4.6360000000000019E-2</v>
      </c>
      <c r="E690" s="3">
        <v>96500</v>
      </c>
    </row>
    <row r="691" spans="1:5" x14ac:dyDescent="0.2">
      <c r="A691" s="1">
        <v>3</v>
      </c>
      <c r="B691" s="1">
        <v>4532</v>
      </c>
      <c r="C691" s="1">
        <v>9.3450000000000024</v>
      </c>
      <c r="D691" s="1">
        <v>0.15550000000000005</v>
      </c>
      <c r="E691" s="3">
        <v>479000</v>
      </c>
    </row>
    <row r="692" spans="1:5" x14ac:dyDescent="0.2">
      <c r="A692" s="1">
        <v>3</v>
      </c>
      <c r="B692" s="1">
        <v>4533</v>
      </c>
      <c r="C692" s="1">
        <v>9.1720000000000024</v>
      </c>
      <c r="D692" s="1">
        <v>7.3720000000000036E-2</v>
      </c>
      <c r="E692" s="3">
        <v>254000</v>
      </c>
    </row>
    <row r="693" spans="1:5" x14ac:dyDescent="0.2">
      <c r="A693" s="1">
        <v>3</v>
      </c>
      <c r="B693" s="1">
        <v>4539</v>
      </c>
      <c r="C693" s="1">
        <v>9.349000000000002</v>
      </c>
      <c r="D693" s="1">
        <v>9.6280000000000046E-2</v>
      </c>
      <c r="E693" s="3">
        <v>568000</v>
      </c>
    </row>
    <row r="694" spans="1:5" x14ac:dyDescent="0.2">
      <c r="A694" s="1">
        <v>3</v>
      </c>
      <c r="B694" s="1">
        <v>4541</v>
      </c>
      <c r="C694" s="1">
        <v>9.5630000000000024</v>
      </c>
      <c r="D694" s="1">
        <v>0.3277000000000001</v>
      </c>
      <c r="E694" s="3">
        <v>1140000</v>
      </c>
    </row>
    <row r="695" spans="1:5" x14ac:dyDescent="0.2">
      <c r="A695" s="1">
        <v>3</v>
      </c>
      <c r="B695" s="1">
        <v>4542</v>
      </c>
      <c r="C695" s="1">
        <v>9.288000000000002</v>
      </c>
      <c r="D695" s="1">
        <v>0.15410000000000004</v>
      </c>
      <c r="E695" s="3">
        <v>88000</v>
      </c>
    </row>
    <row r="696" spans="1:5" x14ac:dyDescent="0.2">
      <c r="A696" s="1">
        <v>3</v>
      </c>
      <c r="B696" s="1">
        <v>4543</v>
      </c>
      <c r="C696" s="1">
        <v>9.5090000000000021</v>
      </c>
      <c r="D696" s="1">
        <v>0.30410000000000009</v>
      </c>
      <c r="E696" s="3">
        <v>447000</v>
      </c>
    </row>
    <row r="697" spans="1:5" x14ac:dyDescent="0.2">
      <c r="A697" s="1">
        <v>3</v>
      </c>
      <c r="B697" s="1">
        <v>4811</v>
      </c>
      <c r="C697" s="1">
        <v>9.7210000000000019</v>
      </c>
      <c r="D697" s="1">
        <v>0.22860000000000008</v>
      </c>
      <c r="E697" s="3">
        <v>2854000</v>
      </c>
    </row>
    <row r="698" spans="1:5" x14ac:dyDescent="0.2">
      <c r="A698" s="1">
        <v>3</v>
      </c>
      <c r="B698" s="1">
        <v>4812</v>
      </c>
      <c r="C698" s="1">
        <v>9.6930000000000032</v>
      </c>
      <c r="D698" s="1">
        <v>0.28960000000000008</v>
      </c>
      <c r="E698" s="3">
        <v>164000</v>
      </c>
    </row>
    <row r="699" spans="1:5" x14ac:dyDescent="0.2">
      <c r="A699" s="1">
        <v>3</v>
      </c>
      <c r="B699" s="1">
        <v>4821</v>
      </c>
      <c r="C699" s="1">
        <v>9.474000000000002</v>
      </c>
      <c r="D699" s="1">
        <v>0.28220000000000012</v>
      </c>
      <c r="E699" s="3">
        <v>1400</v>
      </c>
    </row>
    <row r="700" spans="1:5" x14ac:dyDescent="0.2">
      <c r="A700" s="1">
        <v>3</v>
      </c>
      <c r="B700" s="1">
        <v>4831</v>
      </c>
      <c r="C700" s="1">
        <v>9.7590000000000021</v>
      </c>
      <c r="D700" s="1">
        <v>0.45920000000000016</v>
      </c>
      <c r="E700" s="3">
        <v>160000</v>
      </c>
    </row>
    <row r="701" spans="1:5" x14ac:dyDescent="0.2">
      <c r="A701" s="1">
        <v>3</v>
      </c>
      <c r="B701" s="1">
        <v>4841</v>
      </c>
      <c r="C701" s="1">
        <v>9.4090000000000025</v>
      </c>
      <c r="D701" s="1">
        <v>0.30820000000000008</v>
      </c>
      <c r="E701" s="3">
        <v>2728000</v>
      </c>
    </row>
    <row r="702" spans="1:5" x14ac:dyDescent="0.2">
      <c r="A702" s="1">
        <v>3</v>
      </c>
      <c r="B702" s="1">
        <v>4842</v>
      </c>
      <c r="C702" s="1">
        <v>9.4380000000000024</v>
      </c>
      <c r="D702" s="1">
        <v>0.28970000000000007</v>
      </c>
      <c r="E702" s="3">
        <v>1100000</v>
      </c>
    </row>
    <row r="703" spans="1:5" x14ac:dyDescent="0.2">
      <c r="A703" s="1">
        <v>3</v>
      </c>
      <c r="B703" s="1">
        <v>4851</v>
      </c>
      <c r="C703" s="1">
        <v>9.4920000000000027</v>
      </c>
      <c r="D703" s="1">
        <v>0.41250000000000014</v>
      </c>
      <c r="E703" s="3">
        <v>1464000</v>
      </c>
    </row>
    <row r="704" spans="1:5" x14ac:dyDescent="0.2">
      <c r="A704" s="1">
        <v>3</v>
      </c>
      <c r="B704" s="1">
        <v>4852</v>
      </c>
      <c r="C704" s="1">
        <v>9.2490000000000023</v>
      </c>
      <c r="D704" s="1">
        <v>0.31990000000000013</v>
      </c>
      <c r="E704" s="3">
        <v>100000</v>
      </c>
    </row>
    <row r="705" spans="1:5" x14ac:dyDescent="0.2">
      <c r="A705" s="1">
        <v>3</v>
      </c>
      <c r="B705" s="1">
        <v>4853</v>
      </c>
      <c r="C705" s="1">
        <v>9.4310000000000027</v>
      </c>
      <c r="D705" s="1">
        <v>0.16650000000000006</v>
      </c>
      <c r="E705" s="3">
        <v>259000</v>
      </c>
    </row>
    <row r="706" spans="1:5" x14ac:dyDescent="0.2">
      <c r="A706" s="1">
        <v>3</v>
      </c>
      <c r="B706" s="1">
        <v>4854</v>
      </c>
      <c r="C706" s="1">
        <v>9.2170000000000023</v>
      </c>
      <c r="D706" s="1">
        <v>8.015000000000003E-3</v>
      </c>
      <c r="E706" s="3">
        <v>674000</v>
      </c>
    </row>
    <row r="707" spans="1:5" x14ac:dyDescent="0.2">
      <c r="A707" s="1">
        <v>3</v>
      </c>
      <c r="B707" s="1">
        <v>4855</v>
      </c>
      <c r="C707" s="1">
        <v>9.3200000000000021</v>
      </c>
      <c r="D707" s="1">
        <v>0.17270000000000005</v>
      </c>
      <c r="E707" s="3">
        <v>93000</v>
      </c>
    </row>
    <row r="708" spans="1:5" x14ac:dyDescent="0.2">
      <c r="A708" s="1">
        <v>3</v>
      </c>
      <c r="B708" s="1">
        <v>4859</v>
      </c>
      <c r="C708" s="1">
        <v>9.1920000000000019</v>
      </c>
      <c r="D708" s="1">
        <v>0.15790000000000004</v>
      </c>
      <c r="E708" s="3">
        <v>311000</v>
      </c>
    </row>
    <row r="709" spans="1:5" x14ac:dyDescent="0.2">
      <c r="A709" s="1">
        <v>3</v>
      </c>
      <c r="B709" s="1">
        <v>4861</v>
      </c>
      <c r="C709" s="1">
        <v>9.9780000000000015</v>
      </c>
      <c r="D709" s="1">
        <v>0.5899000000000002</v>
      </c>
      <c r="E709" s="3">
        <v>103000</v>
      </c>
    </row>
    <row r="710" spans="1:5" x14ac:dyDescent="0.2">
      <c r="A710" s="1">
        <v>3</v>
      </c>
      <c r="B710" s="1">
        <v>4862</v>
      </c>
      <c r="C710" s="1">
        <v>9.9020000000000028</v>
      </c>
      <c r="D710" s="1">
        <v>0.56610000000000016</v>
      </c>
      <c r="E710" s="3">
        <v>264000</v>
      </c>
    </row>
    <row r="711" spans="1:5" x14ac:dyDescent="0.2">
      <c r="A711" s="1">
        <v>3</v>
      </c>
      <c r="B711" s="1">
        <v>4869</v>
      </c>
      <c r="C711" s="1">
        <v>9.8270000000000017</v>
      </c>
      <c r="D711" s="1">
        <v>0.58510000000000018</v>
      </c>
      <c r="E711" s="3">
        <v>47500</v>
      </c>
    </row>
    <row r="712" spans="1:5" x14ac:dyDescent="0.2">
      <c r="A712" s="1">
        <v>3</v>
      </c>
      <c r="B712" s="1">
        <v>4872</v>
      </c>
      <c r="C712" s="1">
        <v>9.4980000000000029</v>
      </c>
      <c r="D712" s="1">
        <v>0.11590000000000003</v>
      </c>
      <c r="E712" s="3">
        <v>24500</v>
      </c>
    </row>
    <row r="713" spans="1:5" x14ac:dyDescent="0.2">
      <c r="A713" s="1">
        <v>3</v>
      </c>
      <c r="B713" s="1">
        <v>4879</v>
      </c>
      <c r="C713" s="1">
        <v>9.6950000000000021</v>
      </c>
      <c r="D713" s="1">
        <v>0.19810000000000005</v>
      </c>
      <c r="E713" s="3">
        <v>2900</v>
      </c>
    </row>
    <row r="714" spans="1:5" x14ac:dyDescent="0.2">
      <c r="A714" s="1">
        <v>3</v>
      </c>
      <c r="B714" s="1">
        <v>4881</v>
      </c>
      <c r="C714" s="1">
        <v>9.424000000000003</v>
      </c>
      <c r="D714" s="1">
        <v>0.23600000000000007</v>
      </c>
      <c r="E714" s="3">
        <v>555000</v>
      </c>
    </row>
    <row r="715" spans="1:5" x14ac:dyDescent="0.2">
      <c r="A715" s="1">
        <v>3</v>
      </c>
      <c r="B715" s="1">
        <v>4882</v>
      </c>
      <c r="C715" s="1">
        <v>9.3690000000000015</v>
      </c>
      <c r="D715" s="1">
        <v>0.35860000000000014</v>
      </c>
      <c r="E715" s="3">
        <v>132000</v>
      </c>
    </row>
    <row r="716" spans="1:5" x14ac:dyDescent="0.2">
      <c r="A716" s="1">
        <v>3</v>
      </c>
      <c r="B716" s="1">
        <v>4883</v>
      </c>
      <c r="C716" s="1">
        <v>9.6900000000000031</v>
      </c>
      <c r="D716" s="1">
        <v>0.41410000000000013</v>
      </c>
      <c r="E716" s="3">
        <v>389000</v>
      </c>
    </row>
    <row r="717" spans="1:5" x14ac:dyDescent="0.2">
      <c r="A717" s="1">
        <v>3</v>
      </c>
      <c r="B717" s="1">
        <v>4884</v>
      </c>
      <c r="C717" s="1">
        <v>9.4170000000000016</v>
      </c>
      <c r="D717" s="1">
        <v>0.26000000000000006</v>
      </c>
      <c r="E717" s="3">
        <v>414000</v>
      </c>
    </row>
    <row r="718" spans="1:5" x14ac:dyDescent="0.2">
      <c r="A718" s="1">
        <v>3</v>
      </c>
      <c r="B718" s="1">
        <v>4885</v>
      </c>
      <c r="C718" s="1">
        <v>9.5270000000000028</v>
      </c>
      <c r="D718" s="1">
        <v>0.31250000000000011</v>
      </c>
      <c r="E718" s="3">
        <v>1180000</v>
      </c>
    </row>
    <row r="719" spans="1:5" x14ac:dyDescent="0.2">
      <c r="A719" s="1">
        <v>3</v>
      </c>
      <c r="B719" s="1">
        <v>4889</v>
      </c>
      <c r="C719" s="1">
        <v>9.3140000000000018</v>
      </c>
      <c r="D719" s="1">
        <v>0.23780000000000007</v>
      </c>
      <c r="E719" s="3">
        <v>124000</v>
      </c>
    </row>
    <row r="720" spans="1:5" x14ac:dyDescent="0.2">
      <c r="A720" s="1">
        <v>3</v>
      </c>
      <c r="B720" s="1">
        <v>4921</v>
      </c>
      <c r="C720" s="1">
        <v>9.5350000000000019</v>
      </c>
      <c r="D720" s="1">
        <v>0.16910000000000006</v>
      </c>
      <c r="E720" s="3">
        <v>1756000</v>
      </c>
    </row>
    <row r="721" spans="1:5" x14ac:dyDescent="0.2">
      <c r="A721" s="1">
        <v>3</v>
      </c>
      <c r="B721" s="1">
        <v>4931</v>
      </c>
      <c r="C721" s="1">
        <v>9.3420000000000023</v>
      </c>
      <c r="D721" s="1">
        <v>0.27700000000000008</v>
      </c>
      <c r="E721" s="3">
        <v>2717000</v>
      </c>
    </row>
    <row r="722" spans="1:5" x14ac:dyDescent="0.2">
      <c r="A722" s="1">
        <v>3</v>
      </c>
      <c r="B722" s="1">
        <v>5111</v>
      </c>
      <c r="C722" s="1">
        <v>9.6010000000000026</v>
      </c>
      <c r="D722" s="1">
        <v>0.33500000000000013</v>
      </c>
      <c r="E722" s="3">
        <v>1611000</v>
      </c>
    </row>
    <row r="723" spans="1:5" x14ac:dyDescent="0.2">
      <c r="A723" s="1">
        <v>3</v>
      </c>
      <c r="B723" s="1">
        <v>5112</v>
      </c>
      <c r="C723" s="1">
        <v>10.070000000000002</v>
      </c>
      <c r="D723" s="1">
        <v>0.52130000000000021</v>
      </c>
      <c r="E723" s="3">
        <v>1670000</v>
      </c>
    </row>
    <row r="724" spans="1:5" x14ac:dyDescent="0.2">
      <c r="A724" s="1">
        <v>3</v>
      </c>
      <c r="B724" s="1">
        <v>5121</v>
      </c>
      <c r="C724" s="1">
        <v>9.735000000000003</v>
      </c>
      <c r="D724" s="1">
        <v>0.32430000000000009</v>
      </c>
      <c r="E724" s="3">
        <v>494000</v>
      </c>
    </row>
    <row r="725" spans="1:5" x14ac:dyDescent="0.2">
      <c r="A725" s="1">
        <v>3</v>
      </c>
      <c r="B725" s="1">
        <v>5151</v>
      </c>
      <c r="C725" s="1">
        <v>9.740000000000002</v>
      </c>
      <c r="D725" s="1">
        <v>0.31740000000000013</v>
      </c>
      <c r="E725" s="3">
        <v>570000</v>
      </c>
    </row>
    <row r="726" spans="1:5" x14ac:dyDescent="0.2">
      <c r="A726" s="1">
        <v>3</v>
      </c>
      <c r="B726" s="1">
        <v>5152</v>
      </c>
      <c r="C726" s="1">
        <v>9.6270000000000024</v>
      </c>
      <c r="D726" s="1">
        <v>0.50280000000000014</v>
      </c>
      <c r="E726" s="3">
        <v>340000</v>
      </c>
    </row>
    <row r="727" spans="1:5" x14ac:dyDescent="0.2">
      <c r="A727" s="1">
        <v>3</v>
      </c>
      <c r="B727" s="1">
        <v>5171</v>
      </c>
      <c r="C727" s="1">
        <v>9.5460000000000029</v>
      </c>
      <c r="D727" s="1">
        <v>0.56540000000000024</v>
      </c>
      <c r="E727" s="3">
        <v>2989000</v>
      </c>
    </row>
    <row r="728" spans="1:5" x14ac:dyDescent="0.2">
      <c r="A728" s="1">
        <v>3</v>
      </c>
      <c r="B728" s="1">
        <v>5172</v>
      </c>
      <c r="C728" s="1">
        <v>9.5620000000000029</v>
      </c>
      <c r="D728" s="1">
        <v>0.51180000000000014</v>
      </c>
      <c r="E728" s="3">
        <v>473000</v>
      </c>
    </row>
    <row r="729" spans="1:5" x14ac:dyDescent="0.2">
      <c r="A729" s="1">
        <v>3</v>
      </c>
      <c r="B729" s="1">
        <v>5179</v>
      </c>
      <c r="C729" s="1">
        <v>9.719000000000003</v>
      </c>
      <c r="D729" s="1">
        <v>0.48650000000000015</v>
      </c>
      <c r="E729" s="3">
        <v>435000</v>
      </c>
    </row>
    <row r="730" spans="1:5" x14ac:dyDescent="0.2">
      <c r="A730" s="1">
        <v>3</v>
      </c>
      <c r="B730" s="1">
        <v>5182</v>
      </c>
      <c r="C730" s="1">
        <v>9.8790000000000031</v>
      </c>
      <c r="D730" s="1">
        <v>0.44710000000000016</v>
      </c>
      <c r="E730" s="3">
        <v>1255000</v>
      </c>
    </row>
    <row r="731" spans="1:5" x14ac:dyDescent="0.2">
      <c r="A731" s="1">
        <v>3</v>
      </c>
      <c r="B731" s="1">
        <v>5191</v>
      </c>
      <c r="C731" s="1">
        <v>9.9350000000000023</v>
      </c>
      <c r="D731" s="1">
        <v>0.58600000000000019</v>
      </c>
      <c r="E731" s="3">
        <v>2231000</v>
      </c>
    </row>
    <row r="732" spans="1:5" x14ac:dyDescent="0.2">
      <c r="A732" s="1">
        <v>3</v>
      </c>
      <c r="B732" s="1">
        <v>5211</v>
      </c>
      <c r="C732" s="1">
        <v>9.8910000000000018</v>
      </c>
      <c r="D732" s="1">
        <v>0.43610000000000015</v>
      </c>
      <c r="E732" s="3">
        <v>111000</v>
      </c>
    </row>
    <row r="733" spans="1:5" x14ac:dyDescent="0.2">
      <c r="A733" s="1">
        <v>3</v>
      </c>
      <c r="B733" s="1">
        <v>5221</v>
      </c>
      <c r="C733" s="1">
        <v>9.5760000000000023</v>
      </c>
      <c r="D733" s="1">
        <v>0.33340000000000009</v>
      </c>
      <c r="E733" s="3">
        <v>7068000</v>
      </c>
    </row>
    <row r="734" spans="1:5" x14ac:dyDescent="0.2">
      <c r="A734" s="1">
        <v>3</v>
      </c>
      <c r="B734" s="1">
        <v>5222</v>
      </c>
      <c r="C734" s="1">
        <v>9.7290000000000028</v>
      </c>
      <c r="D734" s="1">
        <v>0.39890000000000014</v>
      </c>
      <c r="E734" s="3">
        <v>1996000</v>
      </c>
    </row>
    <row r="735" spans="1:5" x14ac:dyDescent="0.2">
      <c r="A735" s="1">
        <v>3</v>
      </c>
      <c r="B735" s="1">
        <v>5223</v>
      </c>
      <c r="C735" s="1">
        <v>9.5850000000000026</v>
      </c>
      <c r="D735" s="1">
        <v>0.38580000000000014</v>
      </c>
      <c r="E735" s="3">
        <v>1130000</v>
      </c>
    </row>
    <row r="736" spans="1:5" x14ac:dyDescent="0.2">
      <c r="A736" s="1">
        <v>3</v>
      </c>
      <c r="B736" s="1">
        <v>5231</v>
      </c>
      <c r="C736" s="1">
        <v>10.110000000000001</v>
      </c>
      <c r="D736" s="1">
        <v>0.48380000000000017</v>
      </c>
      <c r="E736" s="3">
        <v>2581000</v>
      </c>
    </row>
    <row r="737" spans="1:5" x14ac:dyDescent="0.2">
      <c r="A737" s="1">
        <v>3</v>
      </c>
      <c r="B737" s="1">
        <v>5239</v>
      </c>
      <c r="C737" s="1">
        <v>9.9830000000000023</v>
      </c>
      <c r="D737" s="1">
        <v>0.49180000000000018</v>
      </c>
      <c r="E737" s="3">
        <v>2626000</v>
      </c>
    </row>
    <row r="738" spans="1:5" x14ac:dyDescent="0.2">
      <c r="A738" s="1">
        <v>3</v>
      </c>
      <c r="B738" s="1">
        <v>5241</v>
      </c>
      <c r="C738" s="1">
        <v>9.6940000000000026</v>
      </c>
      <c r="D738" s="1">
        <v>0.45720000000000016</v>
      </c>
      <c r="E738" s="3">
        <v>6102000</v>
      </c>
    </row>
    <row r="739" spans="1:5" x14ac:dyDescent="0.2">
      <c r="A739" s="1">
        <v>3</v>
      </c>
      <c r="B739" s="1">
        <v>5242</v>
      </c>
      <c r="C739" s="1">
        <v>9.647000000000002</v>
      </c>
      <c r="D739" s="1">
        <v>0.3282000000000001</v>
      </c>
      <c r="E739" s="3">
        <v>3941000</v>
      </c>
    </row>
    <row r="740" spans="1:5" x14ac:dyDescent="0.2">
      <c r="A740" s="1">
        <v>3</v>
      </c>
      <c r="B740" s="1">
        <v>5251</v>
      </c>
      <c r="C740" s="1">
        <v>9.7360000000000024</v>
      </c>
      <c r="D740" s="1">
        <v>0.42720000000000014</v>
      </c>
      <c r="E740" s="3">
        <v>129000</v>
      </c>
    </row>
    <row r="741" spans="1:5" x14ac:dyDescent="0.2">
      <c r="A741" s="1">
        <v>3</v>
      </c>
      <c r="B741" s="1">
        <v>5259</v>
      </c>
      <c r="C741" s="1">
        <v>9.865000000000002</v>
      </c>
      <c r="D741" s="1">
        <v>0.49530000000000018</v>
      </c>
      <c r="E741" s="3">
        <v>179000</v>
      </c>
    </row>
    <row r="742" spans="1:5" x14ac:dyDescent="0.2">
      <c r="A742" s="1">
        <v>3</v>
      </c>
      <c r="B742" s="1">
        <v>5311</v>
      </c>
      <c r="C742" s="1">
        <v>9.4300000000000015</v>
      </c>
      <c r="D742" s="1">
        <v>0.24130000000000007</v>
      </c>
      <c r="E742" s="3">
        <v>1766000</v>
      </c>
    </row>
    <row r="743" spans="1:5" x14ac:dyDescent="0.2">
      <c r="A743" s="1">
        <v>3</v>
      </c>
      <c r="B743" s="1">
        <v>5312</v>
      </c>
      <c r="C743" s="1">
        <v>9.6250000000000018</v>
      </c>
      <c r="D743" s="1">
        <v>0.25880000000000009</v>
      </c>
      <c r="E743" s="3">
        <v>861000</v>
      </c>
    </row>
    <row r="744" spans="1:5" x14ac:dyDescent="0.2">
      <c r="A744" s="1">
        <v>3</v>
      </c>
      <c r="B744" s="1">
        <v>5313</v>
      </c>
      <c r="C744" s="1">
        <v>9.4970000000000017</v>
      </c>
      <c r="D744" s="1">
        <v>0.26460000000000006</v>
      </c>
      <c r="E744" s="3">
        <v>2001000</v>
      </c>
    </row>
    <row r="745" spans="1:5" x14ac:dyDescent="0.2">
      <c r="A745" s="1">
        <v>3</v>
      </c>
      <c r="B745" s="1">
        <v>5321</v>
      </c>
      <c r="C745" s="1">
        <v>9.4360000000000017</v>
      </c>
      <c r="D745" s="1">
        <v>0.29980000000000012</v>
      </c>
      <c r="E745" s="3">
        <v>716000</v>
      </c>
    </row>
    <row r="746" spans="1:5" x14ac:dyDescent="0.2">
      <c r="A746" s="1">
        <v>3</v>
      </c>
      <c r="B746" s="1">
        <v>5322</v>
      </c>
      <c r="C746" s="1">
        <v>9.3180000000000014</v>
      </c>
      <c r="D746" s="1">
        <v>0.24430000000000007</v>
      </c>
      <c r="E746" s="3">
        <v>384000</v>
      </c>
    </row>
    <row r="747" spans="1:5" x14ac:dyDescent="0.2">
      <c r="A747" s="1">
        <v>3</v>
      </c>
      <c r="B747" s="1">
        <v>5323</v>
      </c>
      <c r="C747" s="1">
        <v>9.517000000000003</v>
      </c>
      <c r="D747" s="1">
        <v>0.2501000000000001</v>
      </c>
      <c r="E747" s="3">
        <v>131000</v>
      </c>
    </row>
    <row r="748" spans="1:5" x14ac:dyDescent="0.2">
      <c r="A748" s="1">
        <v>3</v>
      </c>
      <c r="B748" s="1">
        <v>5324</v>
      </c>
      <c r="C748" s="1">
        <v>9.599000000000002</v>
      </c>
      <c r="D748" s="1">
        <v>0.37290000000000012</v>
      </c>
      <c r="E748" s="3">
        <v>608000</v>
      </c>
    </row>
    <row r="749" spans="1:5" x14ac:dyDescent="0.2">
      <c r="A749" s="1">
        <v>3</v>
      </c>
      <c r="B749" s="1">
        <v>5331</v>
      </c>
      <c r="C749" s="1">
        <v>9.8230000000000022</v>
      </c>
      <c r="D749" s="1">
        <v>0.37600000000000011</v>
      </c>
      <c r="E749" s="3">
        <v>104000</v>
      </c>
    </row>
    <row r="750" spans="1:5" x14ac:dyDescent="0.2">
      <c r="A750" s="1">
        <v>3</v>
      </c>
      <c r="B750" s="1">
        <v>5411</v>
      </c>
      <c r="C750" s="1">
        <v>9.7150000000000016</v>
      </c>
      <c r="D750" s="1">
        <v>0.37850000000000011</v>
      </c>
      <c r="E750" s="3">
        <v>5238000</v>
      </c>
    </row>
    <row r="751" spans="1:5" x14ac:dyDescent="0.2">
      <c r="A751" s="1">
        <v>3</v>
      </c>
      <c r="B751" s="1">
        <v>5412</v>
      </c>
      <c r="C751" s="1">
        <v>9.7440000000000015</v>
      </c>
      <c r="D751" s="1">
        <v>0.32940000000000008</v>
      </c>
      <c r="E751" s="3">
        <v>3935000</v>
      </c>
    </row>
    <row r="752" spans="1:5" x14ac:dyDescent="0.2">
      <c r="A752" s="1">
        <v>3</v>
      </c>
      <c r="B752" s="1">
        <v>5413</v>
      </c>
      <c r="C752" s="1">
        <v>9.7550000000000026</v>
      </c>
      <c r="D752" s="1">
        <v>0.40060000000000012</v>
      </c>
      <c r="E752" s="3">
        <v>7739000</v>
      </c>
    </row>
    <row r="753" spans="1:5" x14ac:dyDescent="0.2">
      <c r="A753" s="1">
        <v>3</v>
      </c>
      <c r="B753" s="1">
        <v>5414</v>
      </c>
      <c r="C753" s="1">
        <v>9.663000000000002</v>
      </c>
      <c r="D753" s="1">
        <v>0.2864000000000001</v>
      </c>
      <c r="E753" s="3">
        <v>596000</v>
      </c>
    </row>
    <row r="754" spans="1:5" x14ac:dyDescent="0.2">
      <c r="A754" s="1">
        <v>3</v>
      </c>
      <c r="B754" s="1">
        <v>5415</v>
      </c>
      <c r="C754" s="1">
        <v>9.9330000000000016</v>
      </c>
      <c r="D754" s="1">
        <v>0.42210000000000014</v>
      </c>
      <c r="E754" s="3">
        <v>11190000</v>
      </c>
    </row>
    <row r="755" spans="1:5" x14ac:dyDescent="0.2">
      <c r="A755" s="1">
        <v>3</v>
      </c>
      <c r="B755" s="1">
        <v>5416</v>
      </c>
      <c r="C755" s="1">
        <v>9.8050000000000015</v>
      </c>
      <c r="D755" s="1">
        <v>0.35910000000000014</v>
      </c>
      <c r="E755" s="3">
        <v>6075000</v>
      </c>
    </row>
    <row r="756" spans="1:5" x14ac:dyDescent="0.2">
      <c r="A756" s="1">
        <v>3</v>
      </c>
      <c r="B756" s="1">
        <v>5417</v>
      </c>
      <c r="C756" s="1">
        <v>9.9460000000000015</v>
      </c>
      <c r="D756" s="1">
        <v>0.51080000000000014</v>
      </c>
      <c r="E756" s="3">
        <v>4781000</v>
      </c>
    </row>
    <row r="757" spans="1:5" x14ac:dyDescent="0.2">
      <c r="A757" s="1">
        <v>3</v>
      </c>
      <c r="B757" s="1">
        <v>5418</v>
      </c>
      <c r="C757" s="1">
        <v>9.7120000000000015</v>
      </c>
      <c r="D757" s="1">
        <v>0.32080000000000009</v>
      </c>
      <c r="E757" s="3">
        <v>2067000</v>
      </c>
    </row>
    <row r="758" spans="1:5" x14ac:dyDescent="0.2">
      <c r="A758" s="1">
        <v>3</v>
      </c>
      <c r="B758" s="1">
        <v>5419</v>
      </c>
      <c r="C758" s="1">
        <v>9.5960000000000019</v>
      </c>
      <c r="D758" s="1">
        <v>0.22700000000000006</v>
      </c>
      <c r="E758" s="3">
        <v>2143000</v>
      </c>
    </row>
    <row r="759" spans="1:5" x14ac:dyDescent="0.2">
      <c r="A759" s="1">
        <v>3</v>
      </c>
      <c r="B759" s="1">
        <v>5511</v>
      </c>
      <c r="C759" s="1">
        <v>9.7630000000000017</v>
      </c>
      <c r="D759" s="1">
        <v>0.43060000000000015</v>
      </c>
      <c r="E759" s="3">
        <v>11450000</v>
      </c>
    </row>
    <row r="760" spans="1:5" x14ac:dyDescent="0.2">
      <c r="A760" s="1">
        <v>3</v>
      </c>
      <c r="B760" s="1">
        <v>5611</v>
      </c>
      <c r="C760" s="1">
        <v>9.708000000000002</v>
      </c>
      <c r="D760" s="1">
        <v>0.35600000000000009</v>
      </c>
      <c r="E760" s="3">
        <v>1979000</v>
      </c>
    </row>
    <row r="761" spans="1:5" x14ac:dyDescent="0.2">
      <c r="A761" s="1">
        <v>3</v>
      </c>
      <c r="B761" s="1">
        <v>5612</v>
      </c>
      <c r="C761" s="1">
        <v>9.3680000000000021</v>
      </c>
      <c r="D761" s="1">
        <v>0.32980000000000009</v>
      </c>
      <c r="E761" s="3">
        <v>296000</v>
      </c>
    </row>
    <row r="762" spans="1:5" x14ac:dyDescent="0.2">
      <c r="A762" s="1">
        <v>3</v>
      </c>
      <c r="B762" s="1">
        <v>5613</v>
      </c>
      <c r="C762" s="1">
        <v>9.3750000000000018</v>
      </c>
      <c r="D762" s="1">
        <v>0.18820000000000006</v>
      </c>
      <c r="E762" s="3">
        <v>6711000</v>
      </c>
    </row>
    <row r="763" spans="1:5" x14ac:dyDescent="0.2">
      <c r="A763" s="1">
        <v>3</v>
      </c>
      <c r="B763" s="1">
        <v>5614</v>
      </c>
      <c r="C763" s="1">
        <v>9.3850000000000016</v>
      </c>
      <c r="D763" s="1">
        <v>0.27470000000000011</v>
      </c>
      <c r="E763" s="3">
        <v>1994000</v>
      </c>
    </row>
    <row r="764" spans="1:5" x14ac:dyDescent="0.2">
      <c r="A764" s="1">
        <v>3</v>
      </c>
      <c r="B764" s="1">
        <v>5615</v>
      </c>
      <c r="C764" s="1">
        <v>9.5030000000000019</v>
      </c>
      <c r="D764" s="1">
        <v>0.28950000000000009</v>
      </c>
      <c r="E764" s="3">
        <v>639000</v>
      </c>
    </row>
    <row r="765" spans="1:5" x14ac:dyDescent="0.2">
      <c r="A765" s="1">
        <v>3</v>
      </c>
      <c r="B765" s="1">
        <v>5616</v>
      </c>
      <c r="C765" s="1">
        <v>9.2210000000000019</v>
      </c>
      <c r="D765" s="1">
        <v>0.16580000000000006</v>
      </c>
      <c r="E765" s="3">
        <v>2708000</v>
      </c>
    </row>
    <row r="766" spans="1:5" x14ac:dyDescent="0.2">
      <c r="A766" s="1">
        <v>3</v>
      </c>
      <c r="B766" s="1">
        <v>5617</v>
      </c>
      <c r="C766" s="1">
        <v>9.240000000000002</v>
      </c>
      <c r="D766" s="1">
        <v>0.14700000000000005</v>
      </c>
      <c r="E766" s="3">
        <v>4607000</v>
      </c>
    </row>
    <row r="767" spans="1:5" x14ac:dyDescent="0.2">
      <c r="A767" s="1">
        <v>3</v>
      </c>
      <c r="B767" s="1">
        <v>5619</v>
      </c>
      <c r="C767" s="1">
        <v>9.5070000000000014</v>
      </c>
      <c r="D767" s="1">
        <v>0.2899000000000001</v>
      </c>
      <c r="E767" s="3">
        <v>943000</v>
      </c>
    </row>
    <row r="768" spans="1:5" x14ac:dyDescent="0.2">
      <c r="A768" s="1">
        <v>3</v>
      </c>
      <c r="B768" s="1">
        <v>5621</v>
      </c>
      <c r="C768" s="1">
        <v>9.4140000000000015</v>
      </c>
      <c r="D768" s="1">
        <v>0.38790000000000013</v>
      </c>
      <c r="E768" s="3">
        <v>642000</v>
      </c>
    </row>
    <row r="769" spans="1:5" x14ac:dyDescent="0.2">
      <c r="A769" s="1">
        <v>3</v>
      </c>
      <c r="B769" s="1">
        <v>5622</v>
      </c>
      <c r="C769" s="1">
        <v>9.5430000000000028</v>
      </c>
      <c r="D769" s="1">
        <v>0.46520000000000017</v>
      </c>
      <c r="E769" s="3">
        <v>565000</v>
      </c>
    </row>
    <row r="770" spans="1:5" x14ac:dyDescent="0.2">
      <c r="A770" s="1">
        <v>3</v>
      </c>
      <c r="B770" s="1">
        <v>5629</v>
      </c>
      <c r="C770" s="1">
        <v>9.4620000000000015</v>
      </c>
      <c r="D770" s="1">
        <v>0.33320000000000011</v>
      </c>
      <c r="E770" s="3">
        <v>484000</v>
      </c>
    </row>
    <row r="771" spans="1:5" x14ac:dyDescent="0.2">
      <c r="A771" s="1">
        <v>3</v>
      </c>
      <c r="B771" s="1">
        <v>6111</v>
      </c>
      <c r="C771" s="1">
        <v>9.5610000000000017</v>
      </c>
      <c r="D771" s="1">
        <v>0.18740000000000007</v>
      </c>
      <c r="E771" s="3">
        <v>29250000</v>
      </c>
    </row>
    <row r="772" spans="1:5" x14ac:dyDescent="0.2">
      <c r="A772" s="1">
        <v>3</v>
      </c>
      <c r="B772" s="1">
        <v>6112</v>
      </c>
      <c r="C772" s="1">
        <v>9.7380000000000031</v>
      </c>
      <c r="D772" s="1">
        <v>4.668000000000002E-2</v>
      </c>
      <c r="E772" s="3">
        <v>1589000</v>
      </c>
    </row>
    <row r="773" spans="1:5" x14ac:dyDescent="0.2">
      <c r="A773" s="1">
        <v>3</v>
      </c>
      <c r="B773" s="1">
        <v>6113</v>
      </c>
      <c r="C773" s="1">
        <v>9.7340000000000018</v>
      </c>
      <c r="D773" s="1">
        <v>0.20520000000000008</v>
      </c>
      <c r="E773" s="3">
        <v>10810000</v>
      </c>
    </row>
    <row r="774" spans="1:5" x14ac:dyDescent="0.2">
      <c r="A774" s="1">
        <v>3</v>
      </c>
      <c r="B774" s="1">
        <v>6114</v>
      </c>
      <c r="C774" s="1">
        <v>9.6390000000000029</v>
      </c>
      <c r="D774" s="1">
        <v>0.29460000000000008</v>
      </c>
      <c r="E774" s="3">
        <v>244000</v>
      </c>
    </row>
    <row r="775" spans="1:5" x14ac:dyDescent="0.2">
      <c r="A775" s="1">
        <v>3</v>
      </c>
      <c r="B775" s="1">
        <v>6115</v>
      </c>
      <c r="C775" s="1">
        <v>9.4750000000000014</v>
      </c>
      <c r="D775" s="1">
        <v>0.22520000000000007</v>
      </c>
      <c r="E775" s="3">
        <v>387000</v>
      </c>
    </row>
    <row r="776" spans="1:5" x14ac:dyDescent="0.2">
      <c r="A776" s="1">
        <v>3</v>
      </c>
      <c r="B776" s="1">
        <v>6116</v>
      </c>
      <c r="C776" s="1">
        <v>9.4420000000000019</v>
      </c>
      <c r="D776" s="1">
        <v>5.5570000000000022E-2</v>
      </c>
      <c r="E776" s="3">
        <v>675000</v>
      </c>
    </row>
    <row r="777" spans="1:5" x14ac:dyDescent="0.2">
      <c r="A777" s="1">
        <v>3</v>
      </c>
      <c r="B777" s="1">
        <v>6117</v>
      </c>
      <c r="C777" s="1">
        <v>9.578000000000003</v>
      </c>
      <c r="D777" s="1">
        <v>0.27570000000000011</v>
      </c>
      <c r="E777" s="3">
        <v>525000</v>
      </c>
    </row>
    <row r="778" spans="1:5" x14ac:dyDescent="0.2">
      <c r="A778" s="1">
        <v>3</v>
      </c>
      <c r="B778" s="1">
        <v>6211</v>
      </c>
      <c r="C778" s="1">
        <v>9.5900000000000016</v>
      </c>
      <c r="D778" s="1">
        <v>0.27290000000000009</v>
      </c>
      <c r="E778" s="3">
        <v>7775000</v>
      </c>
    </row>
    <row r="779" spans="1:5" x14ac:dyDescent="0.2">
      <c r="A779" s="1">
        <v>3</v>
      </c>
      <c r="B779" s="1">
        <v>6212</v>
      </c>
      <c r="C779" s="1">
        <v>9.4520000000000017</v>
      </c>
      <c r="D779" s="1">
        <v>0.13830000000000003</v>
      </c>
      <c r="E779" s="3">
        <v>2851000</v>
      </c>
    </row>
    <row r="780" spans="1:5" x14ac:dyDescent="0.2">
      <c r="A780" s="1">
        <v>3</v>
      </c>
      <c r="B780" s="1">
        <v>6213</v>
      </c>
      <c r="C780" s="1">
        <v>9.4700000000000024</v>
      </c>
      <c r="D780" s="1">
        <v>0.14080000000000004</v>
      </c>
      <c r="E780" s="3">
        <v>2069000</v>
      </c>
    </row>
    <row r="781" spans="1:5" x14ac:dyDescent="0.2">
      <c r="A781" s="1">
        <v>3</v>
      </c>
      <c r="B781" s="1">
        <v>6214</v>
      </c>
      <c r="C781" s="1">
        <v>9.5670000000000019</v>
      </c>
      <c r="D781" s="1">
        <v>0.3675000000000001</v>
      </c>
      <c r="E781" s="3">
        <v>3138000</v>
      </c>
    </row>
    <row r="782" spans="1:5" x14ac:dyDescent="0.2">
      <c r="A782" s="1">
        <v>3</v>
      </c>
      <c r="B782" s="1">
        <v>6215</v>
      </c>
      <c r="C782" s="1">
        <v>9.4500000000000028</v>
      </c>
      <c r="D782" s="1">
        <v>0.34220000000000012</v>
      </c>
      <c r="E782" s="3">
        <v>1069000</v>
      </c>
    </row>
    <row r="783" spans="1:5" x14ac:dyDescent="0.2">
      <c r="A783" s="1">
        <v>3</v>
      </c>
      <c r="B783" s="1">
        <v>6216</v>
      </c>
      <c r="C783" s="1">
        <v>9.3500000000000014</v>
      </c>
      <c r="D783" s="1">
        <v>0.18050000000000005</v>
      </c>
      <c r="E783" s="3">
        <v>2303000</v>
      </c>
    </row>
    <row r="784" spans="1:5" x14ac:dyDescent="0.2">
      <c r="A784" s="1">
        <v>3</v>
      </c>
      <c r="B784" s="1">
        <v>6219</v>
      </c>
      <c r="C784" s="1">
        <v>9.4090000000000025</v>
      </c>
      <c r="D784" s="1">
        <v>0.24520000000000008</v>
      </c>
      <c r="E784" s="3">
        <v>858000</v>
      </c>
    </row>
    <row r="785" spans="1:5" x14ac:dyDescent="0.2">
      <c r="A785" s="1">
        <v>3</v>
      </c>
      <c r="B785" s="1">
        <v>6221</v>
      </c>
      <c r="C785" s="1">
        <v>9.5810000000000031</v>
      </c>
      <c r="D785" s="1">
        <v>0.29920000000000008</v>
      </c>
      <c r="E785" s="3">
        <v>19430000</v>
      </c>
    </row>
    <row r="786" spans="1:5" x14ac:dyDescent="0.2">
      <c r="A786" s="1">
        <v>3</v>
      </c>
      <c r="B786" s="1">
        <v>6231</v>
      </c>
      <c r="C786" s="1">
        <v>9.2220000000000013</v>
      </c>
      <c r="D786" s="1">
        <v>0.21420000000000006</v>
      </c>
      <c r="E786" s="3">
        <v>4357000</v>
      </c>
    </row>
    <row r="787" spans="1:5" x14ac:dyDescent="0.2">
      <c r="A787" s="1">
        <v>3</v>
      </c>
      <c r="B787" s="1">
        <v>6233</v>
      </c>
      <c r="C787" s="1">
        <v>9.1800000000000015</v>
      </c>
      <c r="D787" s="1">
        <v>0.15580000000000005</v>
      </c>
      <c r="E787" s="3">
        <v>2053000</v>
      </c>
    </row>
    <row r="788" spans="1:5" x14ac:dyDescent="0.2">
      <c r="A788" s="1">
        <v>3</v>
      </c>
      <c r="B788" s="1">
        <v>6241</v>
      </c>
      <c r="C788" s="1">
        <v>9.2550000000000026</v>
      </c>
      <c r="D788" s="1">
        <v>0.17220000000000005</v>
      </c>
      <c r="E788" s="3">
        <v>3939000</v>
      </c>
    </row>
    <row r="789" spans="1:5" x14ac:dyDescent="0.2">
      <c r="A789" s="1">
        <v>3</v>
      </c>
      <c r="B789" s="1">
        <v>6242</v>
      </c>
      <c r="C789" s="1">
        <v>9.360000000000003</v>
      </c>
      <c r="D789" s="1">
        <v>0.16910000000000006</v>
      </c>
      <c r="E789" s="3">
        <v>453000</v>
      </c>
    </row>
    <row r="790" spans="1:5" x14ac:dyDescent="0.2">
      <c r="A790" s="1">
        <v>3</v>
      </c>
      <c r="B790" s="1">
        <v>6243</v>
      </c>
      <c r="C790" s="1">
        <v>9.2260000000000026</v>
      </c>
      <c r="D790" s="1">
        <v>0.15050000000000005</v>
      </c>
      <c r="E790" s="3">
        <v>765000</v>
      </c>
    </row>
    <row r="791" spans="1:5" x14ac:dyDescent="0.2">
      <c r="A791" s="1">
        <v>3</v>
      </c>
      <c r="B791" s="1">
        <v>6244</v>
      </c>
      <c r="C791" s="1">
        <v>9.1220000000000017</v>
      </c>
      <c r="D791" s="1">
        <v>5.6470000000000027E-2</v>
      </c>
      <c r="E791" s="3">
        <v>2203000</v>
      </c>
    </row>
    <row r="792" spans="1:5" x14ac:dyDescent="0.2">
      <c r="A792" s="1">
        <v>3</v>
      </c>
      <c r="B792" s="1">
        <v>7111</v>
      </c>
      <c r="C792" s="1">
        <v>9.554000000000002</v>
      </c>
      <c r="D792" s="1">
        <v>0.11570000000000004</v>
      </c>
      <c r="E792" s="3">
        <v>226000</v>
      </c>
    </row>
    <row r="793" spans="1:5" x14ac:dyDescent="0.2">
      <c r="A793" s="1">
        <v>3</v>
      </c>
      <c r="B793" s="1">
        <v>7112</v>
      </c>
      <c r="C793" s="1">
        <v>9.9410000000000025</v>
      </c>
      <c r="D793" s="1">
        <v>0.23870000000000008</v>
      </c>
      <c r="E793" s="3">
        <v>283000</v>
      </c>
    </row>
    <row r="794" spans="1:5" x14ac:dyDescent="0.2">
      <c r="A794" s="1">
        <v>3</v>
      </c>
      <c r="B794" s="1">
        <v>7113</v>
      </c>
      <c r="C794" s="1">
        <v>9.5910000000000029</v>
      </c>
      <c r="D794" s="1">
        <v>0.17040000000000005</v>
      </c>
      <c r="E794" s="3">
        <v>170000</v>
      </c>
    </row>
    <row r="795" spans="1:5" x14ac:dyDescent="0.2">
      <c r="A795" s="1">
        <v>3</v>
      </c>
      <c r="B795" s="1">
        <v>7114</v>
      </c>
      <c r="C795" s="1">
        <v>9.7110000000000021</v>
      </c>
      <c r="D795" s="1">
        <v>0.23350000000000007</v>
      </c>
      <c r="E795" s="3">
        <v>38500</v>
      </c>
    </row>
    <row r="796" spans="1:5" x14ac:dyDescent="0.2">
      <c r="A796" s="1">
        <v>3</v>
      </c>
      <c r="B796" s="1">
        <v>7131</v>
      </c>
      <c r="C796" s="1">
        <v>9.5290000000000017</v>
      </c>
      <c r="D796" s="1">
        <v>9.8650000000000043E-2</v>
      </c>
      <c r="E796" s="3">
        <v>76000</v>
      </c>
    </row>
    <row r="797" spans="1:5" x14ac:dyDescent="0.2">
      <c r="A797" s="1">
        <v>3</v>
      </c>
      <c r="B797" s="1">
        <v>7132</v>
      </c>
      <c r="C797" s="1">
        <v>9.219000000000003</v>
      </c>
      <c r="D797" s="1">
        <v>0.19900000000000007</v>
      </c>
      <c r="E797" s="3">
        <v>861000</v>
      </c>
    </row>
    <row r="798" spans="1:5" x14ac:dyDescent="0.2">
      <c r="A798" s="1">
        <v>3</v>
      </c>
      <c r="B798" s="1">
        <v>7139</v>
      </c>
      <c r="C798" s="1">
        <v>9.4560000000000031</v>
      </c>
      <c r="D798" s="1">
        <v>0.10400000000000004</v>
      </c>
      <c r="E798" s="3">
        <v>2175000</v>
      </c>
    </row>
    <row r="799" spans="1:5" x14ac:dyDescent="0.2">
      <c r="A799" s="1">
        <v>3</v>
      </c>
      <c r="B799" s="1">
        <v>7211</v>
      </c>
      <c r="C799" s="1">
        <v>9.2380000000000013</v>
      </c>
      <c r="D799" s="1">
        <v>0.18240000000000006</v>
      </c>
      <c r="E799" s="3">
        <v>4002000</v>
      </c>
    </row>
    <row r="800" spans="1:5" x14ac:dyDescent="0.2">
      <c r="A800" s="1">
        <v>3</v>
      </c>
      <c r="B800" s="1">
        <v>7212</v>
      </c>
      <c r="C800" s="1">
        <v>9.469000000000003</v>
      </c>
      <c r="D800" s="1">
        <v>1.2120000000000006E-2</v>
      </c>
      <c r="E800" s="3">
        <v>45500</v>
      </c>
    </row>
    <row r="801" spans="1:5" x14ac:dyDescent="0.2">
      <c r="A801" s="1">
        <v>3</v>
      </c>
      <c r="B801" s="1">
        <v>7213</v>
      </c>
      <c r="C801" s="1">
        <v>9.2950000000000017</v>
      </c>
      <c r="D801" s="1">
        <v>9.4590000000000035E-2</v>
      </c>
      <c r="E801" s="3">
        <v>11500</v>
      </c>
    </row>
    <row r="802" spans="1:5" x14ac:dyDescent="0.2">
      <c r="A802" s="1">
        <v>3</v>
      </c>
      <c r="B802" s="1">
        <v>7223</v>
      </c>
      <c r="C802" s="1">
        <v>9.2200000000000024</v>
      </c>
      <c r="D802" s="1">
        <v>0.11790000000000003</v>
      </c>
      <c r="E802" s="3">
        <v>1748000</v>
      </c>
    </row>
    <row r="803" spans="1:5" x14ac:dyDescent="0.2">
      <c r="A803" s="1">
        <v>3</v>
      </c>
      <c r="B803" s="1">
        <v>7224</v>
      </c>
      <c r="C803" s="1">
        <v>9.2930000000000028</v>
      </c>
      <c r="D803" s="1">
        <v>-0.11340000000000004</v>
      </c>
      <c r="E803" s="3">
        <v>390000</v>
      </c>
    </row>
    <row r="804" spans="1:5" x14ac:dyDescent="0.2">
      <c r="A804" s="1">
        <v>3</v>
      </c>
      <c r="B804" s="1">
        <v>7225</v>
      </c>
      <c r="C804" s="1">
        <v>9.2140000000000022</v>
      </c>
      <c r="D804" s="1">
        <v>-1.272000000000001E-11</v>
      </c>
      <c r="E804" s="3">
        <v>10230000</v>
      </c>
    </row>
    <row r="805" spans="1:5" x14ac:dyDescent="0.2">
      <c r="A805" s="1">
        <v>3</v>
      </c>
      <c r="B805" s="1">
        <v>8111</v>
      </c>
      <c r="C805" s="1">
        <v>9.429000000000002</v>
      </c>
      <c r="D805" s="1">
        <v>0.13280000000000003</v>
      </c>
      <c r="E805" s="3">
        <v>2434000</v>
      </c>
    </row>
    <row r="806" spans="1:5" x14ac:dyDescent="0.2">
      <c r="A806" s="1">
        <v>3</v>
      </c>
      <c r="B806" s="1">
        <v>8112</v>
      </c>
      <c r="C806" s="1">
        <v>9.501000000000003</v>
      </c>
      <c r="D806" s="1">
        <v>0.27990000000000009</v>
      </c>
      <c r="E806" s="3">
        <v>358000</v>
      </c>
    </row>
    <row r="807" spans="1:5" x14ac:dyDescent="0.2">
      <c r="A807" s="1">
        <v>3</v>
      </c>
      <c r="B807" s="1">
        <v>8113</v>
      </c>
      <c r="C807" s="1">
        <v>9.5790000000000024</v>
      </c>
      <c r="D807" s="1">
        <v>0.33170000000000011</v>
      </c>
      <c r="E807" s="3">
        <v>701000</v>
      </c>
    </row>
    <row r="808" spans="1:5" x14ac:dyDescent="0.2">
      <c r="A808" s="1">
        <v>3</v>
      </c>
      <c r="B808" s="1">
        <v>8114</v>
      </c>
      <c r="C808" s="1">
        <v>9.3790000000000031</v>
      </c>
      <c r="D808" s="1">
        <v>0.11930000000000004</v>
      </c>
      <c r="E808" s="3">
        <v>170000</v>
      </c>
    </row>
    <row r="809" spans="1:5" x14ac:dyDescent="0.2">
      <c r="A809" s="1">
        <v>3</v>
      </c>
      <c r="B809" s="1">
        <v>8121</v>
      </c>
      <c r="C809" s="1">
        <v>9.2680000000000025</v>
      </c>
      <c r="D809" s="1">
        <v>-3.4140000000000018E-2</v>
      </c>
      <c r="E809" s="3">
        <v>1465000</v>
      </c>
    </row>
    <row r="810" spans="1:5" x14ac:dyDescent="0.2">
      <c r="A810" s="1">
        <v>3</v>
      </c>
      <c r="B810" s="1">
        <v>8122</v>
      </c>
      <c r="C810" s="1">
        <v>9.5610000000000017</v>
      </c>
      <c r="D810" s="1">
        <v>0.16300000000000006</v>
      </c>
      <c r="E810" s="3">
        <v>297000</v>
      </c>
    </row>
    <row r="811" spans="1:5" x14ac:dyDescent="0.2">
      <c r="A811" s="1">
        <v>3</v>
      </c>
      <c r="B811" s="1">
        <v>8123</v>
      </c>
      <c r="C811" s="1">
        <v>9.1520000000000028</v>
      </c>
      <c r="D811" s="1">
        <v>0.17620000000000005</v>
      </c>
      <c r="E811" s="3">
        <v>721000</v>
      </c>
    </row>
    <row r="812" spans="1:5" x14ac:dyDescent="0.2">
      <c r="A812" s="1">
        <v>3</v>
      </c>
      <c r="B812" s="1">
        <v>8129</v>
      </c>
      <c r="C812" s="1">
        <v>9.299000000000003</v>
      </c>
      <c r="D812" s="1">
        <v>0.10650000000000004</v>
      </c>
      <c r="E812" s="3">
        <v>678000</v>
      </c>
    </row>
    <row r="813" spans="1:5" x14ac:dyDescent="0.2">
      <c r="A813" s="1">
        <v>3</v>
      </c>
      <c r="B813" s="1">
        <v>8131</v>
      </c>
      <c r="C813" s="1">
        <v>9.4160000000000021</v>
      </c>
      <c r="D813" s="1">
        <v>6.0800000000000028E-2</v>
      </c>
      <c r="E813" s="3">
        <v>427000</v>
      </c>
    </row>
    <row r="814" spans="1:5" x14ac:dyDescent="0.2">
      <c r="A814" s="1">
        <v>3</v>
      </c>
      <c r="B814" s="1">
        <v>8132</v>
      </c>
      <c r="C814" s="1">
        <v>9.6590000000000025</v>
      </c>
      <c r="D814" s="1">
        <v>0.25440000000000007</v>
      </c>
      <c r="E814" s="3">
        <v>490000</v>
      </c>
    </row>
    <row r="815" spans="1:5" x14ac:dyDescent="0.2">
      <c r="A815" s="1">
        <v>3</v>
      </c>
      <c r="B815" s="1">
        <v>8133</v>
      </c>
      <c r="C815" s="1">
        <v>9.4680000000000017</v>
      </c>
      <c r="D815" s="1">
        <v>0.16970000000000005</v>
      </c>
      <c r="E815" s="3">
        <v>651000</v>
      </c>
    </row>
    <row r="816" spans="1:5" x14ac:dyDescent="0.2">
      <c r="A816" s="1">
        <v>3</v>
      </c>
      <c r="B816" s="1">
        <v>8134</v>
      </c>
      <c r="C816" s="1">
        <v>9.408000000000003</v>
      </c>
      <c r="D816" s="1">
        <v>0.11990000000000003</v>
      </c>
      <c r="E816" s="3">
        <v>588000</v>
      </c>
    </row>
    <row r="817" spans="1:5" x14ac:dyDescent="0.2">
      <c r="A817" s="1">
        <v>3</v>
      </c>
      <c r="B817" s="1">
        <v>8139</v>
      </c>
      <c r="C817" s="1">
        <v>9.6450000000000031</v>
      </c>
      <c r="D817" s="1">
        <v>0.3383000000000001</v>
      </c>
      <c r="E817" s="3">
        <v>1513000</v>
      </c>
    </row>
    <row r="818" spans="1:5" x14ac:dyDescent="0.2">
      <c r="A818" s="1">
        <v>3</v>
      </c>
      <c r="B818" s="1">
        <v>8141</v>
      </c>
      <c r="C818" s="1">
        <v>9.1750000000000025</v>
      </c>
      <c r="D818" s="1">
        <v>0.21290000000000006</v>
      </c>
      <c r="E818" s="3">
        <v>307000</v>
      </c>
    </row>
    <row r="819" spans="1:5" x14ac:dyDescent="0.2">
      <c r="A819" s="1">
        <v>3</v>
      </c>
      <c r="B819" s="1">
        <v>9211</v>
      </c>
      <c r="C819" s="1">
        <v>9.5550000000000015</v>
      </c>
      <c r="D819" s="1">
        <v>0.39400000000000013</v>
      </c>
      <c r="E819" s="3">
        <v>9063000</v>
      </c>
    </row>
    <row r="820" spans="1:5" x14ac:dyDescent="0.2">
      <c r="A820" s="1">
        <v>3</v>
      </c>
      <c r="B820" s="1">
        <v>9221</v>
      </c>
      <c r="C820" s="1">
        <v>9.5750000000000028</v>
      </c>
      <c r="D820" s="1">
        <v>0.42230000000000012</v>
      </c>
      <c r="E820" s="3">
        <v>6099000</v>
      </c>
    </row>
    <row r="821" spans="1:5" x14ac:dyDescent="0.2">
      <c r="A821" s="1">
        <v>3</v>
      </c>
      <c r="B821" s="1">
        <v>9231</v>
      </c>
      <c r="C821" s="1">
        <v>9.6030000000000015</v>
      </c>
      <c r="D821" s="1">
        <v>0.35780000000000012</v>
      </c>
      <c r="E821" s="3">
        <v>2033000</v>
      </c>
    </row>
    <row r="822" spans="1:5" x14ac:dyDescent="0.2">
      <c r="A822" s="1">
        <v>3</v>
      </c>
      <c r="B822" s="1">
        <v>9241</v>
      </c>
      <c r="C822" s="1">
        <v>9.6640000000000015</v>
      </c>
      <c r="D822" s="1">
        <v>0.34100000000000014</v>
      </c>
      <c r="E822" s="3">
        <v>867000</v>
      </c>
    </row>
    <row r="823" spans="1:5" x14ac:dyDescent="0.2">
      <c r="A823" s="1">
        <v>3</v>
      </c>
      <c r="B823" s="1">
        <v>9251</v>
      </c>
      <c r="C823" s="1">
        <v>9.4880000000000031</v>
      </c>
      <c r="D823" s="1">
        <v>0.33340000000000009</v>
      </c>
      <c r="E823" s="3">
        <v>271000</v>
      </c>
    </row>
    <row r="824" spans="1:5" x14ac:dyDescent="0.2">
      <c r="A824" s="1">
        <v>3</v>
      </c>
      <c r="B824" s="1">
        <v>9261</v>
      </c>
      <c r="C824" s="1">
        <v>9.6330000000000027</v>
      </c>
      <c r="D824" s="1">
        <v>0.34150000000000008</v>
      </c>
      <c r="E824" s="3">
        <v>1466000</v>
      </c>
    </row>
    <row r="825" spans="1:5" x14ac:dyDescent="0.2">
      <c r="A825" s="1">
        <v>3</v>
      </c>
      <c r="B825" s="1">
        <v>9999</v>
      </c>
      <c r="C825" s="1">
        <v>9.4610000000000021</v>
      </c>
      <c r="D825" s="1">
        <v>0.31270000000000009</v>
      </c>
      <c r="E825" s="3">
        <v>9258000</v>
      </c>
    </row>
  </sheetData>
  <pageMargins left="0.7" right="0.7" top="0.75" bottom="0.75" header="0.51180555555555496" footer="0.51180555555555496"/>
  <pageSetup firstPageNumber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"/>
  <sheetViews>
    <sheetView zoomScale="86" zoomScaleNormal="86" workbookViewId="0">
      <pane xSplit="1" topLeftCell="B1" activePane="topRight" state="frozen"/>
      <selection pane="topRight" activeCell="B72" activeCellId="37" sqref="B5:K5 C7:K8 B9:K9 C11:K12 B13:K13 C15:K16 B17:K17 C19:K20 B21:K21 C23:K24 B25:K25 C27:K28 B29:K29 C31:K32 B33:K33 C35:K36 B37:K37 C39:K40 B41:K41 C43:K44 B45:K45 C47:K48 B49:K49 C51:K52 B53:K53 C55:K56 F57:K57 B57 F59:K60 I61:K61 I63:K64 F65:H65 F67:H68 B61:E61 C63:E64 B65:E65 C67:E68 B72:K72"/>
    </sheetView>
  </sheetViews>
  <sheetFormatPr baseColWidth="10" defaultColWidth="11.5" defaultRowHeight="15" x14ac:dyDescent="0.2"/>
  <cols>
    <col min="1" max="1" width="20.5" bestFit="1" customWidth="1"/>
  </cols>
  <sheetData>
    <row r="1" spans="1:11" x14ac:dyDescent="0.2">
      <c r="A1" t="str">
        <f>"Output 9a - Bivariate Regressions, Top59 100%"</f>
        <v>Output 9a - Bivariate Regressions, Top59 100%</v>
      </c>
    </row>
    <row r="2" spans="1:11" s="1" customFormat="1" x14ac:dyDescent="0.2">
      <c r="A2" s="1" t="str">
        <f>""</f>
        <v/>
      </c>
      <c r="B2" s="1" t="str">
        <f>"(1)"</f>
        <v>(1)</v>
      </c>
      <c r="C2" s="1" t="str">
        <f>"(2)"</f>
        <v>(2)</v>
      </c>
      <c r="D2" s="1" t="str">
        <f>"(3)"</f>
        <v>(3)</v>
      </c>
      <c r="E2" s="1" t="str">
        <f>"(4)"</f>
        <v>(4)</v>
      </c>
      <c r="F2" s="1" t="str">
        <f>"(5)"</f>
        <v>(5)</v>
      </c>
      <c r="G2" s="1" t="str">
        <f>"(6)"</f>
        <v>(6)</v>
      </c>
      <c r="H2" s="1" t="str">
        <f>"(7)"</f>
        <v>(7)</v>
      </c>
      <c r="I2" s="1" t="str">
        <f>"(8)"</f>
        <v>(8)</v>
      </c>
      <c r="J2" s="1" t="str">
        <f>"(9)"</f>
        <v>(9)</v>
      </c>
      <c r="K2" s="1" t="str">
        <f>"(10)"</f>
        <v>(10)</v>
      </c>
    </row>
    <row r="3" spans="1:11" x14ac:dyDescent="0.2">
      <c r="A3" t="str">
        <f>""</f>
        <v/>
      </c>
      <c r="B3" t="s">
        <v>0</v>
      </c>
      <c r="C3" s="7" t="s">
        <v>2</v>
      </c>
      <c r="D3" s="7"/>
      <c r="E3" s="7"/>
      <c r="F3" s="7" t="s">
        <v>1</v>
      </c>
      <c r="G3" s="7"/>
      <c r="H3" s="7"/>
      <c r="I3" s="7" t="s">
        <v>3</v>
      </c>
      <c r="J3" s="7"/>
      <c r="K3" s="7"/>
    </row>
    <row r="5" spans="1:11" x14ac:dyDescent="0.2">
      <c r="A5" t="str">
        <f>"alpha_c"</f>
        <v>alpha_c</v>
      </c>
      <c r="B5" t="str">
        <f>"9.456"</f>
        <v>9.456</v>
      </c>
      <c r="C5" t="str">
        <f>"-.0782"</f>
        <v>-.0782</v>
      </c>
      <c r="D5" t="str">
        <f>".2601"</f>
        <v>.2601</v>
      </c>
      <c r="E5" t="str">
        <f>".199"</f>
        <v>.199</v>
      </c>
      <c r="F5" t="str">
        <f>".8869***"</f>
        <v>.8869***</v>
      </c>
      <c r="G5" t="str">
        <f>".7457***"</f>
        <v>.7457***</v>
      </c>
      <c r="H5" t="str">
        <f>".7971***"</f>
        <v>.7971***</v>
      </c>
      <c r="I5" t="str">
        <f>".649***"</f>
        <v>.649***</v>
      </c>
      <c r="J5" t="str">
        <f>".6358***"</f>
        <v>.6358***</v>
      </c>
      <c r="K5" t="str">
        <f>".662***"</f>
        <v>.662***</v>
      </c>
    </row>
    <row r="6" spans="1:11" x14ac:dyDescent="0.2">
      <c r="A6" t="str">
        <f>""</f>
        <v/>
      </c>
      <c r="B6" t="str">
        <f>".1319"</f>
        <v>.1319</v>
      </c>
      <c r="C6" t="str">
        <f>"(.1004)"</f>
        <v>(.1004)</v>
      </c>
      <c r="D6" t="str">
        <f>"(.2211)"</f>
        <v>(.2211)</v>
      </c>
      <c r="E6" t="str">
        <f>"(.2203)"</f>
        <v>(.2203)</v>
      </c>
      <c r="F6" t="str">
        <f>"(.106)"</f>
        <v>(.106)</v>
      </c>
      <c r="G6" t="str">
        <f>"(.1694)"</f>
        <v>(.1694)</v>
      </c>
      <c r="H6" t="str">
        <f>"(.1414)"</f>
        <v>(.1414)</v>
      </c>
      <c r="I6" t="str">
        <f>"(.04955)"</f>
        <v>(.04955)</v>
      </c>
      <c r="J6" t="str">
        <f>"(.05925)"</f>
        <v>(.05925)</v>
      </c>
      <c r="K6" t="str">
        <f>"(.07046)"</f>
        <v>(.07046)</v>
      </c>
    </row>
    <row r="7" spans="1:11" x14ac:dyDescent="0.2">
      <c r="C7" t="str">
        <f>"-.001383"</f>
        <v>-.001383</v>
      </c>
      <c r="D7" t="str">
        <f>".09885"</f>
        <v>.09885</v>
      </c>
      <c r="E7" t="str">
        <f>".1101"</f>
        <v>.1101</v>
      </c>
      <c r="F7" t="str">
        <f>".7564"</f>
        <v>.7564</v>
      </c>
      <c r="G7" t="str">
        <f>".7659"</f>
        <v>.7659</v>
      </c>
      <c r="H7" t="str">
        <f>".771"</f>
        <v>.771</v>
      </c>
      <c r="I7" t="str">
        <f>".7742"</f>
        <v>.7742</v>
      </c>
      <c r="J7" t="str">
        <f>".8202"</f>
        <v>.8202</v>
      </c>
      <c r="K7" t="str">
        <f>".8177"</f>
        <v>.8177</v>
      </c>
    </row>
    <row r="8" spans="1:11" x14ac:dyDescent="0.2">
      <c r="C8" t="str">
        <f>".08189"</f>
        <v>.08189</v>
      </c>
      <c r="D8" t="str">
        <f>".07768"</f>
        <v>.07768</v>
      </c>
      <c r="E8" t="str">
        <f>".0772"</f>
        <v>.0772</v>
      </c>
      <c r="F8" t="str">
        <f>".06619"</f>
        <v>.06619</v>
      </c>
      <c r="G8" t="str">
        <f>".06489"</f>
        <v>.06489</v>
      </c>
      <c r="H8" t="str">
        <f>".06418"</f>
        <v>.06418</v>
      </c>
      <c r="I8" t="str">
        <f>".04611"</f>
        <v>.04611</v>
      </c>
      <c r="J8" t="str">
        <f>".04114"</f>
        <v>.04114</v>
      </c>
      <c r="K8" t="str">
        <f>".04142"</f>
        <v>.04142</v>
      </c>
    </row>
    <row r="9" spans="1:11" x14ac:dyDescent="0.2">
      <c r="A9" t="str">
        <f>"alt_cz_eff"</f>
        <v>alt_cz_eff</v>
      </c>
      <c r="B9" t="str">
        <f>"-7.94e-11"</f>
        <v>-7.94e-11</v>
      </c>
      <c r="C9" t="str">
        <f>".9378***"</f>
        <v>.9378***</v>
      </c>
      <c r="D9" t="str">
        <f>"1.66***"</f>
        <v>1.66***</v>
      </c>
      <c r="E9" t="str">
        <f>"2.039***"</f>
        <v>2.039***</v>
      </c>
      <c r="F9" t="str">
        <f>"1.664***"</f>
        <v>1.664***</v>
      </c>
      <c r="G9" t="str">
        <f>".9506***"</f>
        <v>.9506***</v>
      </c>
      <c r="H9" t="str">
        <f>"1.272***"</f>
        <v>1.272***</v>
      </c>
      <c r="I9" t="str">
        <f>"1.126***"</f>
        <v>1.126***</v>
      </c>
      <c r="J9" t="str">
        <f>".7613***"</f>
        <v>.7613***</v>
      </c>
      <c r="K9" t="str">
        <f>".8838**"</f>
        <v>.8838**</v>
      </c>
    </row>
    <row r="10" spans="1:11" x14ac:dyDescent="0.2">
      <c r="A10" t="str">
        <f>""</f>
        <v/>
      </c>
      <c r="B10" t="str">
        <f>".04096"</f>
        <v>.04096</v>
      </c>
      <c r="C10" t="str">
        <f>"(.2566)"</f>
        <v>(.2566)</v>
      </c>
      <c r="D10" t="str">
        <f>"(.1729)"</f>
        <v>(.1729)</v>
      </c>
      <c r="E10" t="str">
        <f>"(.2573)"</f>
        <v>(.2573)</v>
      </c>
      <c r="F10" t="str">
        <f>"(.3782)"</f>
        <v>(.3782)</v>
      </c>
      <c r="G10" t="str">
        <f>"(.2937)"</f>
        <v>(.2937)</v>
      </c>
      <c r="H10" t="str">
        <f>"(.4239)"</f>
        <v>(.4239)</v>
      </c>
      <c r="I10" t="str">
        <f>"(.2802)"</f>
        <v>(.2802)</v>
      </c>
      <c r="J10" t="str">
        <f>"(.2439)"</f>
        <v>(.2439)</v>
      </c>
      <c r="K10" t="str">
        <f>"(.4125)"</f>
        <v>(.4125)</v>
      </c>
    </row>
    <row r="11" spans="1:11" x14ac:dyDescent="0.2">
      <c r="C11" t="str">
        <f>".2067"</f>
        <v>.2067</v>
      </c>
      <c r="D11" t="str">
        <f>".5996"</f>
        <v>.5996</v>
      </c>
      <c r="E11" t="str">
        <f>".6674"</f>
        <v>.6674</v>
      </c>
      <c r="F11" t="str">
        <f>".2451"</f>
        <v>.2451</v>
      </c>
      <c r="G11" t="str">
        <f>".5735"</f>
        <v>.5735</v>
      </c>
      <c r="H11" t="str">
        <f>".577"</f>
        <v>.577</v>
      </c>
      <c r="I11" t="str">
        <f>".2124"</f>
        <v>.2124</v>
      </c>
      <c r="J11" t="str">
        <f>".5412"</f>
        <v>.5412</v>
      </c>
      <c r="K11" t="str">
        <f>".5276"</f>
        <v>.5276</v>
      </c>
    </row>
    <row r="12" spans="1:11" x14ac:dyDescent="0.2">
      <c r="C12" t="str">
        <f>".07289"</f>
        <v>.07289</v>
      </c>
      <c r="D12" t="str">
        <f>".05178"</f>
        <v>.05178</v>
      </c>
      <c r="E12" t="str">
        <f>".0472"</f>
        <v>.0472</v>
      </c>
      <c r="F12" t="str">
        <f>".1165"</f>
        <v>.1165</v>
      </c>
      <c r="G12" t="str">
        <f>".08759"</f>
        <v>.08759</v>
      </c>
      <c r="H12" t="str">
        <f>".08722"</f>
        <v>.08722</v>
      </c>
      <c r="I12" t="str">
        <f>".08611"</f>
        <v>.08611</v>
      </c>
      <c r="J12" t="str">
        <f>".06572"</f>
        <v>.06572</v>
      </c>
      <c r="K12" t="str">
        <f>".06668"</f>
        <v>.06668</v>
      </c>
    </row>
    <row r="13" spans="1:11" x14ac:dyDescent="0.2">
      <c r="A13" t="str">
        <f>"s_alpha_q1q5"</f>
        <v>s_alpha_q1q5</v>
      </c>
      <c r="B13" t="str">
        <f>".3994"</f>
        <v>.3994</v>
      </c>
      <c r="C13" t="str">
        <f>".1587"</f>
        <v>.1587</v>
      </c>
      <c r="D13" t="str">
        <f>".7098"</f>
        <v>.7098</v>
      </c>
      <c r="E13" t="str">
        <f>".5773"</f>
        <v>.5773</v>
      </c>
      <c r="F13" t="str">
        <f>"2.774***"</f>
        <v>2.774***</v>
      </c>
      <c r="G13" t="str">
        <f>"1.897***"</f>
        <v>1.897***</v>
      </c>
      <c r="H13" t="str">
        <f>"1.988***"</f>
        <v>1.988***</v>
      </c>
      <c r="I13" t="str">
        <f>"2.376***"</f>
        <v>2.376***</v>
      </c>
      <c r="J13" t="str">
        <f>"1.874***"</f>
        <v>1.874***</v>
      </c>
      <c r="K13" t="str">
        <f>"1.967***"</f>
        <v>1.967***</v>
      </c>
    </row>
    <row r="14" spans="1:11" x14ac:dyDescent="0.2">
      <c r="A14" t="str">
        <f>""</f>
        <v/>
      </c>
      <c r="B14" t="str">
        <f>".03059"</f>
        <v>.03059</v>
      </c>
      <c r="C14" t="str">
        <f>"(.4786)"</f>
        <v>(.4786)</v>
      </c>
      <c r="D14" t="str">
        <f>"(.6329)"</f>
        <v>(.6329)</v>
      </c>
      <c r="E14" t="str">
        <f>"(.6396)"</f>
        <v>(.6396)</v>
      </c>
      <c r="F14" t="str">
        <f>"(.3319)"</f>
        <v>(.3319)</v>
      </c>
      <c r="G14" t="str">
        <f>"(.397)"</f>
        <v>(.397)</v>
      </c>
      <c r="H14" t="str">
        <f>"(.3943)"</f>
        <v>(.3943)</v>
      </c>
      <c r="I14" t="str">
        <f>"(.1995)"</f>
        <v>(.1995)</v>
      </c>
      <c r="J14" t="str">
        <f>"(.1852)"</f>
        <v>(.1852)</v>
      </c>
      <c r="K14" t="str">
        <f>"(.2481)"</f>
        <v>(.2481)</v>
      </c>
    </row>
    <row r="15" spans="1:11" x14ac:dyDescent="0.2">
      <c r="C15" t="str">
        <f>"-.01396"</f>
        <v>-.01396</v>
      </c>
      <c r="D15" t="str">
        <f>".06943"</f>
        <v>.06943</v>
      </c>
      <c r="E15" t="str">
        <f>".09661"</f>
        <v>.09661</v>
      </c>
      <c r="F15" t="str">
        <f>".3898"</f>
        <v>.3898</v>
      </c>
      <c r="G15" t="str">
        <f>".6532"</f>
        <v>.6532</v>
      </c>
      <c r="H15" t="str">
        <f>".638"</f>
        <v>.638</v>
      </c>
      <c r="I15" t="str">
        <f>".5536"</f>
        <v>.5536</v>
      </c>
      <c r="J15" t="str">
        <f>".7354"</f>
        <v>.7354</v>
      </c>
      <c r="K15" t="str">
        <f>".7245"</f>
        <v>.7245</v>
      </c>
    </row>
    <row r="16" spans="1:11" x14ac:dyDescent="0.2">
      <c r="C16" t="str">
        <f>".0824"</f>
        <v>.0824</v>
      </c>
      <c r="D16" t="str">
        <f>".07894"</f>
        <v>.07894</v>
      </c>
      <c r="E16" t="str">
        <f>".07778"</f>
        <v>.07778</v>
      </c>
      <c r="F16" t="str">
        <f>".1048"</f>
        <v>.1048</v>
      </c>
      <c r="G16" t="str">
        <f>".07898"</f>
        <v>.07898</v>
      </c>
      <c r="H16" t="str">
        <f>".08069"</f>
        <v>.08069</v>
      </c>
      <c r="I16" t="str">
        <f>".06482"</f>
        <v>.06482</v>
      </c>
      <c r="J16" t="str">
        <f>".04991"</f>
        <v>.04991</v>
      </c>
      <c r="K16" t="str">
        <f>".05092"</f>
        <v>.05092</v>
      </c>
    </row>
    <row r="17" spans="1:11" x14ac:dyDescent="0.2">
      <c r="A17" t="str">
        <f>"psi_c"</f>
        <v>psi_c</v>
      </c>
      <c r="B17" t="str">
        <f>".2356"</f>
        <v>.2356</v>
      </c>
      <c r="C17" t="str">
        <f>"1.004***"</f>
        <v>1.004***</v>
      </c>
      <c r="D17" t="str">
        <f>"1.647***"</f>
        <v>1.647***</v>
      </c>
      <c r="E17" t="str">
        <f>"1.861***"</f>
        <v>1.861***</v>
      </c>
      <c r="F17" t="str">
        <f>"1.742***"</f>
        <v>1.742***</v>
      </c>
      <c r="G17" t="str">
        <f>"1.113***"</f>
        <v>1.113***</v>
      </c>
      <c r="H17" t="str">
        <f>"1.401***"</f>
        <v>1.401***</v>
      </c>
      <c r="I17" t="str">
        <f>"1.141***"</f>
        <v>1.141***</v>
      </c>
      <c r="J17" t="str">
        <f>".7909***"</f>
        <v>.7909***</v>
      </c>
      <c r="K17" t="str">
        <f>".8843**"</f>
        <v>.8843**</v>
      </c>
    </row>
    <row r="18" spans="1:11" x14ac:dyDescent="0.2">
      <c r="A18" t="str">
        <f>""</f>
        <v/>
      </c>
      <c r="B18" t="str">
        <f>".04349"</f>
        <v>.04349</v>
      </c>
      <c r="C18" t="str">
        <f>"(.2477)"</f>
        <v>(.2477)</v>
      </c>
      <c r="D18" t="str">
        <f>"(.1554)"</f>
        <v>(.1554)</v>
      </c>
      <c r="E18" t="str">
        <f>"(.2175)"</f>
        <v>(.2175)</v>
      </c>
      <c r="F18" t="str">
        <f>"(.3313)"</f>
        <v>(.3313)</v>
      </c>
      <c r="G18" t="str">
        <f>"(.2672)"</f>
        <v>(.2672)</v>
      </c>
      <c r="H18" t="str">
        <f>"(.3538)"</f>
        <v>(.3538)</v>
      </c>
      <c r="I18" t="str">
        <f>"(.2354)"</f>
        <v>(.2354)</v>
      </c>
      <c r="J18" t="str">
        <f>"(.2199)"</f>
        <v>(.2199)</v>
      </c>
      <c r="K18" t="str">
        <f>"(.355)"</f>
        <v>(.355)</v>
      </c>
    </row>
    <row r="19" spans="1:11" x14ac:dyDescent="0.2">
      <c r="C19" t="str">
        <f>".2721"</f>
        <v>.2721</v>
      </c>
      <c r="D19" t="str">
        <f>".6969"</f>
        <v>.6969</v>
      </c>
      <c r="E19" t="str">
        <f>".7407"</f>
        <v>.7407</v>
      </c>
      <c r="F19" t="str">
        <f>".3072"</f>
        <v>.3072</v>
      </c>
      <c r="G19" t="str">
        <f>".6181"</f>
        <v>.6181</v>
      </c>
      <c r="H19" t="str">
        <f>".6326"</f>
        <v>.6326</v>
      </c>
      <c r="I19" t="str">
        <f>".2485"</f>
        <v>.2485</v>
      </c>
      <c r="J19" t="str">
        <f>".5656"</f>
        <v>.5656</v>
      </c>
      <c r="K19" t="str">
        <f>".5558"</f>
        <v>.5558</v>
      </c>
    </row>
    <row r="20" spans="1:11" x14ac:dyDescent="0.2">
      <c r="C20" t="str">
        <f>".06982"</f>
        <v>.06982</v>
      </c>
      <c r="D20" t="str">
        <f>".04506"</f>
        <v>.04506</v>
      </c>
      <c r="E20" t="str">
        <f>".04167"</f>
        <v>.04167</v>
      </c>
      <c r="F20" t="str">
        <f>".1116"</f>
        <v>.1116</v>
      </c>
      <c r="G20" t="str">
        <f>".08287"</f>
        <v>.08287</v>
      </c>
      <c r="H20" t="str">
        <f>".08129"</f>
        <v>.08129</v>
      </c>
      <c r="I20" t="str">
        <f>".08411"</f>
        <v>.08411</v>
      </c>
      <c r="J20" t="str">
        <f>".06395"</f>
        <v>.06395</v>
      </c>
      <c r="K20" t="str">
        <f>".06467"</f>
        <v>.06467</v>
      </c>
    </row>
    <row r="21" spans="1:11" x14ac:dyDescent="0.2">
      <c r="A21" t="str">
        <f>"Ealpha_c"</f>
        <v>Ealpha_c</v>
      </c>
      <c r="B21" t="str">
        <f>"9.456"</f>
        <v>9.456</v>
      </c>
      <c r="C21" t="str">
        <f>"-.26"</f>
        <v>-.26</v>
      </c>
      <c r="D21" t="str">
        <f>"1.304**"</f>
        <v>1.304**</v>
      </c>
      <c r="E21" t="str">
        <f>"1.354***"</f>
        <v>1.354***</v>
      </c>
      <c r="F21" t="str">
        <f>"3.864***"</f>
        <v>3.864***</v>
      </c>
      <c r="G21" t="str">
        <f>"3.348***"</f>
        <v>3.348***</v>
      </c>
      <c r="H21" t="str">
        <f>"3.393***"</f>
        <v>3.393***</v>
      </c>
      <c r="I21" t="str">
        <f>"2.675***"</f>
        <v>2.675***</v>
      </c>
      <c r="J21" t="str">
        <f>"2.342***"</f>
        <v>2.342***</v>
      </c>
      <c r="K21" t="str">
        <f>"2.36***"</f>
        <v>2.36***</v>
      </c>
    </row>
    <row r="22" spans="1:11" x14ac:dyDescent="0.2">
      <c r="A22" t="str">
        <f>""</f>
        <v/>
      </c>
      <c r="B22" t="str">
        <f>".03052"</f>
        <v>.03052</v>
      </c>
      <c r="C22" t="str">
        <f>"(.3726)"</f>
        <v>(.3726)</v>
      </c>
      <c r="D22" t="str">
        <f>"(.5451)"</f>
        <v>(.5451)</v>
      </c>
      <c r="E22" t="str">
        <f>"(.4808)"</f>
        <v>(.4808)</v>
      </c>
      <c r="F22" t="str">
        <f>"(.3076)"</f>
        <v>(.3076)</v>
      </c>
      <c r="G22" t="str">
        <f>"(.4844)"</f>
        <v>(.4844)</v>
      </c>
      <c r="H22" t="str">
        <f>"(.4288)"</f>
        <v>(.4288)</v>
      </c>
      <c r="I22" t="str">
        <f>"(.2472)"</f>
        <v>(.2472)</v>
      </c>
      <c r="J22" t="str">
        <f>"(.4473)"</f>
        <v>(.4473)</v>
      </c>
      <c r="K22" t="str">
        <f>"(.385)"</f>
        <v>(.385)</v>
      </c>
    </row>
    <row r="23" spans="1:11" x14ac:dyDescent="0.2">
      <c r="C23" t="str">
        <f>"-.007974"</f>
        <v>-.007974</v>
      </c>
      <c r="D23" t="str">
        <f>".1265"</f>
        <v>.1265</v>
      </c>
      <c r="E23" t="str">
        <f>".1886"</f>
        <v>.1886</v>
      </c>
      <c r="F23" t="str">
        <f>".7695"</f>
        <v>.7695</v>
      </c>
      <c r="G23" t="str">
        <f>".7815"</f>
        <v>.7815</v>
      </c>
      <c r="H23" t="str">
        <f>".7832"</f>
        <v>.7832</v>
      </c>
      <c r="I23" t="str">
        <f>".7031"</f>
        <v>.7031</v>
      </c>
      <c r="J23" t="str">
        <f>".7149"</f>
        <v>.7149</v>
      </c>
      <c r="K23" t="str">
        <f>".7184"</f>
        <v>.7184</v>
      </c>
    </row>
    <row r="24" spans="1:11" x14ac:dyDescent="0.2">
      <c r="C24" t="str">
        <f>".08216"</f>
        <v>.08216</v>
      </c>
      <c r="D24" t="str">
        <f>".07648"</f>
        <v>.07648</v>
      </c>
      <c r="E24" t="str">
        <f>".07371"</f>
        <v>.07371</v>
      </c>
      <c r="F24" t="str">
        <f>".06439"</f>
        <v>.06439</v>
      </c>
      <c r="G24" t="str">
        <f>".06269"</f>
        <v>.06269</v>
      </c>
      <c r="H24" t="str">
        <f>".06244"</f>
        <v>.06244</v>
      </c>
      <c r="I24" t="str">
        <f>".05287"</f>
        <v>.05287</v>
      </c>
      <c r="J24" t="str">
        <f>".05181"</f>
        <v>.05181</v>
      </c>
      <c r="K24" t="str">
        <f>".05149"</f>
        <v>.05149</v>
      </c>
    </row>
    <row r="25" spans="1:11" x14ac:dyDescent="0.2">
      <c r="A25" t="str">
        <f>"Es_alpha_q1q5"</f>
        <v>Es_alpha_q1q5</v>
      </c>
      <c r="B25" t="str">
        <f>".3872"</f>
        <v>.3872</v>
      </c>
      <c r="C25" t="str">
        <f>"-1.443"</f>
        <v>-1.443</v>
      </c>
      <c r="D25" t="str">
        <f>"2.585"</f>
        <v>2.585</v>
      </c>
      <c r="E25" t="str">
        <f>"1.957"</f>
        <v>1.957</v>
      </c>
      <c r="F25" t="str">
        <f>"11.08***"</f>
        <v>11.08***</v>
      </c>
      <c r="G25" t="str">
        <f>"8.587***"</f>
        <v>8.587***</v>
      </c>
      <c r="H25" t="str">
        <f>"8.593***"</f>
        <v>8.593***</v>
      </c>
      <c r="I25" t="str">
        <f>"8.329***"</f>
        <v>8.329***</v>
      </c>
      <c r="J25" t="str">
        <f>"7.138***"</f>
        <v>7.138***</v>
      </c>
      <c r="K25" t="str">
        <f>"7.019***"</f>
        <v>7.019***</v>
      </c>
    </row>
    <row r="26" spans="1:11" x14ac:dyDescent="0.2">
      <c r="A26" t="str">
        <f>""</f>
        <v/>
      </c>
      <c r="B26" t="str">
        <f>".009524"</f>
        <v>.009524</v>
      </c>
      <c r="C26" t="str">
        <f>"(1.28)"</f>
        <v>(1.28)</v>
      </c>
      <c r="D26" t="str">
        <f>"(1.846)"</f>
        <v>(1.846)</v>
      </c>
      <c r="E26" t="str">
        <f>"(2.127)"</f>
        <v>(2.127)</v>
      </c>
      <c r="F26" t="str">
        <f>"(1.168)"</f>
        <v>(1.168)</v>
      </c>
      <c r="G26" t="str">
        <f>"(2.806)"</f>
        <v>(2.806)</v>
      </c>
      <c r="H26" t="str">
        <f>"(2.749)"</f>
        <v>(2.749)</v>
      </c>
      <c r="I26" t="str">
        <f>"(.8395)"</f>
        <v>(.8395)</v>
      </c>
      <c r="J26" t="str">
        <f>"(1.603)"</f>
        <v>(1.603)</v>
      </c>
      <c r="K26" t="str">
        <f>"(1.658)"</f>
        <v>(1.658)</v>
      </c>
    </row>
    <row r="27" spans="1:11" x14ac:dyDescent="0.2">
      <c r="C27" t="str">
        <f>".01114"</f>
        <v>.01114</v>
      </c>
      <c r="D27" t="str">
        <f>".05402"</f>
        <v>.05402</v>
      </c>
      <c r="E27" t="str">
        <f>".08608"</f>
        <v>.08608</v>
      </c>
      <c r="F27" t="str">
        <f>".6123"</f>
        <v>.6123</v>
      </c>
      <c r="G27" t="str">
        <f>".6722"</f>
        <v>.6722</v>
      </c>
      <c r="H27" t="str">
        <f>".6553"</f>
        <v>.6553</v>
      </c>
      <c r="I27" t="str">
        <f>".6626"</f>
        <v>.6626</v>
      </c>
      <c r="J27" t="str">
        <f>".6783"</f>
        <v>.6783</v>
      </c>
      <c r="K27" t="str">
        <f>".6582"</f>
        <v>.6582</v>
      </c>
    </row>
    <row r="28" spans="1:11" x14ac:dyDescent="0.2">
      <c r="C28" t="str">
        <f>".08138"</f>
        <v>.08138</v>
      </c>
      <c r="D28" t="str">
        <f>".07959"</f>
        <v>.07959</v>
      </c>
      <c r="E28" t="str">
        <f>".07823"</f>
        <v>.07823</v>
      </c>
      <c r="F28" t="str">
        <f>".0835"</f>
        <v>.0835</v>
      </c>
      <c r="G28" t="str">
        <f>".07678"</f>
        <v>.07678</v>
      </c>
      <c r="H28" t="str">
        <f>".07873"</f>
        <v>.07873</v>
      </c>
      <c r="I28" t="str">
        <f>".05636"</f>
        <v>.05636</v>
      </c>
      <c r="J28" t="str">
        <f>".05503"</f>
        <v>.05503</v>
      </c>
      <c r="K28" t="str">
        <f>".05672"</f>
        <v>.05672</v>
      </c>
    </row>
    <row r="29" spans="1:11" x14ac:dyDescent="0.2">
      <c r="A29" t="str">
        <f>"Epsi_c"</f>
        <v>Epsi_c</v>
      </c>
      <c r="B29" t="str">
        <f>".2356"</f>
        <v>.2356</v>
      </c>
      <c r="C29" t="str">
        <f>"2.64***"</f>
        <v>2.64***</v>
      </c>
      <c r="D29" t="str">
        <f>"3.707***"</f>
        <v>3.707***</v>
      </c>
      <c r="E29" t="str">
        <f>"3.975***"</f>
        <v>3.975***</v>
      </c>
      <c r="F29" t="str">
        <f>"4.091**"</f>
        <v>4.091**</v>
      </c>
      <c r="G29" t="str">
        <f>"4.691***"</f>
        <v>4.691***</v>
      </c>
      <c r="H29" t="str">
        <f>"5.241***"</f>
        <v>5.241***</v>
      </c>
      <c r="I29" t="str">
        <f>"2.18*"</f>
        <v>2.18*</v>
      </c>
      <c r="J29" t="str">
        <f>"2.238**"</f>
        <v>2.238**</v>
      </c>
      <c r="K29" t="str">
        <f>"2.615***"</f>
        <v>2.615***</v>
      </c>
    </row>
    <row r="30" spans="1:11" x14ac:dyDescent="0.2">
      <c r="A30" t="str">
        <f>""</f>
        <v/>
      </c>
      <c r="B30" t="str">
        <f>".0111"</f>
        <v>.0111</v>
      </c>
      <c r="C30" t="str">
        <f>"(.9478)"</f>
        <v>(.9478)</v>
      </c>
      <c r="D30" t="str">
        <f>"(1.093)"</f>
        <v>(1.093)</v>
      </c>
      <c r="E30" t="str">
        <f>"(1.015)"</f>
        <v>(1.015)</v>
      </c>
      <c r="F30" t="str">
        <f>"(1.788)"</f>
        <v>(1.788)</v>
      </c>
      <c r="G30" t="str">
        <f>"(1.153)"</f>
        <v>(1.153)</v>
      </c>
      <c r="H30" t="str">
        <f>"(1.057)"</f>
        <v>(1.057)</v>
      </c>
      <c r="I30" t="str">
        <f>"(1.299)"</f>
        <v>(1.299)</v>
      </c>
      <c r="J30" t="str">
        <f>"(1.021)"</f>
        <v>(1.021)</v>
      </c>
      <c r="K30" t="str">
        <f>"(.8646)"</f>
        <v>(.8646)</v>
      </c>
    </row>
    <row r="31" spans="1:11" x14ac:dyDescent="0.2">
      <c r="C31" t="str">
        <f>".1131"</f>
        <v>.1131</v>
      </c>
      <c r="D31" t="str">
        <f>".2419"</f>
        <v>.2419</v>
      </c>
      <c r="E31" t="str">
        <f>".3325"</f>
        <v>.3325</v>
      </c>
      <c r="F31" t="str">
        <f>".09919"</f>
        <v>.09919</v>
      </c>
      <c r="G31" t="str">
        <f>".6385"</f>
        <v>.6385</v>
      </c>
      <c r="H31" t="str">
        <f>".664"</f>
        <v>.664</v>
      </c>
      <c r="I31" t="str">
        <f>".04578"</f>
        <v>.04578</v>
      </c>
      <c r="J31" t="str">
        <f>".5128"</f>
        <v>.5128</v>
      </c>
      <c r="K31" t="str">
        <f>".5299"</f>
        <v>.5299</v>
      </c>
    </row>
    <row r="32" spans="1:11" x14ac:dyDescent="0.2">
      <c r="C32" t="str">
        <f>".07707"</f>
        <v>.07707</v>
      </c>
      <c r="D32" t="str">
        <f>".07125"</f>
        <v>.07125</v>
      </c>
      <c r="E32" t="str">
        <f>".06686"</f>
        <v>.06686</v>
      </c>
      <c r="F32" t="str">
        <f>".1273"</f>
        <v>.1273</v>
      </c>
      <c r="G32" t="str">
        <f>".08063"</f>
        <v>.08063</v>
      </c>
      <c r="H32" t="str">
        <f>".07774"</f>
        <v>.07774</v>
      </c>
      <c r="I32" t="str">
        <f>".09478"</f>
        <v>.09478</v>
      </c>
      <c r="J32" t="str">
        <f>".06772"</f>
        <v>.06772</v>
      </c>
      <c r="K32" t="str">
        <f>".06653"</f>
        <v>.06653</v>
      </c>
    </row>
    <row r="33" spans="1:11" x14ac:dyDescent="0.2">
      <c r="A33" t="str">
        <f>"s_psi_q1q5"</f>
        <v>s_psi_q1q5</v>
      </c>
      <c r="B33" t="str">
        <f>".3006"</f>
        <v>.3006</v>
      </c>
      <c r="C33" t="str">
        <f>".4677***"</f>
        <v>.4677***</v>
      </c>
      <c r="D33" t="str">
        <f>".7459***"</f>
        <v>.7459***</v>
      </c>
      <c r="E33" t="str">
        <f>".8656***"</f>
        <v>.8656***</v>
      </c>
      <c r="F33" t="str">
        <f>".9237***"</f>
        <v>.9237***</v>
      </c>
      <c r="G33" t="str">
        <f>".599***"</f>
        <v>.599***</v>
      </c>
      <c r="H33" t="str">
        <f>".7861***"</f>
        <v>.7861***</v>
      </c>
      <c r="I33" t="str">
        <f>".6593***"</f>
        <v>.6593***</v>
      </c>
      <c r="J33" t="str">
        <f>".4784***"</f>
        <v>.4784***</v>
      </c>
      <c r="K33" t="str">
        <f>".5768***"</f>
        <v>.5768***</v>
      </c>
    </row>
    <row r="34" spans="1:11" x14ac:dyDescent="0.2">
      <c r="A34" t="str">
        <f>""</f>
        <v/>
      </c>
      <c r="B34" t="str">
        <f>".09014"</f>
        <v>.09014</v>
      </c>
      <c r="C34" t="str">
        <f>"(.1353)"</f>
        <v>(.1353)</v>
      </c>
      <c r="D34" t="str">
        <f>"(.08926)"</f>
        <v>(.08926)</v>
      </c>
      <c r="E34" t="str">
        <f>"(.1145)"</f>
        <v>(.1145)</v>
      </c>
      <c r="F34" t="str">
        <f>"(.1456)"</f>
        <v>(.1456)</v>
      </c>
      <c r="G34" t="str">
        <f>"(.1234)"</f>
        <v>(.1234)</v>
      </c>
      <c r="H34" t="str">
        <f>"(.1539)"</f>
        <v>(.1539)</v>
      </c>
      <c r="I34" t="str">
        <f>"(.114)"</f>
        <v>(.114)</v>
      </c>
      <c r="J34" t="str">
        <f>"(.1069)"</f>
        <v>(.1069)</v>
      </c>
      <c r="K34" t="str">
        <f>"(.1095)"</f>
        <v>(.1095)</v>
      </c>
    </row>
    <row r="35" spans="1:11" x14ac:dyDescent="0.2">
      <c r="C35" t="str">
        <f>".2525"</f>
        <v>.2525</v>
      </c>
      <c r="D35" t="str">
        <f>".6489"</f>
        <v>.6489</v>
      </c>
      <c r="E35" t="str">
        <f>".6955"</f>
        <v>.6955</v>
      </c>
      <c r="F35" t="str">
        <f>".3746"</f>
        <v>.3746</v>
      </c>
      <c r="G35" t="str">
        <f>".6546"</f>
        <v>.6546</v>
      </c>
      <c r="H35" t="str">
        <f>".6838"</f>
        <v>.6838</v>
      </c>
      <c r="I35" t="str">
        <f>".3642"</f>
        <v>.3642</v>
      </c>
      <c r="J35" t="str">
        <f>".6395"</f>
        <v>.6395</v>
      </c>
      <c r="K35" t="str">
        <f>".6467"</f>
        <v>.6467</v>
      </c>
    </row>
    <row r="36" spans="1:11" x14ac:dyDescent="0.2">
      <c r="C36" t="str">
        <f>".07075"</f>
        <v>.07075</v>
      </c>
      <c r="D36" t="str">
        <f>".04849"</f>
        <v>.04849</v>
      </c>
      <c r="E36" t="str">
        <f>".04515"</f>
        <v>.04515</v>
      </c>
      <c r="F36" t="str">
        <f>".1061"</f>
        <v>.1061</v>
      </c>
      <c r="G36" t="str">
        <f>".07882"</f>
        <v>.07882</v>
      </c>
      <c r="H36" t="str">
        <f>".07542"</f>
        <v>.07542</v>
      </c>
      <c r="I36" t="str">
        <f>".07737"</f>
        <v>.07737</v>
      </c>
      <c r="J36" t="str">
        <f>".05826"</f>
        <v>.05826</v>
      </c>
      <c r="K36" t="str">
        <f>".05767"</f>
        <v>.05767</v>
      </c>
    </row>
    <row r="37" spans="1:11" x14ac:dyDescent="0.2">
      <c r="A37" t="str">
        <f>"membership"</f>
        <v>membership</v>
      </c>
      <c r="B37" t="str">
        <f>".1178"</f>
        <v>.1178</v>
      </c>
      <c r="C37" t="str">
        <f>".3291"</f>
        <v>.3291</v>
      </c>
      <c r="D37" t="str">
        <f>".6368"</f>
        <v>.6368</v>
      </c>
      <c r="E37" t="str">
        <f>".5403"</f>
        <v>.5403</v>
      </c>
      <c r="F37" t="str">
        <f>".2339"</f>
        <v>.2339</v>
      </c>
      <c r="G37" t="str">
        <f>".1561"</f>
        <v>.1561</v>
      </c>
      <c r="H37" t="str">
        <f>".256"</f>
        <v>.256</v>
      </c>
      <c r="I37" t="str">
        <f>".1826"</f>
        <v>.1826</v>
      </c>
      <c r="J37" t="str">
        <f>".4047"</f>
        <v>.4047</v>
      </c>
      <c r="K37" t="str">
        <f>".7034*"</f>
        <v>.7034*</v>
      </c>
    </row>
    <row r="38" spans="1:11" x14ac:dyDescent="0.2">
      <c r="A38" t="str">
        <f>""</f>
        <v/>
      </c>
      <c r="B38" t="str">
        <f>".05989"</f>
        <v>.05989</v>
      </c>
      <c r="C38" t="str">
        <f>"(.2479)"</f>
        <v>(.2479)</v>
      </c>
      <c r="D38" t="str">
        <f>"(.4074)"</f>
        <v>(.4074)</v>
      </c>
      <c r="E38" t="str">
        <f>"(.5216)"</f>
        <v>(.5216)</v>
      </c>
      <c r="F38" t="str">
        <f>"(.4062)"</f>
        <v>(.4062)</v>
      </c>
      <c r="G38" t="str">
        <f>"(.3036)"</f>
        <v>(.3036)</v>
      </c>
      <c r="H38" t="str">
        <f>"(.4258)"</f>
        <v>(.4258)</v>
      </c>
      <c r="I38" t="str">
        <f>"(.326)"</f>
        <v>(.326)</v>
      </c>
      <c r="J38" t="str">
        <f>"(.2667)"</f>
        <v>(.2667)</v>
      </c>
      <c r="K38" t="str">
        <f>"(.3592)"</f>
        <v>(.3592)</v>
      </c>
    </row>
    <row r="39" spans="1:11" x14ac:dyDescent="0.2">
      <c r="C39" t="str">
        <f>".04148"</f>
        <v>.04148</v>
      </c>
      <c r="D39" t="str">
        <f>".1519"</f>
        <v>.1519</v>
      </c>
      <c r="E39" t="str">
        <f>".09966"</f>
        <v>.09966</v>
      </c>
      <c r="F39" t="str">
        <f>"-.00644"</f>
        <v>-.00644</v>
      </c>
      <c r="G39" t="str">
        <f>".5049"</f>
        <v>.5049</v>
      </c>
      <c r="H39" t="str">
        <f>".4926"</f>
        <v>.4926</v>
      </c>
      <c r="I39" t="str">
        <f>"-.004619"</f>
        <v>-.004619</v>
      </c>
      <c r="J39" t="str">
        <f>".4934"</f>
        <v>.4934</v>
      </c>
      <c r="K39" t="str">
        <f>".4911"</f>
        <v>.4911</v>
      </c>
    </row>
    <row r="40" spans="1:11" x14ac:dyDescent="0.2">
      <c r="C40" t="str">
        <f>".08012"</f>
        <v>.08012</v>
      </c>
      <c r="D40" t="str">
        <f>".07536"</f>
        <v>.07536</v>
      </c>
      <c r="E40" t="str">
        <f>".07765"</f>
        <v>.07765</v>
      </c>
      <c r="F40" t="str">
        <f>".1345"</f>
        <v>.1345</v>
      </c>
      <c r="G40" t="str">
        <f>".09436"</f>
        <v>.09436</v>
      </c>
      <c r="H40" t="str">
        <f>".09553"</f>
        <v>.09553</v>
      </c>
      <c r="I40" t="str">
        <f>".09725"</f>
        <v>.09725</v>
      </c>
      <c r="J40" t="str">
        <f>".06906"</f>
        <v>.06906</v>
      </c>
      <c r="K40" t="str">
        <f>".06921"</f>
        <v>.06921</v>
      </c>
    </row>
    <row r="41" spans="1:11" x14ac:dyDescent="0.2">
      <c r="A41" t="str">
        <f>"coverage"</f>
        <v>coverage</v>
      </c>
      <c r="B41" t="str">
        <f>".1303"</f>
        <v>.1303</v>
      </c>
      <c r="C41" t="str">
        <f>".3196"</f>
        <v>.3196</v>
      </c>
      <c r="D41" t="str">
        <f>".605"</f>
        <v>.605</v>
      </c>
      <c r="E41" t="str">
        <f>".4496"</f>
        <v>.4496</v>
      </c>
      <c r="F41" t="str">
        <f>".1881"</f>
        <v>.1881</v>
      </c>
      <c r="G41" t="str">
        <f>".1244"</f>
        <v>.1244</v>
      </c>
      <c r="H41" t="str">
        <f>".1463"</f>
        <v>.1463</v>
      </c>
      <c r="I41" t="str">
        <f>".1492"</f>
        <v>.1492</v>
      </c>
      <c r="J41" t="str">
        <f>".3832"</f>
        <v>.3832</v>
      </c>
      <c r="K41" t="str">
        <f>".6131*"</f>
        <v>.6131*</v>
      </c>
    </row>
    <row r="42" spans="1:11" x14ac:dyDescent="0.2">
      <c r="A42" t="str">
        <f>""</f>
        <v/>
      </c>
      <c r="B42" t="str">
        <f>".06013"</f>
        <v>.06013</v>
      </c>
      <c r="C42" t="str">
        <f>"(.2477)"</f>
        <v>(.2477)</v>
      </c>
      <c r="D42" t="str">
        <f>"(.4098)"</f>
        <v>(.4098)</v>
      </c>
      <c r="E42" t="str">
        <f>"(.5278)"</f>
        <v>(.5278)</v>
      </c>
      <c r="F42" t="str">
        <f>"(.4043)"</f>
        <v>(.4043)</v>
      </c>
      <c r="G42" t="str">
        <f>"(.3001)"</f>
        <v>(.3001)</v>
      </c>
      <c r="H42" t="str">
        <f>"(.4202)"</f>
        <v>(.4202)</v>
      </c>
      <c r="I42" t="str">
        <f>"(.3256)"</f>
        <v>(.3256)</v>
      </c>
      <c r="J42" t="str">
        <f>"(.2665)"</f>
        <v>(.2665)</v>
      </c>
      <c r="K42" t="str">
        <f>"(.3628)"</f>
        <v>(.3628)</v>
      </c>
    </row>
    <row r="43" spans="1:11" x14ac:dyDescent="0.2">
      <c r="C43" t="str">
        <f>".03857"</f>
        <v>.03857</v>
      </c>
      <c r="D43" t="str">
        <f>".1397"</f>
        <v>.1397</v>
      </c>
      <c r="E43" t="str">
        <f>".08972"</f>
        <v>.08972</v>
      </c>
      <c r="F43" t="str">
        <f>"-.01031"</f>
        <v>-.01031</v>
      </c>
      <c r="G43" t="str">
        <f>".5038"</f>
        <v>.5038</v>
      </c>
      <c r="H43" t="str">
        <f>".4906"</f>
        <v>.4906</v>
      </c>
      <c r="I43" t="str">
        <f>"-.008845"</f>
        <v>-.008845</v>
      </c>
      <c r="J43" t="str">
        <f>".4896"</f>
        <v>.4896</v>
      </c>
      <c r="K43" t="str">
        <f>".4823"</f>
        <v>.4823</v>
      </c>
    </row>
    <row r="44" spans="1:11" x14ac:dyDescent="0.2">
      <c r="C44" t="str">
        <f>".08024"</f>
        <v>.08024</v>
      </c>
      <c r="D44" t="str">
        <f>".0759"</f>
        <v>.0759</v>
      </c>
      <c r="E44" t="str">
        <f>".07808"</f>
        <v>.07808</v>
      </c>
      <c r="F44" t="str">
        <f>".1348"</f>
        <v>.1348</v>
      </c>
      <c r="G44" t="str">
        <f>".09447"</f>
        <v>.09447</v>
      </c>
      <c r="H44" t="str">
        <f>".09572"</f>
        <v>.09572</v>
      </c>
      <c r="I44" t="str">
        <f>".09746"</f>
        <v>.09746</v>
      </c>
      <c r="J44" t="str">
        <f>".06932"</f>
        <v>.06932</v>
      </c>
      <c r="K44" t="str">
        <f>".06982"</f>
        <v>.06982</v>
      </c>
    </row>
    <row r="45" spans="1:11" x14ac:dyDescent="0.2">
      <c r="A45" t="str">
        <f>"lnN_c"</f>
        <v>lnN_c</v>
      </c>
      <c r="B45" t="str">
        <f>"17.91"</f>
        <v>17.91</v>
      </c>
      <c r="C45" t="str">
        <f>".04598***"</f>
        <v>.04598***</v>
      </c>
      <c r="D45" t="str">
        <f>".04006"</f>
        <v>.04006</v>
      </c>
      <c r="E45" t="str">
        <f>".02925"</f>
        <v>.02925</v>
      </c>
      <c r="F45" t="str">
        <f>"-.04748**"</f>
        <v>-.04748**</v>
      </c>
      <c r="G45" t="str">
        <f>".08106***"</f>
        <v>.08106***</v>
      </c>
      <c r="H45" t="str">
        <f>".08542***"</f>
        <v>.08542***</v>
      </c>
      <c r="I45" t="str">
        <f>"-.01557"</f>
        <v>-.01557</v>
      </c>
      <c r="J45" t="str">
        <f>".08469***"</f>
        <v>.08469***</v>
      </c>
      <c r="K45" t="str">
        <f>".08752***"</f>
        <v>.08752***</v>
      </c>
    </row>
    <row r="46" spans="1:11" x14ac:dyDescent="0.2">
      <c r="A46" t="str">
        <f>""</f>
        <v/>
      </c>
      <c r="B46" t="str">
        <f>".8355"</f>
        <v>.8355</v>
      </c>
      <c r="C46" t="str">
        <f>"(.009572)"</f>
        <v>(.009572)</v>
      </c>
      <c r="D46" t="str">
        <f>"(.02611)"</f>
        <v>(.02611)</v>
      </c>
      <c r="E46" t="str">
        <f>"(.02691)"</f>
        <v>(.02691)</v>
      </c>
      <c r="F46" t="str">
        <f>"(.0219)"</f>
        <v>(.0219)</v>
      </c>
      <c r="G46" t="str">
        <f>"(.02641)"</f>
        <v>(.02641)</v>
      </c>
      <c r="H46" t="str">
        <f>"(.03135)"</f>
        <v>(.03135)</v>
      </c>
      <c r="I46" t="str">
        <f>"(.01728)"</f>
        <v>(.01728)</v>
      </c>
      <c r="J46" t="str">
        <f>"(.01662)"</f>
        <v>(.01662)</v>
      </c>
      <c r="K46" t="str">
        <f>"(.01958)"</f>
        <v>(.01958)</v>
      </c>
    </row>
    <row r="47" spans="1:11" x14ac:dyDescent="0.2">
      <c r="C47" t="str">
        <f>".2067"</f>
        <v>.2067</v>
      </c>
      <c r="D47" t="str">
        <f>".1018"</f>
        <v>.1018</v>
      </c>
      <c r="E47" t="str">
        <f>".1073"</f>
        <v>.1073</v>
      </c>
      <c r="F47" t="str">
        <f>".07147"</f>
        <v>.07147</v>
      </c>
      <c r="G47" t="str">
        <f>".6379"</f>
        <v>.6379</v>
      </c>
      <c r="H47" t="str">
        <f>".6304"</f>
        <v>.6304</v>
      </c>
      <c r="I47" t="str">
        <f>".00075"</f>
        <v>.00075</v>
      </c>
      <c r="J47" t="str">
        <f>".737"</f>
        <v>.737</v>
      </c>
      <c r="K47" t="str">
        <f>".7293"</f>
        <v>.7293</v>
      </c>
    </row>
    <row r="48" spans="1:11" x14ac:dyDescent="0.2">
      <c r="C48" t="str">
        <f>".07289"</f>
        <v>.07289</v>
      </c>
      <c r="D48" t="str">
        <f>".07756"</f>
        <v>.07756</v>
      </c>
      <c r="E48" t="str">
        <f>".07732"</f>
        <v>.07732</v>
      </c>
      <c r="F48" t="str">
        <f>".1292"</f>
        <v>.1292</v>
      </c>
      <c r="G48" t="str">
        <f>".08071"</f>
        <v>.08071</v>
      </c>
      <c r="H48" t="str">
        <f>".08154"</f>
        <v>.08154</v>
      </c>
      <c r="I48" t="str">
        <f>".09699"</f>
        <v>.09699</v>
      </c>
      <c r="J48" t="str">
        <f>".04976"</f>
        <v>.04976</v>
      </c>
      <c r="K48" t="str">
        <f>".05048"</f>
        <v>.05048</v>
      </c>
    </row>
    <row r="49" spans="1:11" x14ac:dyDescent="0.2">
      <c r="A49" t="str">
        <f>"lnmw"</f>
        <v>lnmw</v>
      </c>
      <c r="B49" t="str">
        <f>"2.089"</f>
        <v>2.089</v>
      </c>
      <c r="C49" t="str">
        <f>".07224"</f>
        <v>.07224</v>
      </c>
      <c r="D49" t="str">
        <f>".2625**"</f>
        <v>.2625**</v>
      </c>
      <c r="E49" t="str">
        <f>".2417*"</f>
        <v>.2417*</v>
      </c>
      <c r="F49" t="str">
        <f>".6453***"</f>
        <v>.6453***</v>
      </c>
      <c r="G49" t="str">
        <f>".3435**"</f>
        <v>.3435**</v>
      </c>
      <c r="H49" t="str">
        <f>".4666***"</f>
        <v>.4666***</v>
      </c>
      <c r="I49" t="str">
        <f>".4692***"</f>
        <v>.4692***</v>
      </c>
      <c r="J49" t="str">
        <f>".3199***"</f>
        <v>.3199***</v>
      </c>
      <c r="K49" t="str">
        <f>".4191***"</f>
        <v>.4191***</v>
      </c>
    </row>
    <row r="50" spans="1:11" x14ac:dyDescent="0.2">
      <c r="A50" t="str">
        <f>""</f>
        <v/>
      </c>
      <c r="B50" t="str">
        <f>".1112"</f>
        <v>.1112</v>
      </c>
      <c r="C50" t="str">
        <f>"(.08676)"</f>
        <v>(.08676)</v>
      </c>
      <c r="D50" t="str">
        <f>"(.1052)"</f>
        <v>(.1052)</v>
      </c>
      <c r="E50" t="str">
        <f>"(.1438)"</f>
        <v>(.1438)</v>
      </c>
      <c r="F50" t="str">
        <f>"(.1369)"</f>
        <v>(.1369)</v>
      </c>
      <c r="G50" t="str">
        <f>"(.1392)"</f>
        <v>(.1392)</v>
      </c>
      <c r="H50" t="str">
        <f>"(.1342)"</f>
        <v>(.1342)</v>
      </c>
      <c r="I50" t="str">
        <f>"(.103)"</f>
        <v>(.103)</v>
      </c>
      <c r="J50" t="str">
        <f>"(.09433)"</f>
        <v>(.09433)</v>
      </c>
      <c r="K50" t="str">
        <f>"(.09526)"</f>
        <v>(.09526)</v>
      </c>
    </row>
    <row r="51" spans="1:11" x14ac:dyDescent="0.2">
      <c r="C51" t="str">
        <f>"-.007744"</f>
        <v>-.007744</v>
      </c>
      <c r="D51" t="str">
        <f>".1274"</f>
        <v>.1274</v>
      </c>
      <c r="E51" t="str">
        <f>".1249"</f>
        <v>.1249</v>
      </c>
      <c r="F51" t="str">
        <f>".2736"</f>
        <v>.2736</v>
      </c>
      <c r="G51" t="str">
        <f>".5751"</f>
        <v>.5751</v>
      </c>
      <c r="H51" t="str">
        <f>".5755"</f>
        <v>.5755</v>
      </c>
      <c r="I51" t="str">
        <f>".2766"</f>
        <v>.2766</v>
      </c>
      <c r="J51" t="str">
        <f>".5747"</f>
        <v>.5747</v>
      </c>
      <c r="K51" t="str">
        <f>".5794"</f>
        <v>.5794</v>
      </c>
    </row>
    <row r="52" spans="1:11" x14ac:dyDescent="0.2">
      <c r="C52" t="str">
        <f>".08215"</f>
        <v>.08215</v>
      </c>
      <c r="D52" t="str">
        <f>".07644"</f>
        <v>.07644</v>
      </c>
      <c r="E52" t="str">
        <f>".07655"</f>
        <v>.07655</v>
      </c>
      <c r="F52" t="str">
        <f>".1143"</f>
        <v>.1143</v>
      </c>
      <c r="G52" t="str">
        <f>".08743"</f>
        <v>.08743</v>
      </c>
      <c r="H52" t="str">
        <f>".08738"</f>
        <v>.08738</v>
      </c>
      <c r="I52" t="str">
        <f>".08253"</f>
        <v>.08253</v>
      </c>
      <c r="J52" t="str">
        <f>".06328"</f>
        <v>.06328</v>
      </c>
      <c r="K52" t="str">
        <f>".06292"</f>
        <v>.06292</v>
      </c>
    </row>
    <row r="53" spans="1:11" x14ac:dyDescent="0.2">
      <c r="A53" t="str">
        <f>"Es_psi_q1q5"</f>
        <v>Es_psi_q1q5</v>
      </c>
      <c r="B53" t="str">
        <f>".3006"</f>
        <v>.3006</v>
      </c>
      <c r="C53" t="str">
        <f>".9206*"</f>
        <v>.9206*</v>
      </c>
      <c r="D53" t="str">
        <f>"2***"</f>
        <v>2***</v>
      </c>
      <c r="E53" t="str">
        <f>"2.077***"</f>
        <v>2.077***</v>
      </c>
      <c r="F53" t="str">
        <f>"4.053***"</f>
        <v>4.053***</v>
      </c>
      <c r="G53" t="str">
        <f>"3.159***"</f>
        <v>3.159***</v>
      </c>
      <c r="H53" t="str">
        <f>"3.297***"</f>
        <v>3.297***</v>
      </c>
      <c r="I53" t="str">
        <f>"2.506***"</f>
        <v>2.506***</v>
      </c>
      <c r="J53" t="str">
        <f>"1.751***"</f>
        <v>1.751***</v>
      </c>
      <c r="K53" t="str">
        <f>"1.851***"</f>
        <v>1.851***</v>
      </c>
    </row>
    <row r="54" spans="1:11" x14ac:dyDescent="0.2">
      <c r="A54" t="str">
        <f>""</f>
        <v/>
      </c>
      <c r="B54" t="str">
        <f>".02114"</f>
        <v>.02114</v>
      </c>
      <c r="C54" t="str">
        <f>"(.5173)"</f>
        <v>(.5173)</v>
      </c>
      <c r="D54" t="str">
        <f>"(.5438)"</f>
        <v>(.5438)</v>
      </c>
      <c r="E54" t="str">
        <f>"(.5314)"</f>
        <v>(.5314)</v>
      </c>
      <c r="F54" t="str">
        <f>"(.6201)"</f>
        <v>(.6201)</v>
      </c>
      <c r="G54" t="str">
        <f>"(.5286)"</f>
        <v>(.5286)</v>
      </c>
      <c r="H54" t="str">
        <f>"(.5127)"</f>
        <v>(.5127)</v>
      </c>
      <c r="I54" t="str">
        <f>"(.4273)"</f>
        <v>(.4273)</v>
      </c>
      <c r="J54" t="str">
        <f>"(.4713)"</f>
        <v>(.4713)</v>
      </c>
      <c r="K54" t="str">
        <f>"(.4174)"</f>
        <v>(.4174)</v>
      </c>
    </row>
    <row r="55" spans="1:11" x14ac:dyDescent="0.2">
      <c r="C55" t="str">
        <f>".04"</f>
        <v>.04</v>
      </c>
      <c r="D55" t="str">
        <f>".245"</f>
        <v>.245</v>
      </c>
      <c r="E55" t="str">
        <f>".3229"</f>
        <v>.3229</v>
      </c>
      <c r="F55" t="str">
        <f>".3977"</f>
        <v>.3977</v>
      </c>
      <c r="G55" t="str">
        <f>".7176"</f>
        <v>.7176</v>
      </c>
      <c r="H55" t="str">
        <f>".7335"</f>
        <v>.7335</v>
      </c>
      <c r="I55" t="str">
        <f>".2858"</f>
        <v>.2858</v>
      </c>
      <c r="J55" t="str">
        <f>".58"</f>
        <v>.58</v>
      </c>
      <c r="K55" t="str">
        <f>".5938"</f>
        <v>.5938</v>
      </c>
    </row>
    <row r="56" spans="1:11" x14ac:dyDescent="0.2">
      <c r="C56" t="str">
        <f>".08018"</f>
        <v>.08018</v>
      </c>
      <c r="D56" t="str">
        <f>".07111"</f>
        <v>.07111</v>
      </c>
      <c r="E56" t="str">
        <f>".06734"</f>
        <v>.06734</v>
      </c>
      <c r="F56" t="str">
        <f>".1041"</f>
        <v>.1041</v>
      </c>
      <c r="G56" t="str">
        <f>".07127"</f>
        <v>.07127</v>
      </c>
      <c r="H56" t="str">
        <f>".06923"</f>
        <v>.06923</v>
      </c>
      <c r="I56" t="str">
        <f>".082"</f>
        <v>.082</v>
      </c>
      <c r="J56" t="str">
        <f>".06288"</f>
        <v>.06288</v>
      </c>
      <c r="K56" t="str">
        <f>".06184"</f>
        <v>.06184</v>
      </c>
    </row>
    <row r="57" spans="1:11" x14ac:dyDescent="0.2">
      <c r="A57" t="str">
        <f>"b_pjc_pj"</f>
        <v>b_pjc_pj</v>
      </c>
      <c r="B57" t="str">
        <f>"0.880"</f>
        <v>0.880</v>
      </c>
      <c r="F57" t="str">
        <f>"-.001298"</f>
        <v>-.001298</v>
      </c>
      <c r="G57" t="str">
        <f>".5687***"</f>
        <v>.5687***</v>
      </c>
      <c r="H57" t="str">
        <f>".6166***"</f>
        <v>.6166***</v>
      </c>
      <c r="I57" t="str">
        <f>"-.01838"</f>
        <v>-.01838</v>
      </c>
      <c r="J57" t="str">
        <f>".3574**"</f>
        <v>.3574**</v>
      </c>
      <c r="K57" t="str">
        <f>".355*"</f>
        <v>.355*</v>
      </c>
    </row>
    <row r="58" spans="1:11" x14ac:dyDescent="0.2">
      <c r="B58" t="str">
        <f>"0.0818"</f>
        <v>0.0818</v>
      </c>
      <c r="F58" t="str">
        <f>"(.2338)"</f>
        <v>(.2338)</v>
      </c>
      <c r="G58" t="str">
        <f>"(.1679)"</f>
        <v>(.1679)</v>
      </c>
      <c r="H58" t="str">
        <f>"(.2044)"</f>
        <v>(.2044)</v>
      </c>
      <c r="I58" t="str">
        <f>"(.1922)"</f>
        <v>(.1922)</v>
      </c>
      <c r="J58" t="str">
        <f>"(.1575)"</f>
        <v>(.1575)</v>
      </c>
      <c r="K58" t="str">
        <f>"(.2067)"</f>
        <v>(.2067)</v>
      </c>
    </row>
    <row r="59" spans="1:11" x14ac:dyDescent="0.2">
      <c r="F59" t="str">
        <f>"-.01754"</f>
        <v>-.01754</v>
      </c>
      <c r="G59" t="str">
        <f>".6207"</f>
        <v>.6207</v>
      </c>
      <c r="H59" t="str">
        <f>".6222"</f>
        <v>.6222</v>
      </c>
      <c r="I59" t="str">
        <f>"-.0173"</f>
        <v>-.0173</v>
      </c>
      <c r="J59" t="str">
        <f>".5431"</f>
        <v>.5431</v>
      </c>
      <c r="K59" t="str">
        <f>".5309"</f>
        <v>.5309</v>
      </c>
    </row>
    <row r="60" spans="1:11" x14ac:dyDescent="0.2">
      <c r="F60" t="str">
        <f>".1353"</f>
        <v>.1353</v>
      </c>
      <c r="G60" t="str">
        <f>".0826"</f>
        <v>.0826</v>
      </c>
      <c r="H60" t="str">
        <f>".08243"</f>
        <v>.08243</v>
      </c>
      <c r="I60" t="str">
        <f>".09786"</f>
        <v>.09786</v>
      </c>
      <c r="J60" t="str">
        <f>".06559"</f>
        <v>.06559</v>
      </c>
      <c r="K60" t="str">
        <f>".06645"</f>
        <v>.06645</v>
      </c>
    </row>
    <row r="61" spans="1:11" x14ac:dyDescent="0.2">
      <c r="A61" t="str">
        <f>"b_ajc_pj"</f>
        <v>b_ajc_pj</v>
      </c>
      <c r="B61" t="str">
        <f>".7988"</f>
        <v>.7988</v>
      </c>
      <c r="C61" t="str">
        <f>"-.0004831"</f>
        <v>-.0004831</v>
      </c>
      <c r="D61" t="str">
        <f>".4197***"</f>
        <v>.4197***</v>
      </c>
      <c r="E61" t="str">
        <f>".4214***"</f>
        <v>.4214***</v>
      </c>
      <c r="I61" t="str">
        <f>".6661***"</f>
        <v>.6661***</v>
      </c>
      <c r="J61" t="str">
        <f>".6546***"</f>
        <v>.6546***</v>
      </c>
      <c r="K61" t="str">
        <f>".6491***"</f>
        <v>.6491***</v>
      </c>
    </row>
    <row r="62" spans="1:11" x14ac:dyDescent="0.2">
      <c r="A62" t="str">
        <f>""</f>
        <v/>
      </c>
      <c r="B62" t="str">
        <f>".1341"</f>
        <v>.1341</v>
      </c>
      <c r="C62" t="str">
        <f>"(.08708)"</f>
        <v>(.08708)</v>
      </c>
      <c r="D62" t="str">
        <f>"(.08975)"</f>
        <v>(.08975)</v>
      </c>
      <c r="E62" t="str">
        <f>"(.09287)"</f>
        <v>(.09287)</v>
      </c>
      <c r="I62" t="str">
        <f>"(.04868)"</f>
        <v>(.04868)</v>
      </c>
      <c r="J62" t="str">
        <f>"(.06384)"</f>
        <v>(.06384)</v>
      </c>
      <c r="K62" t="str">
        <f>"(.06223)"</f>
        <v>(.06223)</v>
      </c>
    </row>
    <row r="63" spans="1:11" x14ac:dyDescent="0.2">
      <c r="C63" t="str">
        <f>"-.01754"</f>
        <v>-.01754</v>
      </c>
      <c r="D63" t="str">
        <f>".2482"</f>
        <v>.2482</v>
      </c>
      <c r="E63" t="str">
        <f>".3065"</f>
        <v>.3065</v>
      </c>
      <c r="I63" t="str">
        <f>".845"</f>
        <v>.845</v>
      </c>
      <c r="J63" t="str">
        <f>".8612"</f>
        <v>.8612</v>
      </c>
      <c r="K63" t="str">
        <f>".8578"</f>
        <v>.8578</v>
      </c>
    </row>
    <row r="64" spans="1:11" x14ac:dyDescent="0.2">
      <c r="C64" t="str">
        <f>".08255"</f>
        <v>.08255</v>
      </c>
      <c r="D64" t="str">
        <f>".07095"</f>
        <v>.07095</v>
      </c>
      <c r="E64" t="str">
        <f>".06815"</f>
        <v>.06815</v>
      </c>
      <c r="I64" t="str">
        <f>".0382"</f>
        <v>.0382</v>
      </c>
      <c r="J64" t="str">
        <f>".03615"</f>
        <v>.03615</v>
      </c>
      <c r="K64" t="str">
        <f>".03659"</f>
        <v>.03659</v>
      </c>
    </row>
    <row r="65" spans="1:11" x14ac:dyDescent="0.2">
      <c r="A65" t="str">
        <f>"b_ajc_aj"</f>
        <v>b_ajc_aj</v>
      </c>
      <c r="B65" t="str">
        <f>"0.863"</f>
        <v>0.863</v>
      </c>
      <c r="C65" t="str">
        <f>"-.01307"</f>
        <v>-.01307</v>
      </c>
      <c r="D65" t="str">
        <f>".4592**"</f>
        <v>.4592**</v>
      </c>
      <c r="E65" t="str">
        <f>".4279*"</f>
        <v>.4279*</v>
      </c>
      <c r="F65" t="str">
        <f>"1.273***"</f>
        <v>1.273***</v>
      </c>
      <c r="G65" t="str">
        <f>"1.14***"</f>
        <v>1.14***</v>
      </c>
      <c r="H65" t="str">
        <f>"1.144***"</f>
        <v>1.144***</v>
      </c>
    </row>
    <row r="66" spans="1:11" x14ac:dyDescent="0.2">
      <c r="B66" t="str">
        <f>"0.0970"</f>
        <v>0.0970</v>
      </c>
      <c r="C66" t="str">
        <f>"(.1363)"</f>
        <v>(.1363)</v>
      </c>
      <c r="D66" t="str">
        <f>"(.2108)"</f>
        <v>(.2108)</v>
      </c>
      <c r="E66" t="str">
        <f>"(.2222)"</f>
        <v>(.2222)</v>
      </c>
      <c r="F66" t="str">
        <f>"(.09862)"</f>
        <v>(.09862)</v>
      </c>
      <c r="G66" t="str">
        <f>"(.1432)"</f>
        <v>(.1432)</v>
      </c>
      <c r="H66" t="str">
        <f>"(.1355)"</f>
        <v>(.1355)</v>
      </c>
    </row>
    <row r="67" spans="1:11" x14ac:dyDescent="0.2">
      <c r="C67" t="str">
        <f>"-.0173"</f>
        <v>-.0173</v>
      </c>
      <c r="D67" t="str">
        <f>".1746"</f>
        <v>.1746</v>
      </c>
      <c r="E67" t="str">
        <f>".2053"</f>
        <v>.2053</v>
      </c>
      <c r="F67" t="str">
        <f>".845"</f>
        <v>.845</v>
      </c>
      <c r="G67" t="str">
        <f>".8735"</f>
        <v>.8735</v>
      </c>
      <c r="H67" t="str">
        <f>".8687"</f>
        <v>.8687</v>
      </c>
    </row>
    <row r="68" spans="1:11" x14ac:dyDescent="0.2">
      <c r="C68" t="str">
        <f>".08254"</f>
        <v>.08254</v>
      </c>
      <c r="D68" t="str">
        <f>".07435"</f>
        <v>.07435</v>
      </c>
      <c r="E68" t="str">
        <f>".07295"</f>
        <v>.07295</v>
      </c>
      <c r="F68" t="str">
        <f>".0528"</f>
        <v>.0528</v>
      </c>
      <c r="G68" t="str">
        <f>".0477"</f>
        <v>.0477</v>
      </c>
      <c r="H68" t="str">
        <f>".04859"</f>
        <v>.04859</v>
      </c>
    </row>
    <row r="70" spans="1:11" x14ac:dyDescent="0.2">
      <c r="A70" t="str">
        <f>"Division-CZ dummies"</f>
        <v>Division-CZ dummies</v>
      </c>
      <c r="C70" t="str">
        <f>"No"</f>
        <v>No</v>
      </c>
      <c r="D70" t="str">
        <f>"Yes"</f>
        <v>Yes</v>
      </c>
      <c r="E70" t="str">
        <f>"Yes"</f>
        <v>Yes</v>
      </c>
      <c r="F70" t="str">
        <f>"No"</f>
        <v>No</v>
      </c>
      <c r="G70" t="str">
        <f>"Yes"</f>
        <v>Yes</v>
      </c>
      <c r="H70" t="str">
        <f>"Yes"</f>
        <v>Yes</v>
      </c>
      <c r="I70" t="str">
        <f>"No"</f>
        <v>No</v>
      </c>
      <c r="J70" t="str">
        <f>"Yes"</f>
        <v>Yes</v>
      </c>
      <c r="K70" t="str">
        <f>"Yes"</f>
        <v>Yes</v>
      </c>
    </row>
    <row r="71" spans="1:11" x14ac:dyDescent="0.2">
      <c r="A71" t="str">
        <f>"Region dummies"</f>
        <v>Region dummies</v>
      </c>
      <c r="C71" t="str">
        <f>"No"</f>
        <v>No</v>
      </c>
      <c r="D71" t="str">
        <f>"No"</f>
        <v>No</v>
      </c>
      <c r="E71" t="str">
        <f>"Yes"</f>
        <v>Yes</v>
      </c>
      <c r="F71" t="str">
        <f>"No"</f>
        <v>No</v>
      </c>
      <c r="G71" t="str">
        <f>"No"</f>
        <v>No</v>
      </c>
      <c r="H71" t="str">
        <f>"Yes"</f>
        <v>Yes</v>
      </c>
      <c r="I71" t="str">
        <f>"No"</f>
        <v>No</v>
      </c>
      <c r="J71" t="str">
        <f>"No"</f>
        <v>No</v>
      </c>
      <c r="K71" t="str">
        <f>"Yes"</f>
        <v>Yes</v>
      </c>
    </row>
    <row r="72" spans="1:11" x14ac:dyDescent="0.2">
      <c r="A72" t="str">
        <f>"N"</f>
        <v>N</v>
      </c>
      <c r="B72" s="7">
        <v>60</v>
      </c>
      <c r="C72" s="7"/>
      <c r="D72" s="7"/>
      <c r="E72" s="7"/>
      <c r="F72" s="7"/>
      <c r="G72" s="7"/>
      <c r="H72" s="7"/>
      <c r="I72" s="7"/>
      <c r="J72" s="7"/>
      <c r="K72" s="7"/>
    </row>
  </sheetData>
  <mergeCells count="4">
    <mergeCell ref="I3:K3"/>
    <mergeCell ref="C3:E3"/>
    <mergeCell ref="F3:H3"/>
    <mergeCell ref="B72:K72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DC7F-0AFF-4E61-97EF-90FFDB8A9B99}">
  <dimension ref="A1:AN94"/>
  <sheetViews>
    <sheetView zoomScale="86" zoomScaleNormal="86" workbookViewId="0">
      <pane xSplit="1" topLeftCell="B1" activePane="topRight" state="frozen"/>
      <selection pane="topRight"/>
    </sheetView>
  </sheetViews>
  <sheetFormatPr baseColWidth="10" defaultColWidth="11.5" defaultRowHeight="15" x14ac:dyDescent="0.2"/>
  <cols>
    <col min="1" max="1" width="20" bestFit="1" customWidth="1"/>
  </cols>
  <sheetData>
    <row r="1" spans="1:40" x14ac:dyDescent="0.2">
      <c r="A1" t="str">
        <f>"Output 9b - Multivariate Regressions, Top59 100%"</f>
        <v>Output 9b - Multivariate Regressions, Top59 100%</v>
      </c>
    </row>
    <row r="2" spans="1:40" s="1" customFormat="1" x14ac:dyDescent="0.2">
      <c r="B2" s="1" t="str">
        <f>"(1)"</f>
        <v>(1)</v>
      </c>
      <c r="C2" s="1" t="str">
        <f>"(2)"</f>
        <v>(2)</v>
      </c>
      <c r="D2" s="1" t="str">
        <f>"(3)"</f>
        <v>(3)</v>
      </c>
      <c r="E2" s="1" t="str">
        <f>"(4)"</f>
        <v>(4)</v>
      </c>
      <c r="F2" s="1" t="str">
        <f>"(5)"</f>
        <v>(5)</v>
      </c>
      <c r="G2" s="1" t="str">
        <f>"(6)"</f>
        <v>(6)</v>
      </c>
      <c r="H2" s="1" t="str">
        <f>"(7)"</f>
        <v>(7)</v>
      </c>
      <c r="I2" s="1" t="str">
        <f>"(8)"</f>
        <v>(8)</v>
      </c>
      <c r="J2" s="1" t="str">
        <f>"(9)"</f>
        <v>(9)</v>
      </c>
      <c r="K2" s="1" t="str">
        <f>"(10)"</f>
        <v>(10)</v>
      </c>
      <c r="L2" s="1" t="str">
        <f>"(11)"</f>
        <v>(11)</v>
      </c>
      <c r="M2" s="1" t="str">
        <f>"(12)"</f>
        <v>(12)</v>
      </c>
      <c r="N2" s="1" t="str">
        <f>"(13)"</f>
        <v>(13)</v>
      </c>
      <c r="O2" s="1" t="str">
        <f>"(14)"</f>
        <v>(14)</v>
      </c>
      <c r="P2" s="1" t="str">
        <f>"(15)"</f>
        <v>(15)</v>
      </c>
      <c r="Q2" s="1" t="str">
        <f>"(16)"</f>
        <v>(16)</v>
      </c>
      <c r="R2" s="1" t="str">
        <f>"(17)"</f>
        <v>(17)</v>
      </c>
      <c r="S2" s="1" t="str">
        <f>"(18)"</f>
        <v>(18)</v>
      </c>
      <c r="T2" s="1" t="str">
        <f>"(19)"</f>
        <v>(19)</v>
      </c>
      <c r="U2" s="1" t="str">
        <f>"(20)"</f>
        <v>(20)</v>
      </c>
      <c r="V2" s="1" t="str">
        <f>"(21)"</f>
        <v>(21)</v>
      </c>
      <c r="W2" s="1" t="str">
        <f>"(22)"</f>
        <v>(22)</v>
      </c>
      <c r="X2" s="1" t="str">
        <f>"(23)"</f>
        <v>(23)</v>
      </c>
      <c r="Y2" s="1" t="str">
        <f>"(24)"</f>
        <v>(24)</v>
      </c>
      <c r="Z2" s="1" t="str">
        <f>"(25)"</f>
        <v>(25)</v>
      </c>
      <c r="AA2" s="1" t="str">
        <f>"(26)"</f>
        <v>(26)</v>
      </c>
      <c r="AB2" s="1" t="str">
        <f>"(27)"</f>
        <v>(27)</v>
      </c>
      <c r="AC2" s="1" t="str">
        <f>"(28)"</f>
        <v>(28)</v>
      </c>
      <c r="AD2" s="1" t="str">
        <f>"(29)"</f>
        <v>(29)</v>
      </c>
      <c r="AE2" s="1" t="str">
        <f>"(30)"</f>
        <v>(30)</v>
      </c>
      <c r="AF2" s="1" t="str">
        <f>"(31)"</f>
        <v>(31)</v>
      </c>
      <c r="AG2" s="1" t="str">
        <f>"(32)"</f>
        <v>(32)</v>
      </c>
      <c r="AH2" s="1" t="str">
        <f>"(33)"</f>
        <v>(33)</v>
      </c>
      <c r="AI2" s="1" t="str">
        <f>"(34)"</f>
        <v>(34)</v>
      </c>
      <c r="AJ2" s="1" t="str">
        <f>"(35)"</f>
        <v>(35)</v>
      </c>
      <c r="AK2" s="1" t="str">
        <f>"(36)"</f>
        <v>(36)</v>
      </c>
      <c r="AL2" s="1" t="str">
        <f>"(37)"</f>
        <v>(37)</v>
      </c>
      <c r="AM2" s="1" t="str">
        <f>"(38)"</f>
        <v>(38)</v>
      </c>
      <c r="AN2" s="1" t="str">
        <f>"(39)"</f>
        <v>(39)</v>
      </c>
    </row>
    <row r="3" spans="1:40" x14ac:dyDescent="0.2">
      <c r="A3" t="str">
        <f>""</f>
        <v/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5" spans="1:40" x14ac:dyDescent="0.2">
      <c r="A5" t="str">
        <f>"alpha_c"</f>
        <v>alpha_c</v>
      </c>
      <c r="B5" t="str">
        <f>"-.1234"</f>
        <v>-.1234</v>
      </c>
      <c r="C5" t="str">
        <f>".05898"</f>
        <v>.05898</v>
      </c>
      <c r="D5" t="str">
        <f>"-.2305"</f>
        <v>-.2305</v>
      </c>
      <c r="E5" t="str">
        <f>""</f>
        <v/>
      </c>
      <c r="F5" t="str">
        <f>""</f>
        <v/>
      </c>
      <c r="G5" t="str">
        <f>""</f>
        <v/>
      </c>
      <c r="H5" t="str">
        <f>""</f>
        <v/>
      </c>
      <c r="I5" t="str">
        <f>""</f>
        <v/>
      </c>
      <c r="J5" t="str">
        <f>""</f>
        <v/>
      </c>
      <c r="K5" t="str">
        <f>""</f>
        <v/>
      </c>
      <c r="L5" t="str">
        <f>""</f>
        <v/>
      </c>
      <c r="M5" t="str">
        <f>""</f>
        <v/>
      </c>
      <c r="N5" t="str">
        <f>"-.3841***"</f>
        <v>-.3841***</v>
      </c>
      <c r="O5" t="str">
        <f>"-.09456"</f>
        <v>-.09456</v>
      </c>
      <c r="P5" t="str">
        <f>"-.08004"</f>
        <v>-.08004</v>
      </c>
      <c r="Q5" t="str">
        <f>"-.19**"</f>
        <v>-.19**</v>
      </c>
      <c r="R5" t="str">
        <f>".2242"</f>
        <v>.2242</v>
      </c>
      <c r="S5" t="str">
        <f>".158"</f>
        <v>.158</v>
      </c>
      <c r="T5" t="str">
        <f>""</f>
        <v/>
      </c>
      <c r="U5" t="str">
        <f>""</f>
        <v/>
      </c>
      <c r="V5" t="str">
        <f>""</f>
        <v/>
      </c>
      <c r="W5" t="str">
        <f>"-.4822***"</f>
        <v>-.4822***</v>
      </c>
      <c r="X5" t="str">
        <f>"-.03453"</f>
        <v>-.03453</v>
      </c>
      <c r="Y5" t="str">
        <f>"-.04833"</f>
        <v>-.04833</v>
      </c>
      <c r="Z5" t="str">
        <f>""</f>
        <v/>
      </c>
      <c r="AA5" t="str">
        <f>""</f>
        <v/>
      </c>
      <c r="AB5" t="str">
        <f>""</f>
        <v/>
      </c>
      <c r="AC5" t="str">
        <f>""</f>
        <v/>
      </c>
      <c r="AD5" t="str">
        <f>""</f>
        <v/>
      </c>
      <c r="AE5" t="str">
        <f>""</f>
        <v/>
      </c>
      <c r="AF5" t="str">
        <f>""</f>
        <v/>
      </c>
      <c r="AG5" t="str">
        <f>""</f>
        <v/>
      </c>
      <c r="AH5" t="str">
        <f>""</f>
        <v/>
      </c>
      <c r="AI5" t="str">
        <f>""</f>
        <v/>
      </c>
      <c r="AJ5" t="str">
        <f>""</f>
        <v/>
      </c>
      <c r="AK5" t="str">
        <f>""</f>
        <v/>
      </c>
      <c r="AL5" t="str">
        <f>""</f>
        <v/>
      </c>
      <c r="AM5" t="str">
        <f>""</f>
        <v/>
      </c>
      <c r="AN5" t="str">
        <f>""</f>
        <v/>
      </c>
    </row>
    <row r="6" spans="1:40" x14ac:dyDescent="0.2">
      <c r="A6" t="str">
        <f>""</f>
        <v/>
      </c>
      <c r="B6" t="str">
        <f>"(.1936)"</f>
        <v>(.1936)</v>
      </c>
      <c r="C6" t="str">
        <f>"(.3495)"</f>
        <v>(.3495)</v>
      </c>
      <c r="D6" t="str">
        <f>"(.3905)"</f>
        <v>(.3905)</v>
      </c>
      <c r="E6" t="str">
        <f>""</f>
        <v/>
      </c>
      <c r="F6" t="str">
        <f>""</f>
        <v/>
      </c>
      <c r="G6" t="str">
        <f>""</f>
        <v/>
      </c>
      <c r="H6" t="str">
        <f>""</f>
        <v/>
      </c>
      <c r="I6" t="str">
        <f>""</f>
        <v/>
      </c>
      <c r="J6" t="str">
        <f>""</f>
        <v/>
      </c>
      <c r="K6" t="str">
        <f>""</f>
        <v/>
      </c>
      <c r="L6" t="str">
        <f>""</f>
        <v/>
      </c>
      <c r="M6" t="str">
        <f>""</f>
        <v/>
      </c>
      <c r="N6" t="str">
        <f>"(.0659)"</f>
        <v>(.0659)</v>
      </c>
      <c r="O6" t="str">
        <f>"(.1369)"</f>
        <v>(.1369)</v>
      </c>
      <c r="P6" t="str">
        <f>"(.08615)"</f>
        <v>(.08615)</v>
      </c>
      <c r="Q6" t="str">
        <f>"(.09468)"</f>
        <v>(.09468)</v>
      </c>
      <c r="R6" t="str">
        <f>"(.2216)"</f>
        <v>(.2216)</v>
      </c>
      <c r="S6" t="str">
        <f>"(.2194)"</f>
        <v>(.2194)</v>
      </c>
      <c r="T6" t="str">
        <f>""</f>
        <v/>
      </c>
      <c r="U6" t="str">
        <f>""</f>
        <v/>
      </c>
      <c r="V6" t="str">
        <f>""</f>
        <v/>
      </c>
      <c r="W6" t="str">
        <f>"(.1016)"</f>
        <v>(.1016)</v>
      </c>
      <c r="X6" t="str">
        <f>"(.1171)"</f>
        <v>(.1171)</v>
      </c>
      <c r="Y6" t="str">
        <f>"(.08327)"</f>
        <v>(.08327)</v>
      </c>
      <c r="Z6" t="str">
        <f>""</f>
        <v/>
      </c>
      <c r="AA6" t="str">
        <f>""</f>
        <v/>
      </c>
      <c r="AB6" t="str">
        <f>""</f>
        <v/>
      </c>
      <c r="AC6" t="str">
        <f>""</f>
        <v/>
      </c>
      <c r="AD6" t="str">
        <f>""</f>
        <v/>
      </c>
      <c r="AE6" t="str">
        <f>""</f>
        <v/>
      </c>
      <c r="AF6" t="str">
        <f>""</f>
        <v/>
      </c>
      <c r="AG6" t="str">
        <f>""</f>
        <v/>
      </c>
      <c r="AH6" t="str">
        <f>""</f>
        <v/>
      </c>
      <c r="AI6" t="str">
        <f>""</f>
        <v/>
      </c>
      <c r="AJ6" t="str">
        <f>""</f>
        <v/>
      </c>
      <c r="AK6" t="str">
        <f>""</f>
        <v/>
      </c>
      <c r="AL6" t="str">
        <f>""</f>
        <v/>
      </c>
      <c r="AM6" t="str">
        <f>""</f>
        <v/>
      </c>
      <c r="AN6" t="str">
        <f>""</f>
        <v/>
      </c>
    </row>
    <row r="7" spans="1:40" x14ac:dyDescent="0.2">
      <c r="A7" t="str">
        <f>"Ealpha_c"</f>
        <v>Ealpha_c</v>
      </c>
      <c r="B7" t="str">
        <f>".218"</f>
        <v>.218</v>
      </c>
      <c r="C7" t="str">
        <f>"1.099"</f>
        <v>1.099</v>
      </c>
      <c r="D7" t="str">
        <f>"2.153*"</f>
        <v>2.153*</v>
      </c>
      <c r="E7" t="str">
        <f>""</f>
        <v/>
      </c>
      <c r="F7" t="str">
        <f>""</f>
        <v/>
      </c>
      <c r="G7" t="str">
        <f>""</f>
        <v/>
      </c>
      <c r="H7" t="str">
        <f>""</f>
        <v/>
      </c>
      <c r="I7" t="str">
        <f>""</f>
        <v/>
      </c>
      <c r="J7" t="str">
        <f>""</f>
        <v/>
      </c>
      <c r="K7" t="str">
        <f>""</f>
        <v/>
      </c>
      <c r="L7" t="str">
        <f>""</f>
        <v/>
      </c>
      <c r="M7" t="str">
        <f>""</f>
        <v/>
      </c>
      <c r="N7" t="str">
        <f>""</f>
        <v/>
      </c>
      <c r="O7" t="str">
        <f>""</f>
        <v/>
      </c>
      <c r="P7" t="str">
        <f>""</f>
        <v/>
      </c>
      <c r="Q7" t="str">
        <f>""</f>
        <v/>
      </c>
      <c r="R7" t="str">
        <f>""</f>
        <v/>
      </c>
      <c r="S7" t="str">
        <f>""</f>
        <v/>
      </c>
      <c r="T7" t="str">
        <f>""</f>
        <v/>
      </c>
      <c r="U7" t="str">
        <f>""</f>
        <v/>
      </c>
      <c r="V7" t="str">
        <f>""</f>
        <v/>
      </c>
      <c r="W7" t="str">
        <f>""</f>
        <v/>
      </c>
      <c r="X7" t="str">
        <f>""</f>
        <v/>
      </c>
      <c r="Y7" t="str">
        <f>""</f>
        <v/>
      </c>
      <c r="Z7" t="str">
        <f>"-.8325**"</f>
        <v>-.8325**</v>
      </c>
      <c r="AA7" t="str">
        <f>".1168"</f>
        <v>.1168</v>
      </c>
      <c r="AB7" t="str">
        <f>"-.2297"</f>
        <v>-.2297</v>
      </c>
      <c r="AC7" t="str">
        <f>".4706"</f>
        <v>.4706</v>
      </c>
      <c r="AD7" t="str">
        <f>"1.536*"</f>
        <v>1.536*</v>
      </c>
      <c r="AE7" t="str">
        <f>"2.005**"</f>
        <v>2.005**</v>
      </c>
      <c r="AF7" t="str">
        <f>"-1.504**"</f>
        <v>-1.504**</v>
      </c>
      <c r="AG7" t="str">
        <f>"-.7078"</f>
        <v>-.7078</v>
      </c>
      <c r="AH7" t="str">
        <f>"-.7836"</f>
        <v>-.7836</v>
      </c>
      <c r="AI7" t="str">
        <f>""</f>
        <v/>
      </c>
      <c r="AJ7" t="str">
        <f>""</f>
        <v/>
      </c>
      <c r="AK7" t="str">
        <f>""</f>
        <v/>
      </c>
      <c r="AL7" t="str">
        <f>"-1.292"</f>
        <v>-1.292</v>
      </c>
      <c r="AM7" t="str">
        <f>"-.7773"</f>
        <v>-.7773</v>
      </c>
      <c r="AN7" t="str">
        <f>"-1.725"</f>
        <v>-1.725</v>
      </c>
    </row>
    <row r="8" spans="1:40" x14ac:dyDescent="0.2">
      <c r="A8" t="str">
        <f>""</f>
        <v/>
      </c>
      <c r="B8" t="str">
        <f>"(.6482)"</f>
        <v>(.6482)</v>
      </c>
      <c r="C8" t="str">
        <f>"(1.038)"</f>
        <v>(1.038)</v>
      </c>
      <c r="D8" t="str">
        <f>"(1.295)"</f>
        <v>(1.295)</v>
      </c>
      <c r="E8" t="str">
        <f>""</f>
        <v/>
      </c>
      <c r="F8" t="str">
        <f>""</f>
        <v/>
      </c>
      <c r="G8" t="str">
        <f>""</f>
        <v/>
      </c>
      <c r="H8" t="str">
        <f>""</f>
        <v/>
      </c>
      <c r="I8" t="str">
        <f>""</f>
        <v/>
      </c>
      <c r="J8" t="str">
        <f>""</f>
        <v/>
      </c>
      <c r="K8" t="str">
        <f>""</f>
        <v/>
      </c>
      <c r="L8" t="str">
        <f>""</f>
        <v/>
      </c>
      <c r="M8" t="str">
        <f>""</f>
        <v/>
      </c>
      <c r="N8" t="str">
        <f>""</f>
        <v/>
      </c>
      <c r="O8" t="str">
        <f>""</f>
        <v/>
      </c>
      <c r="P8" t="str">
        <f>""</f>
        <v/>
      </c>
      <c r="Q8" t="str">
        <f>""</f>
        <v/>
      </c>
      <c r="R8" t="str">
        <f>""</f>
        <v/>
      </c>
      <c r="S8" t="str">
        <f>""</f>
        <v/>
      </c>
      <c r="T8" t="str">
        <f>""</f>
        <v/>
      </c>
      <c r="U8" t="str">
        <f>""</f>
        <v/>
      </c>
      <c r="V8" t="str">
        <f>""</f>
        <v/>
      </c>
      <c r="W8" t="str">
        <f>""</f>
        <v/>
      </c>
      <c r="X8" t="str">
        <f>""</f>
        <v/>
      </c>
      <c r="Y8" t="str">
        <f>""</f>
        <v/>
      </c>
      <c r="Z8" t="str">
        <f>"(.3309)"</f>
        <v>(.3309)</v>
      </c>
      <c r="AA8" t="str">
        <f>"(.6627)"</f>
        <v>(.6627)</v>
      </c>
      <c r="AB8" t="str">
        <f>"(.9926)"</f>
        <v>(.9926)</v>
      </c>
      <c r="AC8" t="str">
        <f>"(.6317)"</f>
        <v>(.6317)</v>
      </c>
      <c r="AD8" t="str">
        <f>"(.9079)"</f>
        <v>(.9079)</v>
      </c>
      <c r="AE8" t="str">
        <f>"(.9943)"</f>
        <v>(.9943)</v>
      </c>
      <c r="AF8" t="str">
        <f>"(.7179)"</f>
        <v>(.7179)</v>
      </c>
      <c r="AG8" t="str">
        <f>"(1.122)"</f>
        <v>(1.122)</v>
      </c>
      <c r="AH8" t="str">
        <f>"(1.803)"</f>
        <v>(1.803)</v>
      </c>
      <c r="AI8" t="str">
        <f>""</f>
        <v/>
      </c>
      <c r="AJ8" t="str">
        <f>""</f>
        <v/>
      </c>
      <c r="AK8" t="str">
        <f>""</f>
        <v/>
      </c>
      <c r="AL8" t="str">
        <f>"(.8587)"</f>
        <v>(.8587)</v>
      </c>
      <c r="AM8" t="str">
        <f>"(1.52)"</f>
        <v>(1.52)</v>
      </c>
      <c r="AN8" t="str">
        <f>"(1.826)"</f>
        <v>(1.826)</v>
      </c>
    </row>
    <row r="9" spans="1:40" x14ac:dyDescent="0.2">
      <c r="A9" t="str">
        <f>"s_alpha_q1q5"</f>
        <v>s_alpha_q1q5</v>
      </c>
      <c r="B9" t="str">
        <f>""</f>
        <v/>
      </c>
      <c r="C9" t="str">
        <f>""</f>
        <v/>
      </c>
      <c r="D9" t="str">
        <f>""</f>
        <v/>
      </c>
      <c r="E9" t="str">
        <f>".7757"</f>
        <v>.7757</v>
      </c>
      <c r="F9" t="str">
        <f>".5418"</f>
        <v>.5418</v>
      </c>
      <c r="G9" t="str">
        <f>".4509"</f>
        <v>.4509</v>
      </c>
      <c r="H9" t="str">
        <f>""</f>
        <v/>
      </c>
      <c r="I9" t="str">
        <f>""</f>
        <v/>
      </c>
      <c r="J9" t="str">
        <f>""</f>
        <v/>
      </c>
      <c r="K9" t="str">
        <f>""</f>
        <v/>
      </c>
      <c r="L9" t="str">
        <f>""</f>
        <v/>
      </c>
      <c r="M9" t="str">
        <f>""</f>
        <v/>
      </c>
      <c r="N9" t="str">
        <f>""</f>
        <v/>
      </c>
      <c r="O9" t="str">
        <f>""</f>
        <v/>
      </c>
      <c r="P9" t="str">
        <f>""</f>
        <v/>
      </c>
      <c r="Q9" t="str">
        <f>".7125*"</f>
        <v>.7125*</v>
      </c>
      <c r="R9" t="str">
        <f>".1682"</f>
        <v>.1682</v>
      </c>
      <c r="S9" t="str">
        <f>".2059"</f>
        <v>.2059</v>
      </c>
      <c r="T9" t="str">
        <f>""</f>
        <v/>
      </c>
      <c r="U9" t="str">
        <f>""</f>
        <v/>
      </c>
      <c r="V9" t="str">
        <f>""</f>
        <v/>
      </c>
      <c r="W9" t="str">
        <f>"-.2371"</f>
        <v>-.2371</v>
      </c>
      <c r="X9" t="str">
        <f>"-.9945***"</f>
        <v>-.9945***</v>
      </c>
      <c r="Y9" t="str">
        <f>"-.9559***"</f>
        <v>-.9559***</v>
      </c>
      <c r="Z9" t="str">
        <f>""</f>
        <v/>
      </c>
      <c r="AA9" t="str">
        <f>""</f>
        <v/>
      </c>
      <c r="AB9" t="str">
        <f>""</f>
        <v/>
      </c>
      <c r="AC9" t="str">
        <f>""</f>
        <v/>
      </c>
      <c r="AD9" t="str">
        <f>""</f>
        <v/>
      </c>
      <c r="AE9" t="str">
        <f>""</f>
        <v/>
      </c>
      <c r="AF9" t="str">
        <f>""</f>
        <v/>
      </c>
      <c r="AG9" t="str">
        <f>""</f>
        <v/>
      </c>
      <c r="AH9" t="str">
        <f>""</f>
        <v/>
      </c>
      <c r="AI9" t="str">
        <f>""</f>
        <v/>
      </c>
      <c r="AJ9" t="str">
        <f>""</f>
        <v/>
      </c>
      <c r="AK9" t="str">
        <f>""</f>
        <v/>
      </c>
      <c r="AL9" t="str">
        <f>""</f>
        <v/>
      </c>
      <c r="AM9" t="str">
        <f>""</f>
        <v/>
      </c>
      <c r="AN9" t="str">
        <f>""</f>
        <v/>
      </c>
    </row>
    <row r="10" spans="1:40" x14ac:dyDescent="0.2">
      <c r="A10" t="str">
        <f>""</f>
        <v/>
      </c>
      <c r="B10" t="str">
        <f>""</f>
        <v/>
      </c>
      <c r="C10" t="str">
        <f>""</f>
        <v/>
      </c>
      <c r="D10" t="str">
        <f>""</f>
        <v/>
      </c>
      <c r="E10" t="str">
        <f>"(.5934)"</f>
        <v>(.5934)</v>
      </c>
      <c r="F10" t="str">
        <f>"(.8106)"</f>
        <v>(.8106)</v>
      </c>
      <c r="G10" t="str">
        <f>"(.8431)"</f>
        <v>(.8431)</v>
      </c>
      <c r="H10" t="str">
        <f>""</f>
        <v/>
      </c>
      <c r="I10" t="str">
        <f>""</f>
        <v/>
      </c>
      <c r="J10" t="str">
        <f>""</f>
        <v/>
      </c>
      <c r="K10" t="str">
        <f>""</f>
        <v/>
      </c>
      <c r="L10" t="str">
        <f>""</f>
        <v/>
      </c>
      <c r="M10" t="str">
        <f>""</f>
        <v/>
      </c>
      <c r="N10" t="str">
        <f>""</f>
        <v/>
      </c>
      <c r="O10" t="str">
        <f>""</f>
        <v/>
      </c>
      <c r="P10" t="str">
        <f>""</f>
        <v/>
      </c>
      <c r="Q10" t="str">
        <f>"(.4316)"</f>
        <v>(.4316)</v>
      </c>
      <c r="R10" t="str">
        <f>"(.6091)"</f>
        <v>(.6091)</v>
      </c>
      <c r="S10" t="str">
        <f>"(.5625)"</f>
        <v>(.5625)</v>
      </c>
      <c r="T10" t="str">
        <f>""</f>
        <v/>
      </c>
      <c r="U10" t="str">
        <f>""</f>
        <v/>
      </c>
      <c r="V10" t="str">
        <f>""</f>
        <v/>
      </c>
      <c r="W10" t="str">
        <f>"(.4783)"</f>
        <v>(.4783)</v>
      </c>
      <c r="X10" t="str">
        <f>"(.3754)"</f>
        <v>(.3754)</v>
      </c>
      <c r="Y10" t="str">
        <f>"(.3667)"</f>
        <v>(.3667)</v>
      </c>
      <c r="Z10" t="str">
        <f>""</f>
        <v/>
      </c>
      <c r="AA10" t="str">
        <f>""</f>
        <v/>
      </c>
      <c r="AB10" t="str">
        <f>""</f>
        <v/>
      </c>
      <c r="AC10" t="str">
        <f>""</f>
        <v/>
      </c>
      <c r="AD10" t="str">
        <f>""</f>
        <v/>
      </c>
      <c r="AE10" t="str">
        <f>""</f>
        <v/>
      </c>
      <c r="AF10" t="str">
        <f>""</f>
        <v/>
      </c>
      <c r="AG10" t="str">
        <f>""</f>
        <v/>
      </c>
      <c r="AH10" t="str">
        <f>""</f>
        <v/>
      </c>
      <c r="AI10" t="str">
        <f>""</f>
        <v/>
      </c>
      <c r="AJ10" t="str">
        <f>""</f>
        <v/>
      </c>
      <c r="AK10" t="str">
        <f>""</f>
        <v/>
      </c>
      <c r="AL10" t="str">
        <f>""</f>
        <v/>
      </c>
      <c r="AM10" t="str">
        <f>""</f>
        <v/>
      </c>
      <c r="AN10" t="str">
        <f>""</f>
        <v/>
      </c>
    </row>
    <row r="11" spans="1:40" x14ac:dyDescent="0.2">
      <c r="A11" t="str">
        <f>"Es_alpha_q1q5"</f>
        <v>Es_alpha_q1q5</v>
      </c>
      <c r="B11" t="str">
        <f>""</f>
        <v/>
      </c>
      <c r="C11" t="str">
        <f>""</f>
        <v/>
      </c>
      <c r="D11" t="str">
        <f>""</f>
        <v/>
      </c>
      <c r="E11" t="str">
        <f>"-3.057***"</f>
        <v>-3.057***</v>
      </c>
      <c r="F11" t="str">
        <f>"1.173"</f>
        <v>1.173</v>
      </c>
      <c r="G11" t="str">
        <f>".917"</f>
        <v>.917</v>
      </c>
      <c r="H11" t="str">
        <f>""</f>
        <v/>
      </c>
      <c r="I11" t="str">
        <f>""</f>
        <v/>
      </c>
      <c r="J11" t="str">
        <f>""</f>
        <v/>
      </c>
      <c r="K11" t="str">
        <f>""</f>
        <v/>
      </c>
      <c r="L11" t="str">
        <f>""</f>
        <v/>
      </c>
      <c r="M11" t="str">
        <f>""</f>
        <v/>
      </c>
      <c r="N11" t="str">
        <f>""</f>
        <v/>
      </c>
      <c r="O11" t="str">
        <f>""</f>
        <v/>
      </c>
      <c r="P11" t="str">
        <f>""</f>
        <v/>
      </c>
      <c r="Q11" t="str">
        <f>""</f>
        <v/>
      </c>
      <c r="R11" t="str">
        <f>""</f>
        <v/>
      </c>
      <c r="S11" t="str">
        <f>""</f>
        <v/>
      </c>
      <c r="T11" t="str">
        <f>""</f>
        <v/>
      </c>
      <c r="U11" t="str">
        <f>""</f>
        <v/>
      </c>
      <c r="V11" t="str">
        <f>""</f>
        <v/>
      </c>
      <c r="W11" t="str">
        <f>""</f>
        <v/>
      </c>
      <c r="X11" t="str">
        <f>""</f>
        <v/>
      </c>
      <c r="Y11" t="str">
        <f>""</f>
        <v/>
      </c>
      <c r="Z11" t="str">
        <f>""</f>
        <v/>
      </c>
      <c r="AA11" t="str">
        <f>""</f>
        <v/>
      </c>
      <c r="AB11" t="str">
        <f>""</f>
        <v/>
      </c>
      <c r="AC11" t="str">
        <f>"-2.734"</f>
        <v>-2.734</v>
      </c>
      <c r="AD11" t="str">
        <f>"-1.057"</f>
        <v>-1.057</v>
      </c>
      <c r="AE11" t="str">
        <f>"-2.992"</f>
        <v>-2.992</v>
      </c>
      <c r="AF11" t="str">
        <f>"2.055"</f>
        <v>2.055</v>
      </c>
      <c r="AG11" t="str">
        <f>"1.913"</f>
        <v>1.913</v>
      </c>
      <c r="AH11" t="str">
        <f>".02269"</f>
        <v>.02269</v>
      </c>
      <c r="AI11" t="str">
        <f>""</f>
        <v/>
      </c>
      <c r="AJ11" t="str">
        <f>""</f>
        <v/>
      </c>
      <c r="AK11" t="str">
        <f>""</f>
        <v/>
      </c>
      <c r="AL11" t="str">
        <f>"1.948"</f>
        <v>1.948</v>
      </c>
      <c r="AM11" t="str">
        <f>"1.043"</f>
        <v>1.043</v>
      </c>
      <c r="AN11" t="str">
        <f>"1.552"</f>
        <v>1.552</v>
      </c>
    </row>
    <row r="12" spans="1:40" x14ac:dyDescent="0.2">
      <c r="A12" t="str">
        <f>""</f>
        <v/>
      </c>
      <c r="B12" t="str">
        <f>""</f>
        <v/>
      </c>
      <c r="C12" t="str">
        <f>""</f>
        <v/>
      </c>
      <c r="D12" t="str">
        <f>""</f>
        <v/>
      </c>
      <c r="E12" t="str">
        <f>"(1.141)"</f>
        <v>(1.141)</v>
      </c>
      <c r="F12" t="str">
        <f>"(2.367)"</f>
        <v>(2.367)</v>
      </c>
      <c r="G12" t="str">
        <f>"(2.808)"</f>
        <v>(2.808)</v>
      </c>
      <c r="H12" t="str">
        <f>""</f>
        <v/>
      </c>
      <c r="I12" t="str">
        <f>""</f>
        <v/>
      </c>
      <c r="J12" t="str">
        <f>""</f>
        <v/>
      </c>
      <c r="K12" t="str">
        <f>""</f>
        <v/>
      </c>
      <c r="L12" t="str">
        <f>""</f>
        <v/>
      </c>
      <c r="M12" t="str">
        <f>""</f>
        <v/>
      </c>
      <c r="N12" t="str">
        <f>""</f>
        <v/>
      </c>
      <c r="O12" t="str">
        <f>""</f>
        <v/>
      </c>
      <c r="P12" t="str">
        <f>""</f>
        <v/>
      </c>
      <c r="Q12" t="str">
        <f>""</f>
        <v/>
      </c>
      <c r="R12" t="str">
        <f>""</f>
        <v/>
      </c>
      <c r="S12" t="str">
        <f>""</f>
        <v/>
      </c>
      <c r="T12" t="str">
        <f>""</f>
        <v/>
      </c>
      <c r="U12" t="str">
        <f>""</f>
        <v/>
      </c>
      <c r="V12" t="str">
        <f>""</f>
        <v/>
      </c>
      <c r="W12" t="str">
        <f>""</f>
        <v/>
      </c>
      <c r="X12" t="str">
        <f>""</f>
        <v/>
      </c>
      <c r="Y12" t="str">
        <f>""</f>
        <v/>
      </c>
      <c r="Z12" t="str">
        <f>""</f>
        <v/>
      </c>
      <c r="AA12" t="str">
        <f>""</f>
        <v/>
      </c>
      <c r="AB12" t="str">
        <f>""</f>
        <v/>
      </c>
      <c r="AC12" t="str">
        <f>"(2.206)"</f>
        <v>(2.206)</v>
      </c>
      <c r="AD12" t="str">
        <f>"(2.749)"</f>
        <v>(2.749)</v>
      </c>
      <c r="AE12" t="str">
        <f>"(3.238)"</f>
        <v>(3.238)</v>
      </c>
      <c r="AF12" t="str">
        <f>"(1.729)"</f>
        <v>(1.729)</v>
      </c>
      <c r="AG12" t="str">
        <f>"(2.332)"</f>
        <v>(2.332)</v>
      </c>
      <c r="AH12" t="str">
        <f>"(2.834)"</f>
        <v>(2.834)</v>
      </c>
      <c r="AI12" t="str">
        <f>""</f>
        <v/>
      </c>
      <c r="AJ12" t="str">
        <f>""</f>
        <v/>
      </c>
      <c r="AK12" t="str">
        <f>""</f>
        <v/>
      </c>
      <c r="AL12" t="str">
        <f>"(2.004)"</f>
        <v>(2.004)</v>
      </c>
      <c r="AM12" t="str">
        <f>"(2.584)"</f>
        <v>(2.584)</v>
      </c>
      <c r="AN12" t="str">
        <f>"(2.509)"</f>
        <v>(2.509)</v>
      </c>
    </row>
    <row r="13" spans="1:40" x14ac:dyDescent="0.2">
      <c r="A13" t="str">
        <f>"psi_c"</f>
        <v>psi_c</v>
      </c>
      <c r="B13" t="str">
        <f>""</f>
        <v/>
      </c>
      <c r="C13" t="str">
        <f>""</f>
        <v/>
      </c>
      <c r="D13" t="str">
        <f>""</f>
        <v/>
      </c>
      <c r="E13" t="str">
        <f>""</f>
        <v/>
      </c>
      <c r="F13" t="str">
        <f>""</f>
        <v/>
      </c>
      <c r="G13" t="str">
        <f>""</f>
        <v/>
      </c>
      <c r="H13" t="str">
        <f>".8751***"</f>
        <v>.8751***</v>
      </c>
      <c r="I13" t="str">
        <f>"1.518***"</f>
        <v>1.518***</v>
      </c>
      <c r="J13" t="str">
        <f>"1.783***"</f>
        <v>1.783***</v>
      </c>
      <c r="K13" t="str">
        <f>""</f>
        <v/>
      </c>
      <c r="L13" t="str">
        <f>""</f>
        <v/>
      </c>
      <c r="M13" t="str">
        <f>""</f>
        <v/>
      </c>
      <c r="N13" t="str">
        <f>"1.656***"</f>
        <v>1.656***</v>
      </c>
      <c r="O13" t="str">
        <f>"1.744***"</f>
        <v>1.744***</v>
      </c>
      <c r="P13" t="str">
        <f>"1.932***"</f>
        <v>1.932***</v>
      </c>
      <c r="Q13" t="str">
        <f>""</f>
        <v/>
      </c>
      <c r="R13" t="str">
        <f>""</f>
        <v/>
      </c>
      <c r="S13" t="str">
        <f>""</f>
        <v/>
      </c>
      <c r="T13" t="str">
        <f>".8691"</f>
        <v>.8691</v>
      </c>
      <c r="U13" t="str">
        <f>"1.409"</f>
        <v>1.409</v>
      </c>
      <c r="V13" t="str">
        <f>"1.404*"</f>
        <v>1.404*</v>
      </c>
      <c r="W13" t="str">
        <f>"-.2294"</f>
        <v>-.2294</v>
      </c>
      <c r="X13" t="str">
        <f>".7585"</f>
        <v>.7585</v>
      </c>
      <c r="Y13" t="str">
        <f>".7812"</f>
        <v>.7812</v>
      </c>
      <c r="Z13" t="str">
        <f>""</f>
        <v/>
      </c>
      <c r="AA13" t="str">
        <f>""</f>
        <v/>
      </c>
      <c r="AB13" t="str">
        <f>""</f>
        <v/>
      </c>
      <c r="AC13" t="str">
        <f>""</f>
        <v/>
      </c>
      <c r="AD13" t="str">
        <f>""</f>
        <v/>
      </c>
      <c r="AE13" t="str">
        <f>""</f>
        <v/>
      </c>
      <c r="AF13" t="str">
        <f>""</f>
        <v/>
      </c>
      <c r="AG13" t="str">
        <f>""</f>
        <v/>
      </c>
      <c r="AH13" t="str">
        <f>""</f>
        <v/>
      </c>
      <c r="AI13" t="str">
        <f>""</f>
        <v/>
      </c>
      <c r="AJ13" t="str">
        <f>""</f>
        <v/>
      </c>
      <c r="AK13" t="str">
        <f>""</f>
        <v/>
      </c>
      <c r="AL13" t="str">
        <f>""</f>
        <v/>
      </c>
      <c r="AM13" t="str">
        <f>""</f>
        <v/>
      </c>
      <c r="AN13" t="str">
        <f>""</f>
        <v/>
      </c>
    </row>
    <row r="14" spans="1:40" x14ac:dyDescent="0.2">
      <c r="A14" t="str">
        <f>""</f>
        <v/>
      </c>
      <c r="B14" t="str">
        <f>""</f>
        <v/>
      </c>
      <c r="C14" t="str">
        <f>""</f>
        <v/>
      </c>
      <c r="D14" t="str">
        <f>""</f>
        <v/>
      </c>
      <c r="E14" t="str">
        <f>""</f>
        <v/>
      </c>
      <c r="F14" t="str">
        <f>""</f>
        <v/>
      </c>
      <c r="G14" t="str">
        <f>""</f>
        <v/>
      </c>
      <c r="H14" t="str">
        <f>"(.2514)"</f>
        <v>(.2514)</v>
      </c>
      <c r="I14" t="str">
        <f>"(.1606)"</f>
        <v>(.1606)</v>
      </c>
      <c r="J14" t="str">
        <f>"(.2366)"</f>
        <v>(.2366)</v>
      </c>
      <c r="K14" t="str">
        <f>""</f>
        <v/>
      </c>
      <c r="L14" t="str">
        <f>""</f>
        <v/>
      </c>
      <c r="M14" t="str">
        <f>""</f>
        <v/>
      </c>
      <c r="N14" t="str">
        <f>"(.1747)"</f>
        <v>(.1747)</v>
      </c>
      <c r="O14" t="str">
        <f>"(.2077)"</f>
        <v>(.2077)</v>
      </c>
      <c r="P14" t="str">
        <f>"(.2112)"</f>
        <v>(.2112)</v>
      </c>
      <c r="Q14" t="str">
        <f>""</f>
        <v/>
      </c>
      <c r="R14" t="str">
        <f>""</f>
        <v/>
      </c>
      <c r="S14" t="str">
        <f>""</f>
        <v/>
      </c>
      <c r="T14" t="str">
        <f>"(1.203)"</f>
        <v>(1.203)</v>
      </c>
      <c r="U14" t="str">
        <f>"(1.119)"</f>
        <v>(1.119)</v>
      </c>
      <c r="V14" t="str">
        <f>"(.7881)"</f>
        <v>(.7881)</v>
      </c>
      <c r="W14" t="str">
        <f>"(.5786)"</f>
        <v>(.5786)</v>
      </c>
      <c r="X14" t="str">
        <f>"(.8186)"</f>
        <v>(.8186)</v>
      </c>
      <c r="Y14" t="str">
        <f>"(.5794)"</f>
        <v>(.5794)</v>
      </c>
      <c r="Z14" t="str">
        <f>""</f>
        <v/>
      </c>
      <c r="AA14" t="str">
        <f>""</f>
        <v/>
      </c>
      <c r="AB14" t="str">
        <f>""</f>
        <v/>
      </c>
      <c r="AC14" t="str">
        <f>""</f>
        <v/>
      </c>
      <c r="AD14" t="str">
        <f>""</f>
        <v/>
      </c>
      <c r="AE14" t="str">
        <f>""</f>
        <v/>
      </c>
      <c r="AF14" t="str">
        <f>""</f>
        <v/>
      </c>
      <c r="AG14" t="str">
        <f>""</f>
        <v/>
      </c>
      <c r="AH14" t="str">
        <f>""</f>
        <v/>
      </c>
      <c r="AI14" t="str">
        <f>""</f>
        <v/>
      </c>
      <c r="AJ14" t="str">
        <f>""</f>
        <v/>
      </c>
      <c r="AK14" t="str">
        <f>""</f>
        <v/>
      </c>
      <c r="AL14" t="str">
        <f>""</f>
        <v/>
      </c>
      <c r="AM14" t="str">
        <f>""</f>
        <v/>
      </c>
      <c r="AN14" t="str">
        <f>""</f>
        <v/>
      </c>
    </row>
    <row r="15" spans="1:40" x14ac:dyDescent="0.2">
      <c r="A15" t="str">
        <f>"Epsi_c"</f>
        <v>Epsi_c</v>
      </c>
      <c r="B15" t="str">
        <f>""</f>
        <v/>
      </c>
      <c r="C15" t="str">
        <f>""</f>
        <v/>
      </c>
      <c r="D15" t="str">
        <f>""</f>
        <v/>
      </c>
      <c r="E15" t="str">
        <f>""</f>
        <v/>
      </c>
      <c r="F15" t="str">
        <f>""</f>
        <v/>
      </c>
      <c r="G15" t="str">
        <f>""</f>
        <v/>
      </c>
      <c r="H15" t="str">
        <f>"1.443"</f>
        <v>1.443</v>
      </c>
      <c r="I15" t="str">
        <f>"1.162"</f>
        <v>1.162</v>
      </c>
      <c r="J15" t="str">
        <f>".4513"</f>
        <v>.4513</v>
      </c>
      <c r="K15" t="str">
        <f>""</f>
        <v/>
      </c>
      <c r="L15" t="str">
        <f>""</f>
        <v/>
      </c>
      <c r="M15" t="str">
        <f>""</f>
        <v/>
      </c>
      <c r="N15" t="str">
        <f>""</f>
        <v/>
      </c>
      <c r="O15" t="str">
        <f>""</f>
        <v/>
      </c>
      <c r="P15" t="str">
        <f>""</f>
        <v/>
      </c>
      <c r="Q15" t="str">
        <f>""</f>
        <v/>
      </c>
      <c r="R15" t="str">
        <f>""</f>
        <v/>
      </c>
      <c r="S15" t="str">
        <f>""</f>
        <v/>
      </c>
      <c r="T15" t="str">
        <f>""</f>
        <v/>
      </c>
      <c r="U15" t="str">
        <f>""</f>
        <v/>
      </c>
      <c r="V15" t="str">
        <f>""</f>
        <v/>
      </c>
      <c r="W15" t="str">
        <f>""</f>
        <v/>
      </c>
      <c r="X15" t="str">
        <f>""</f>
        <v/>
      </c>
      <c r="Y15" t="str">
        <f>""</f>
        <v/>
      </c>
      <c r="Z15" t="str">
        <f>"3.632***"</f>
        <v>3.632***</v>
      </c>
      <c r="AA15" t="str">
        <f>"3.551**"</f>
        <v>3.551**</v>
      </c>
      <c r="AB15" t="str">
        <f>"4.314**"</f>
        <v>4.314**</v>
      </c>
      <c r="AC15" t="str">
        <f>""</f>
        <v/>
      </c>
      <c r="AD15" t="str">
        <f>""</f>
        <v/>
      </c>
      <c r="AE15" t="str">
        <f>""</f>
        <v/>
      </c>
      <c r="AF15" t="str">
        <f>"4.026"</f>
        <v>4.026</v>
      </c>
      <c r="AG15" t="str">
        <f>"2.603"</f>
        <v>2.603</v>
      </c>
      <c r="AH15" t="str">
        <f>"1.44"</f>
        <v>1.44</v>
      </c>
      <c r="AI15" t="str">
        <f>""</f>
        <v/>
      </c>
      <c r="AJ15" t="str">
        <f>""</f>
        <v/>
      </c>
      <c r="AK15" t="str">
        <f>""</f>
        <v/>
      </c>
      <c r="AL15" t="str">
        <f>"9.111***"</f>
        <v>9.111***</v>
      </c>
      <c r="AM15" t="str">
        <f>"5.694"</f>
        <v>5.694</v>
      </c>
      <c r="AN15" t="str">
        <f>"6.734"</f>
        <v>6.734</v>
      </c>
    </row>
    <row r="16" spans="1:40" x14ac:dyDescent="0.2">
      <c r="A16" t="str">
        <f>""</f>
        <v/>
      </c>
      <c r="B16" t="str">
        <f>""</f>
        <v/>
      </c>
      <c r="C16" t="str">
        <f>""</f>
        <v/>
      </c>
      <c r="D16" t="str">
        <f>""</f>
        <v/>
      </c>
      <c r="E16" t="str">
        <f>""</f>
        <v/>
      </c>
      <c r="F16" t="str">
        <f>""</f>
        <v/>
      </c>
      <c r="G16" t="str">
        <f>""</f>
        <v/>
      </c>
      <c r="H16" t="str">
        <f>"(.9505)"</f>
        <v>(.9505)</v>
      </c>
      <c r="I16" t="str">
        <f>"(1.014)"</f>
        <v>(1.014)</v>
      </c>
      <c r="J16" t="str">
        <f>"(1.006)"</f>
        <v>(1.006)</v>
      </c>
      <c r="K16" t="str">
        <f>""</f>
        <v/>
      </c>
      <c r="L16" t="str">
        <f>""</f>
        <v/>
      </c>
      <c r="M16" t="str">
        <f>""</f>
        <v/>
      </c>
      <c r="N16" t="str">
        <f>""</f>
        <v/>
      </c>
      <c r="O16" t="str">
        <f>""</f>
        <v/>
      </c>
      <c r="P16" t="str">
        <f>""</f>
        <v/>
      </c>
      <c r="Q16" t="str">
        <f>""</f>
        <v/>
      </c>
      <c r="R16" t="str">
        <f>""</f>
        <v/>
      </c>
      <c r="S16" t="str">
        <f>""</f>
        <v/>
      </c>
      <c r="T16" t="str">
        <f>""</f>
        <v/>
      </c>
      <c r="U16" t="str">
        <f>""</f>
        <v/>
      </c>
      <c r="V16" t="str">
        <f>""</f>
        <v/>
      </c>
      <c r="W16" t="str">
        <f>""</f>
        <v/>
      </c>
      <c r="X16" t="str">
        <f>""</f>
        <v/>
      </c>
      <c r="Y16" t="str">
        <f>""</f>
        <v/>
      </c>
      <c r="Z16" t="str">
        <f>"(.8723)"</f>
        <v>(.8723)</v>
      </c>
      <c r="AA16" t="str">
        <f>"(1.397)"</f>
        <v>(1.397)</v>
      </c>
      <c r="AB16" t="str">
        <f>"(1.873)"</f>
        <v>(1.873)</v>
      </c>
      <c r="AC16" t="str">
        <f>""</f>
        <v/>
      </c>
      <c r="AD16" t="str">
        <f>""</f>
        <v/>
      </c>
      <c r="AE16" t="str">
        <f>""</f>
        <v/>
      </c>
      <c r="AF16" t="str">
        <f>"(2.992)"</f>
        <v>(2.992)</v>
      </c>
      <c r="AG16" t="str">
        <f>"(3.822)"</f>
        <v>(3.822)</v>
      </c>
      <c r="AH16" t="str">
        <f>"(5.068)"</f>
        <v>(5.068)</v>
      </c>
      <c r="AI16" t="str">
        <f>""</f>
        <v/>
      </c>
      <c r="AJ16" t="str">
        <f>""</f>
        <v/>
      </c>
      <c r="AK16" t="str">
        <f>""</f>
        <v/>
      </c>
      <c r="AL16" t="str">
        <f>"(3.146)"</f>
        <v>(3.146)</v>
      </c>
      <c r="AM16" t="str">
        <f>"(4.656)"</f>
        <v>(4.656)</v>
      </c>
      <c r="AN16" t="str">
        <f>"(5.039)"</f>
        <v>(5.039)</v>
      </c>
    </row>
    <row r="17" spans="1:40" x14ac:dyDescent="0.2">
      <c r="A17" t="str">
        <f>"s_psi_q1q5"</f>
        <v>s_psi_q1q5</v>
      </c>
      <c r="B17" t="str">
        <f>""</f>
        <v/>
      </c>
      <c r="C17" t="str">
        <f>""</f>
        <v/>
      </c>
      <c r="D17" t="str">
        <f>""</f>
        <v/>
      </c>
      <c r="E17" t="str">
        <f>""</f>
        <v/>
      </c>
      <c r="F17" t="str">
        <f>""</f>
        <v/>
      </c>
      <c r="G17" t="str">
        <f>""</f>
        <v/>
      </c>
      <c r="H17" t="str">
        <f>""</f>
        <v/>
      </c>
      <c r="I17" t="str">
        <f>""</f>
        <v/>
      </c>
      <c r="J17" t="str">
        <f>""</f>
        <v/>
      </c>
      <c r="K17" t="str">
        <f>".4639***"</f>
        <v>.4639***</v>
      </c>
      <c r="L17" t="str">
        <f>".6736***"</f>
        <v>.6736***</v>
      </c>
      <c r="M17" t="str">
        <f>".8061***"</f>
        <v>.8061***</v>
      </c>
      <c r="N17" t="str">
        <f>""</f>
        <v/>
      </c>
      <c r="O17" t="str">
        <f>""</f>
        <v/>
      </c>
      <c r="P17" t="str">
        <f>""</f>
        <v/>
      </c>
      <c r="Q17" t="str">
        <f>""</f>
        <v/>
      </c>
      <c r="R17" t="str">
        <f>""</f>
        <v/>
      </c>
      <c r="S17" t="str">
        <f>""</f>
        <v/>
      </c>
      <c r="T17" t="str">
        <f>".06823"</f>
        <v>.06823</v>
      </c>
      <c r="U17" t="str">
        <f>".1177"</f>
        <v>.1177</v>
      </c>
      <c r="V17" t="str">
        <f>".2365"</f>
        <v>.2365</v>
      </c>
      <c r="W17" t="str">
        <f>"1.084***"</f>
        <v>1.084***</v>
      </c>
      <c r="X17" t="str">
        <f>".6221"</f>
        <v>.6221</v>
      </c>
      <c r="Y17" t="str">
        <f>".7311**"</f>
        <v>.7311**</v>
      </c>
      <c r="Z17" t="str">
        <f>""</f>
        <v/>
      </c>
      <c r="AA17" t="str">
        <f>""</f>
        <v/>
      </c>
      <c r="AB17" t="str">
        <f>""</f>
        <v/>
      </c>
      <c r="AC17" t="str">
        <f>""</f>
        <v/>
      </c>
      <c r="AD17" t="str">
        <f>""</f>
        <v/>
      </c>
      <c r="AE17" t="str">
        <f>""</f>
        <v/>
      </c>
      <c r="AF17" t="str">
        <f>""</f>
        <v/>
      </c>
      <c r="AG17" t="str">
        <f>""</f>
        <v/>
      </c>
      <c r="AH17" t="str">
        <f>""</f>
        <v/>
      </c>
      <c r="AI17" t="str">
        <f>""</f>
        <v/>
      </c>
      <c r="AJ17" t="str">
        <f>""</f>
        <v/>
      </c>
      <c r="AK17" t="str">
        <f>""</f>
        <v/>
      </c>
      <c r="AL17" t="str">
        <f>""</f>
        <v/>
      </c>
      <c r="AM17" t="str">
        <f>""</f>
        <v/>
      </c>
      <c r="AN17" t="str">
        <f>""</f>
        <v/>
      </c>
    </row>
    <row r="18" spans="1:40" x14ac:dyDescent="0.2">
      <c r="A18" t="str">
        <f>""</f>
        <v/>
      </c>
      <c r="B18" t="str">
        <f>""</f>
        <v/>
      </c>
      <c r="C18" t="str">
        <f>""</f>
        <v/>
      </c>
      <c r="D18" t="str">
        <f>""</f>
        <v/>
      </c>
      <c r="E18" t="str">
        <f>""</f>
        <v/>
      </c>
      <c r="F18" t="str">
        <f>""</f>
        <v/>
      </c>
      <c r="G18" t="str">
        <f>""</f>
        <v/>
      </c>
      <c r="H18" t="str">
        <f>""</f>
        <v/>
      </c>
      <c r="I18" t="str">
        <f>""</f>
        <v/>
      </c>
      <c r="J18" t="str">
        <f>""</f>
        <v/>
      </c>
      <c r="K18" t="str">
        <f>"(.1507)"</f>
        <v>(.1507)</v>
      </c>
      <c r="L18" t="str">
        <f>"(.1155)"</f>
        <v>(.1155)</v>
      </c>
      <c r="M18" t="str">
        <f>"(.1235)"</f>
        <v>(.1235)</v>
      </c>
      <c r="N18" t="str">
        <f>""</f>
        <v/>
      </c>
      <c r="O18" t="str">
        <f>""</f>
        <v/>
      </c>
      <c r="P18" t="str">
        <f>""</f>
        <v/>
      </c>
      <c r="Q18" t="str">
        <f>""</f>
        <v/>
      </c>
      <c r="R18" t="str">
        <f>""</f>
        <v/>
      </c>
      <c r="S18" t="str">
        <f>""</f>
        <v/>
      </c>
      <c r="T18" t="str">
        <f>"(.6052)"</f>
        <v>(.6052)</v>
      </c>
      <c r="U18" t="str">
        <f>"(.5371)"</f>
        <v>(.5371)</v>
      </c>
      <c r="V18" t="str">
        <f>"(.3614)"</f>
        <v>(.3614)</v>
      </c>
      <c r="W18" t="str">
        <f>"(.3009)"</f>
        <v>(.3009)</v>
      </c>
      <c r="X18" t="str">
        <f>"(.3889)"</f>
        <v>(.3889)</v>
      </c>
      <c r="Y18" t="str">
        <f>"(.3566)"</f>
        <v>(.3566)</v>
      </c>
      <c r="Z18" t="str">
        <f>""</f>
        <v/>
      </c>
      <c r="AA18" t="str">
        <f>""</f>
        <v/>
      </c>
      <c r="AB18" t="str">
        <f>""</f>
        <v/>
      </c>
      <c r="AC18" t="str">
        <f>""</f>
        <v/>
      </c>
      <c r="AD18" t="str">
        <f>""</f>
        <v/>
      </c>
      <c r="AE18" t="str">
        <f>""</f>
        <v/>
      </c>
      <c r="AF18" t="str">
        <f>""</f>
        <v/>
      </c>
      <c r="AG18" t="str">
        <f>""</f>
        <v/>
      </c>
      <c r="AH18" t="str">
        <f>""</f>
        <v/>
      </c>
      <c r="AI18" t="str">
        <f>""</f>
        <v/>
      </c>
      <c r="AJ18" t="str">
        <f>""</f>
        <v/>
      </c>
      <c r="AK18" t="str">
        <f>""</f>
        <v/>
      </c>
      <c r="AL18" t="str">
        <f>""</f>
        <v/>
      </c>
      <c r="AM18" t="str">
        <f>""</f>
        <v/>
      </c>
      <c r="AN18" t="str">
        <f>""</f>
        <v/>
      </c>
    </row>
    <row r="19" spans="1:40" x14ac:dyDescent="0.2">
      <c r="A19" t="str">
        <f>"Es_psi_q1q5"</f>
        <v>Es_psi_q1q5</v>
      </c>
      <c r="B19" t="str">
        <f>""</f>
        <v/>
      </c>
      <c r="C19" t="str">
        <f>""</f>
        <v/>
      </c>
      <c r="D19" t="str">
        <f>""</f>
        <v/>
      </c>
      <c r="E19" t="str">
        <f>""</f>
        <v/>
      </c>
      <c r="F19" t="str">
        <f>""</f>
        <v/>
      </c>
      <c r="G19" t="str">
        <f>""</f>
        <v/>
      </c>
      <c r="H19" t="str">
        <f>""</f>
        <v/>
      </c>
      <c r="I19" t="str">
        <f>""</f>
        <v/>
      </c>
      <c r="J19" t="str">
        <f>""</f>
        <v/>
      </c>
      <c r="K19" t="str">
        <f>".03638"</f>
        <v>.03638</v>
      </c>
      <c r="L19" t="str">
        <f>".7969"</f>
        <v>.7969</v>
      </c>
      <c r="M19" t="str">
        <f>".4017"</f>
        <v>.4017</v>
      </c>
      <c r="N19" t="str">
        <f>""</f>
        <v/>
      </c>
      <c r="O19" t="str">
        <f>""</f>
        <v/>
      </c>
      <c r="P19" t="str">
        <f>""</f>
        <v/>
      </c>
      <c r="Q19" t="str">
        <f>""</f>
        <v/>
      </c>
      <c r="R19" t="str">
        <f>""</f>
        <v/>
      </c>
      <c r="S19" t="str">
        <f>""</f>
        <v/>
      </c>
      <c r="T19" t="str">
        <f>""</f>
        <v/>
      </c>
      <c r="U19" t="str">
        <f>""</f>
        <v/>
      </c>
      <c r="V19" t="str">
        <f>""</f>
        <v/>
      </c>
      <c r="W19" t="str">
        <f>""</f>
        <v/>
      </c>
      <c r="X19" t="str">
        <f>""</f>
        <v/>
      </c>
      <c r="Y19" t="str">
        <f>""</f>
        <v/>
      </c>
      <c r="Z19" t="str">
        <f>""</f>
        <v/>
      </c>
      <c r="AA19" t="str">
        <f>""</f>
        <v/>
      </c>
      <c r="AB19" t="str">
        <f>""</f>
        <v/>
      </c>
      <c r="AC19" t="str">
        <f>""</f>
        <v/>
      </c>
      <c r="AD19" t="str">
        <f>""</f>
        <v/>
      </c>
      <c r="AE19" t="str">
        <f>""</f>
        <v/>
      </c>
      <c r="AF19" t="str">
        <f>".1239"</f>
        <v>.1239</v>
      </c>
      <c r="AG19" t="str">
        <f>".996"</f>
        <v>.996</v>
      </c>
      <c r="AH19" t="str">
        <f>"2.037"</f>
        <v>2.037</v>
      </c>
      <c r="AI19" t="str">
        <f>""</f>
        <v/>
      </c>
      <c r="AJ19" t="str">
        <f>""</f>
        <v/>
      </c>
      <c r="AK19" t="str">
        <f>""</f>
        <v/>
      </c>
      <c r="AL19" t="str">
        <f>"-2.658"</f>
        <v>-2.658</v>
      </c>
      <c r="AM19" t="str">
        <f>"-.39"</f>
        <v>-.39</v>
      </c>
      <c r="AN19" t="str">
        <f>"-.165"</f>
        <v>-.165</v>
      </c>
    </row>
    <row r="20" spans="1:40" x14ac:dyDescent="0.2">
      <c r="A20" t="str">
        <f>""</f>
        <v/>
      </c>
      <c r="B20" t="str">
        <f>""</f>
        <v/>
      </c>
      <c r="C20" t="str">
        <f>""</f>
        <v/>
      </c>
      <c r="D20" t="str">
        <f>""</f>
        <v/>
      </c>
      <c r="E20" t="str">
        <f>""</f>
        <v/>
      </c>
      <c r="F20" t="str">
        <f>""</f>
        <v/>
      </c>
      <c r="G20" t="str">
        <f>""</f>
        <v/>
      </c>
      <c r="H20" t="str">
        <f>""</f>
        <v/>
      </c>
      <c r="I20" t="str">
        <f>""</f>
        <v/>
      </c>
      <c r="J20" t="str">
        <f>""</f>
        <v/>
      </c>
      <c r="K20" t="str">
        <f>"(.5385)"</f>
        <v>(.5385)</v>
      </c>
      <c r="L20" t="str">
        <f>"(.5686)"</f>
        <v>(.5686)</v>
      </c>
      <c r="M20" t="str">
        <f>"(.4592)"</f>
        <v>(.4592)</v>
      </c>
      <c r="N20" t="str">
        <f>""</f>
        <v/>
      </c>
      <c r="O20" t="str">
        <f>""</f>
        <v/>
      </c>
      <c r="P20" t="str">
        <f>""</f>
        <v/>
      </c>
      <c r="Q20" t="str">
        <f>""</f>
        <v/>
      </c>
      <c r="R20" t="str">
        <f>""</f>
        <v/>
      </c>
      <c r="S20" t="str">
        <f>""</f>
        <v/>
      </c>
      <c r="T20" t="str">
        <f>""</f>
        <v/>
      </c>
      <c r="U20" t="str">
        <f>""</f>
        <v/>
      </c>
      <c r="V20" t="str">
        <f>""</f>
        <v/>
      </c>
      <c r="W20" t="str">
        <f>""</f>
        <v/>
      </c>
      <c r="X20" t="str">
        <f>""</f>
        <v/>
      </c>
      <c r="Y20" t="str">
        <f>""</f>
        <v/>
      </c>
      <c r="Z20" t="str">
        <f>""</f>
        <v/>
      </c>
      <c r="AA20" t="str">
        <f>""</f>
        <v/>
      </c>
      <c r="AB20" t="str">
        <f>""</f>
        <v/>
      </c>
      <c r="AC20" t="str">
        <f>""</f>
        <v/>
      </c>
      <c r="AD20" t="str">
        <f>""</f>
        <v/>
      </c>
      <c r="AE20" t="str">
        <f>""</f>
        <v/>
      </c>
      <c r="AF20" t="str">
        <f>"(1.93)"</f>
        <v>(1.93)</v>
      </c>
      <c r="AG20" t="str">
        <f>"(2.353)"</f>
        <v>(2.353)</v>
      </c>
      <c r="AH20" t="str">
        <f>"(3.112)"</f>
        <v>(3.112)</v>
      </c>
      <c r="AI20" t="str">
        <f>""</f>
        <v/>
      </c>
      <c r="AJ20" t="str">
        <f>""</f>
        <v/>
      </c>
      <c r="AK20" t="str">
        <f>""</f>
        <v/>
      </c>
      <c r="AL20" t="str">
        <f>"(2.071)"</f>
        <v>(2.071)</v>
      </c>
      <c r="AM20" t="str">
        <f>"(2.491)"</f>
        <v>(2.491)</v>
      </c>
      <c r="AN20" t="str">
        <f>"(2.893)"</f>
        <v>(2.893)</v>
      </c>
    </row>
    <row r="21" spans="1:40" x14ac:dyDescent="0.2">
      <c r="A21" t="str">
        <f>"lnmw"</f>
        <v>lnmw</v>
      </c>
      <c r="B21" t="str">
        <f>""</f>
        <v/>
      </c>
      <c r="C21" t="str">
        <f>""</f>
        <v/>
      </c>
      <c r="D21" t="str">
        <f>""</f>
        <v/>
      </c>
      <c r="E21" t="str">
        <f>""</f>
        <v/>
      </c>
      <c r="F21" t="str">
        <f>""</f>
        <v/>
      </c>
      <c r="G21" t="str">
        <f>""</f>
        <v/>
      </c>
      <c r="H21" t="str">
        <f>""</f>
        <v/>
      </c>
      <c r="I21" t="str">
        <f>""</f>
        <v/>
      </c>
      <c r="J21" t="str">
        <f>""</f>
        <v/>
      </c>
      <c r="K21" t="str">
        <f>""</f>
        <v/>
      </c>
      <c r="L21" t="str">
        <f>""</f>
        <v/>
      </c>
      <c r="M21" t="str">
        <f>""</f>
        <v/>
      </c>
      <c r="N21" t="str">
        <f>""</f>
        <v/>
      </c>
      <c r="O21" t="str">
        <f>""</f>
        <v/>
      </c>
      <c r="P21" t="str">
        <f>""</f>
        <v/>
      </c>
      <c r="Q21" t="str">
        <f>""</f>
        <v/>
      </c>
      <c r="R21" t="str">
        <f>""</f>
        <v/>
      </c>
      <c r="S21" t="str">
        <f>""</f>
        <v/>
      </c>
      <c r="T21" t="str">
        <f>""</f>
        <v/>
      </c>
      <c r="U21" t="str">
        <f>""</f>
        <v/>
      </c>
      <c r="V21" t="str">
        <f>""</f>
        <v/>
      </c>
      <c r="W21" t="str">
        <f>""</f>
        <v/>
      </c>
      <c r="X21" t="str">
        <f>""</f>
        <v/>
      </c>
      <c r="Y21" t="str">
        <f>""</f>
        <v/>
      </c>
      <c r="Z21" t="str">
        <f>""</f>
        <v/>
      </c>
      <c r="AA21" t="str">
        <f>""</f>
        <v/>
      </c>
      <c r="AB21" t="str">
        <f>""</f>
        <v/>
      </c>
      <c r="AC21" t="str">
        <f>""</f>
        <v/>
      </c>
      <c r="AD21" t="str">
        <f>""</f>
        <v/>
      </c>
      <c r="AE21" t="str">
        <f>""</f>
        <v/>
      </c>
      <c r="AF21" t="str">
        <f>""</f>
        <v/>
      </c>
      <c r="AG21" t="str">
        <f>""</f>
        <v/>
      </c>
      <c r="AH21" t="str">
        <f>""</f>
        <v/>
      </c>
      <c r="AI21" t="str">
        <f>"-.03009"</f>
        <v>-.03009</v>
      </c>
      <c r="AJ21" t="str">
        <f>".1561"</f>
        <v>.1561</v>
      </c>
      <c r="AK21" t="str">
        <f>".2191"</f>
        <v>.2191</v>
      </c>
      <c r="AL21" t="str">
        <f>".2209"</f>
        <v>.2209</v>
      </c>
      <c r="AM21" t="str">
        <f>".1272"</f>
        <v>.1272</v>
      </c>
      <c r="AN21" t="str">
        <f>".2197"</f>
        <v>.2197</v>
      </c>
    </row>
    <row r="22" spans="1:40" x14ac:dyDescent="0.2">
      <c r="A22" t="str">
        <f>""</f>
        <v/>
      </c>
      <c r="B22" t="str">
        <f>""</f>
        <v/>
      </c>
      <c r="C22" t="str">
        <f>""</f>
        <v/>
      </c>
      <c r="D22" t="str">
        <f>""</f>
        <v/>
      </c>
      <c r="E22" t="str">
        <f>""</f>
        <v/>
      </c>
      <c r="F22" t="str">
        <f>""</f>
        <v/>
      </c>
      <c r="G22" t="str">
        <f>""</f>
        <v/>
      </c>
      <c r="H22" t="str">
        <f>""</f>
        <v/>
      </c>
      <c r="I22" t="str">
        <f>""</f>
        <v/>
      </c>
      <c r="J22" t="str">
        <f>""</f>
        <v/>
      </c>
      <c r="K22" t="str">
        <f>""</f>
        <v/>
      </c>
      <c r="L22" t="str">
        <f>""</f>
        <v/>
      </c>
      <c r="M22" t="str">
        <f>""</f>
        <v/>
      </c>
      <c r="N22" t="str">
        <f>""</f>
        <v/>
      </c>
      <c r="O22" t="str">
        <f>""</f>
        <v/>
      </c>
      <c r="P22" t="str">
        <f>""</f>
        <v/>
      </c>
      <c r="Q22" t="str">
        <f>""</f>
        <v/>
      </c>
      <c r="R22" t="str">
        <f>""</f>
        <v/>
      </c>
      <c r="S22" t="str">
        <f>""</f>
        <v/>
      </c>
      <c r="T22" t="str">
        <f>""</f>
        <v/>
      </c>
      <c r="U22" t="str">
        <f>""</f>
        <v/>
      </c>
      <c r="V22" t="str">
        <f>""</f>
        <v/>
      </c>
      <c r="W22" t="str">
        <f>""</f>
        <v/>
      </c>
      <c r="X22" t="str">
        <f>""</f>
        <v/>
      </c>
      <c r="Y22" t="str">
        <f>""</f>
        <v/>
      </c>
      <c r="Z22" t="str">
        <f>""</f>
        <v/>
      </c>
      <c r="AA22" t="str">
        <f>""</f>
        <v/>
      </c>
      <c r="AB22" t="str">
        <f>""</f>
        <v/>
      </c>
      <c r="AC22" t="str">
        <f>""</f>
        <v/>
      </c>
      <c r="AD22" t="str">
        <f>""</f>
        <v/>
      </c>
      <c r="AE22" t="str">
        <f>""</f>
        <v/>
      </c>
      <c r="AF22" t="str">
        <f>""</f>
        <v/>
      </c>
      <c r="AG22" t="str">
        <f>""</f>
        <v/>
      </c>
      <c r="AH22" t="str">
        <f>""</f>
        <v/>
      </c>
      <c r="AI22" t="str">
        <f>"(.09904)"</f>
        <v>(.09904)</v>
      </c>
      <c r="AJ22" t="str">
        <f>"(.1508)"</f>
        <v>(.1508)</v>
      </c>
      <c r="AK22" t="str">
        <f>"(.154)"</f>
        <v>(.154)</v>
      </c>
      <c r="AL22" t="str">
        <f>"(.1533)"</f>
        <v>(.1533)</v>
      </c>
      <c r="AM22" t="str">
        <f>"(.2086)"</f>
        <v>(.2086)</v>
      </c>
      <c r="AN22" t="str">
        <f>"(.2465)"</f>
        <v>(.2465)</v>
      </c>
    </row>
    <row r="23" spans="1:40" x14ac:dyDescent="0.2">
      <c r="A23" t="str">
        <f>"coverage"</f>
        <v>coverage</v>
      </c>
      <c r="B23" t="str">
        <f>""</f>
        <v/>
      </c>
      <c r="C23" t="str">
        <f>""</f>
        <v/>
      </c>
      <c r="D23" t="str">
        <f>""</f>
        <v/>
      </c>
      <c r="E23" t="str">
        <f>""</f>
        <v/>
      </c>
      <c r="F23" t="str">
        <f>""</f>
        <v/>
      </c>
      <c r="G23" t="str">
        <f>""</f>
        <v/>
      </c>
      <c r="H23" t="str">
        <f>""</f>
        <v/>
      </c>
      <c r="I23" t="str">
        <f>""</f>
        <v/>
      </c>
      <c r="J23" t="str">
        <f>""</f>
        <v/>
      </c>
      <c r="K23" t="str">
        <f>""</f>
        <v/>
      </c>
      <c r="L23" t="str">
        <f>""</f>
        <v/>
      </c>
      <c r="M23" t="str">
        <f>""</f>
        <v/>
      </c>
      <c r="N23" t="str">
        <f>""</f>
        <v/>
      </c>
      <c r="O23" t="str">
        <f>""</f>
        <v/>
      </c>
      <c r="P23" t="str">
        <f>""</f>
        <v/>
      </c>
      <c r="Q23" t="str">
        <f>""</f>
        <v/>
      </c>
      <c r="R23" t="str">
        <f>""</f>
        <v/>
      </c>
      <c r="S23" t="str">
        <f>""</f>
        <v/>
      </c>
      <c r="T23" t="str">
        <f>""</f>
        <v/>
      </c>
      <c r="U23" t="str">
        <f>""</f>
        <v/>
      </c>
      <c r="V23" t="str">
        <f>""</f>
        <v/>
      </c>
      <c r="W23" t="str">
        <f>""</f>
        <v/>
      </c>
      <c r="X23" t="str">
        <f>""</f>
        <v/>
      </c>
      <c r="Y23" t="str">
        <f>""</f>
        <v/>
      </c>
      <c r="Z23" t="str">
        <f>""</f>
        <v/>
      </c>
      <c r="AA23" t="str">
        <f>""</f>
        <v/>
      </c>
      <c r="AB23" t="str">
        <f>""</f>
        <v/>
      </c>
      <c r="AC23" t="str">
        <f>""</f>
        <v/>
      </c>
      <c r="AD23" t="str">
        <f>""</f>
        <v/>
      </c>
      <c r="AE23" t="str">
        <f>""</f>
        <v/>
      </c>
      <c r="AF23" t="str">
        <f>""</f>
        <v/>
      </c>
      <c r="AG23" t="str">
        <f>""</f>
        <v/>
      </c>
      <c r="AH23" t="str">
        <f>""</f>
        <v/>
      </c>
      <c r="AI23" t="str">
        <f>".3497"</f>
        <v>.3497</v>
      </c>
      <c r="AJ23" t="str">
        <f>".4112"</f>
        <v>.4112</v>
      </c>
      <c r="AK23" t="str">
        <f>".1205"</f>
        <v>.1205</v>
      </c>
      <c r="AL23" t="str">
        <f>".3196"</f>
        <v>.3196</v>
      </c>
      <c r="AM23" t="str">
        <f>".6121"</f>
        <v>.6121</v>
      </c>
      <c r="AN23" t="str">
        <f>".6059"</f>
        <v>.6059</v>
      </c>
    </row>
    <row r="24" spans="1:40" x14ac:dyDescent="0.2">
      <c r="A24" t="str">
        <f>""</f>
        <v/>
      </c>
      <c r="B24" t="str">
        <f>""</f>
        <v/>
      </c>
      <c r="C24" t="str">
        <f>""</f>
        <v/>
      </c>
      <c r="D24" t="str">
        <f>""</f>
        <v/>
      </c>
      <c r="E24" t="str">
        <f>""</f>
        <v/>
      </c>
      <c r="F24" t="str">
        <f>""</f>
        <v/>
      </c>
      <c r="G24" t="str">
        <f>""</f>
        <v/>
      </c>
      <c r="H24" t="str">
        <f>""</f>
        <v/>
      </c>
      <c r="I24" t="str">
        <f>""</f>
        <v/>
      </c>
      <c r="J24" t="str">
        <f>""</f>
        <v/>
      </c>
      <c r="K24" t="str">
        <f>""</f>
        <v/>
      </c>
      <c r="L24" t="str">
        <f>""</f>
        <v/>
      </c>
      <c r="M24" t="str">
        <f>""</f>
        <v/>
      </c>
      <c r="N24" t="str">
        <f>""</f>
        <v/>
      </c>
      <c r="O24" t="str">
        <f>""</f>
        <v/>
      </c>
      <c r="P24" t="str">
        <f>""</f>
        <v/>
      </c>
      <c r="Q24" t="str">
        <f>""</f>
        <v/>
      </c>
      <c r="R24" t="str">
        <f>""</f>
        <v/>
      </c>
      <c r="S24" t="str">
        <f>""</f>
        <v/>
      </c>
      <c r="T24" t="str">
        <f>""</f>
        <v/>
      </c>
      <c r="U24" t="str">
        <f>""</f>
        <v/>
      </c>
      <c r="V24" t="str">
        <f>""</f>
        <v/>
      </c>
      <c r="W24" t="str">
        <f>""</f>
        <v/>
      </c>
      <c r="X24" t="str">
        <f>""</f>
        <v/>
      </c>
      <c r="Y24" t="str">
        <f>""</f>
        <v/>
      </c>
      <c r="Z24" t="str">
        <f>""</f>
        <v/>
      </c>
      <c r="AA24" t="str">
        <f>""</f>
        <v/>
      </c>
      <c r="AB24" t="str">
        <f>""</f>
        <v/>
      </c>
      <c r="AC24" t="str">
        <f>""</f>
        <v/>
      </c>
      <c r="AD24" t="str">
        <f>""</f>
        <v/>
      </c>
      <c r="AE24" t="str">
        <f>""</f>
        <v/>
      </c>
      <c r="AF24" t="str">
        <f>""</f>
        <v/>
      </c>
      <c r="AG24" t="str">
        <f>""</f>
        <v/>
      </c>
      <c r="AH24" t="str">
        <f>""</f>
        <v/>
      </c>
      <c r="AI24" t="str">
        <f>"(.27)"</f>
        <v>(.27)</v>
      </c>
      <c r="AJ24" t="str">
        <f>"(.512)"</f>
        <v>(.512)</v>
      </c>
      <c r="AK24" t="str">
        <f>"(.5851)"</f>
        <v>(.5851)</v>
      </c>
      <c r="AL24" t="str">
        <f>"(.2849)"</f>
        <v>(.2849)</v>
      </c>
      <c r="AM24" t="str">
        <f>"(.4304)"</f>
        <v>(.4304)</v>
      </c>
      <c r="AN24" t="str">
        <f>"(.4863)"</f>
        <v>(.4863)</v>
      </c>
    </row>
    <row r="26" spans="1:40" x14ac:dyDescent="0.2">
      <c r="A26" t="str">
        <f>"Division-CZ dummies"</f>
        <v>Division-CZ dummies</v>
      </c>
      <c r="B26" t="str">
        <f>"No"</f>
        <v>No</v>
      </c>
      <c r="C26" t="str">
        <f>"Yes"</f>
        <v>Yes</v>
      </c>
      <c r="D26" t="str">
        <f>"Yes"</f>
        <v>Yes</v>
      </c>
      <c r="E26" t="str">
        <f>"No"</f>
        <v>No</v>
      </c>
      <c r="F26" t="str">
        <f>"Yes"</f>
        <v>Yes</v>
      </c>
      <c r="G26" t="str">
        <f>"Yes"</f>
        <v>Yes</v>
      </c>
      <c r="H26" t="str">
        <f>"No"</f>
        <v>No</v>
      </c>
      <c r="I26" t="str">
        <f>"Yes"</f>
        <v>Yes</v>
      </c>
      <c r="J26" t="str">
        <f>"Yes"</f>
        <v>Yes</v>
      </c>
      <c r="K26" t="str">
        <f>"No"</f>
        <v>No</v>
      </c>
      <c r="L26" t="str">
        <f>"Yes"</f>
        <v>Yes</v>
      </c>
      <c r="M26" t="str">
        <f>"Yes"</f>
        <v>Yes</v>
      </c>
      <c r="N26" t="str">
        <f>"No"</f>
        <v>No</v>
      </c>
      <c r="O26" t="str">
        <f>"Yes"</f>
        <v>Yes</v>
      </c>
      <c r="P26" t="str">
        <f>"Yes"</f>
        <v>Yes</v>
      </c>
      <c r="Q26" t="str">
        <f>"No"</f>
        <v>No</v>
      </c>
      <c r="R26" t="str">
        <f>"Yes"</f>
        <v>Yes</v>
      </c>
      <c r="S26" t="str">
        <f>"Yes"</f>
        <v>Yes</v>
      </c>
      <c r="T26" t="str">
        <f>"No"</f>
        <v>No</v>
      </c>
      <c r="U26" t="str">
        <f>"Yes"</f>
        <v>Yes</v>
      </c>
      <c r="V26" t="str">
        <f>"Yes"</f>
        <v>Yes</v>
      </c>
      <c r="W26" t="str">
        <f>"No"</f>
        <v>No</v>
      </c>
      <c r="X26" t="str">
        <f>"Yes"</f>
        <v>Yes</v>
      </c>
      <c r="Y26" t="str">
        <f>"Yes"</f>
        <v>Yes</v>
      </c>
      <c r="Z26" t="str">
        <f>"No"</f>
        <v>No</v>
      </c>
      <c r="AA26" t="str">
        <f>"Yes"</f>
        <v>Yes</v>
      </c>
      <c r="AB26" t="str">
        <f>"Yes"</f>
        <v>Yes</v>
      </c>
      <c r="AC26" t="str">
        <f>"No"</f>
        <v>No</v>
      </c>
      <c r="AD26" t="str">
        <f>"Yes"</f>
        <v>Yes</v>
      </c>
      <c r="AE26" t="str">
        <f>"Yes"</f>
        <v>Yes</v>
      </c>
      <c r="AF26" t="str">
        <f>"No"</f>
        <v>No</v>
      </c>
      <c r="AG26" t="str">
        <f>"Yes"</f>
        <v>Yes</v>
      </c>
      <c r="AH26" t="str">
        <f>"Yes"</f>
        <v>Yes</v>
      </c>
      <c r="AI26" t="str">
        <f>"No"</f>
        <v>No</v>
      </c>
      <c r="AJ26" t="str">
        <f>"Yes"</f>
        <v>Yes</v>
      </c>
      <c r="AK26" t="str">
        <f>"Yes"</f>
        <v>Yes</v>
      </c>
      <c r="AL26" t="str">
        <f>"No"</f>
        <v>No</v>
      </c>
      <c r="AM26" t="str">
        <f>"Yes"</f>
        <v>Yes</v>
      </c>
      <c r="AN26" t="str">
        <f>"Yes"</f>
        <v>Yes</v>
      </c>
    </row>
    <row r="27" spans="1:40" x14ac:dyDescent="0.2">
      <c r="A27" t="str">
        <f>"Region dummies"</f>
        <v>Region dummies</v>
      </c>
      <c r="B27" t="str">
        <f>"No"</f>
        <v>No</v>
      </c>
      <c r="C27" t="str">
        <f>"No"</f>
        <v>No</v>
      </c>
      <c r="D27" t="str">
        <f>"Yes"</f>
        <v>Yes</v>
      </c>
      <c r="E27" t="str">
        <f>"No"</f>
        <v>No</v>
      </c>
      <c r="F27" t="str">
        <f>"No"</f>
        <v>No</v>
      </c>
      <c r="G27" t="str">
        <f>"Yes"</f>
        <v>Yes</v>
      </c>
      <c r="H27" t="str">
        <f>"No"</f>
        <v>No</v>
      </c>
      <c r="I27" t="str">
        <f>"No"</f>
        <v>No</v>
      </c>
      <c r="J27" t="str">
        <f>"Yes"</f>
        <v>Yes</v>
      </c>
      <c r="K27" t="str">
        <f>"No"</f>
        <v>No</v>
      </c>
      <c r="L27" t="str">
        <f>"No"</f>
        <v>No</v>
      </c>
      <c r="M27" t="str">
        <f>"Yes"</f>
        <v>Yes</v>
      </c>
      <c r="N27" t="str">
        <f>"No"</f>
        <v>No</v>
      </c>
      <c r="O27" t="str">
        <f>"No"</f>
        <v>No</v>
      </c>
      <c r="P27" t="str">
        <f>"Yes"</f>
        <v>Yes</v>
      </c>
      <c r="Q27" t="str">
        <f>"No"</f>
        <v>No</v>
      </c>
      <c r="R27" t="str">
        <f>"No"</f>
        <v>No</v>
      </c>
      <c r="S27" t="str">
        <f>"Yes"</f>
        <v>Yes</v>
      </c>
      <c r="T27" t="str">
        <f>"No"</f>
        <v>No</v>
      </c>
      <c r="U27" t="str">
        <f>"No"</f>
        <v>No</v>
      </c>
      <c r="V27" t="str">
        <f>"Yes"</f>
        <v>Yes</v>
      </c>
      <c r="W27" t="str">
        <f>"No"</f>
        <v>No</v>
      </c>
      <c r="X27" t="str">
        <f>"No"</f>
        <v>No</v>
      </c>
      <c r="Y27" t="str">
        <f>"Yes"</f>
        <v>Yes</v>
      </c>
      <c r="Z27" t="str">
        <f>"No"</f>
        <v>No</v>
      </c>
      <c r="AA27" t="str">
        <f>"No"</f>
        <v>No</v>
      </c>
      <c r="AB27" t="str">
        <f>"Yes"</f>
        <v>Yes</v>
      </c>
      <c r="AC27" t="str">
        <f>"No"</f>
        <v>No</v>
      </c>
      <c r="AD27" t="str">
        <f>"No"</f>
        <v>No</v>
      </c>
      <c r="AE27" t="str">
        <f>"Yes"</f>
        <v>Yes</v>
      </c>
      <c r="AF27" t="str">
        <f>"No"</f>
        <v>No</v>
      </c>
      <c r="AG27" t="str">
        <f>"No"</f>
        <v>No</v>
      </c>
      <c r="AH27" t="str">
        <f>"Yes"</f>
        <v>Yes</v>
      </c>
      <c r="AI27" t="str">
        <f>"No"</f>
        <v>No</v>
      </c>
      <c r="AJ27" t="str">
        <f>"No"</f>
        <v>No</v>
      </c>
      <c r="AK27" t="str">
        <f>"Yes"</f>
        <v>Yes</v>
      </c>
      <c r="AL27" t="str">
        <f>"No"</f>
        <v>No</v>
      </c>
      <c r="AM27" t="str">
        <f>"No"</f>
        <v>No</v>
      </c>
      <c r="AN27" t="str">
        <f>"Yes"</f>
        <v>Yes</v>
      </c>
    </row>
    <row r="28" spans="1:40" x14ac:dyDescent="0.2">
      <c r="A28" t="str">
        <f>"N"</f>
        <v>N</v>
      </c>
      <c r="B28" s="7" t="str">
        <f>"60"</f>
        <v>60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x14ac:dyDescent="0.2">
      <c r="A29" t="str">
        <f>"r2_a"</f>
        <v>r2_a</v>
      </c>
      <c r="B29" t="str">
        <f>"-.01792"</f>
        <v>-.01792</v>
      </c>
      <c r="C29" t="str">
        <f>".1096"</f>
        <v>.1096</v>
      </c>
      <c r="D29" t="str">
        <f>".1902"</f>
        <v>.1902</v>
      </c>
      <c r="E29" t="str">
        <f>".04398"</f>
        <v>.04398</v>
      </c>
      <c r="F29" t="str">
        <f>".0551"</f>
        <v>.0551</v>
      </c>
      <c r="G29" t="str">
        <f>".07961"</f>
        <v>.07961</v>
      </c>
      <c r="H29" t="str">
        <f>".2939"</f>
        <v>.2939</v>
      </c>
      <c r="I29" t="str">
        <f>".7092"</f>
        <v>.7092</v>
      </c>
      <c r="J29" t="str">
        <f>".7372"</f>
        <v>.7372</v>
      </c>
      <c r="K29" t="str">
        <f>".2392"</f>
        <v>.2392</v>
      </c>
      <c r="L29" t="str">
        <f>".673"</f>
        <v>.673</v>
      </c>
      <c r="M29" t="str">
        <f>".6955"</f>
        <v>.6955</v>
      </c>
      <c r="N29" t="str">
        <f>".5314"</f>
        <v>.5314</v>
      </c>
      <c r="O29" t="str">
        <f>".6996"</f>
        <v>.6996</v>
      </c>
      <c r="P29" t="str">
        <f>".7416"</f>
        <v>.7416</v>
      </c>
      <c r="Q29" t="str">
        <f>".02061"</f>
        <v>.02061</v>
      </c>
      <c r="R29" t="str">
        <f>".08126"</f>
        <v>.08126</v>
      </c>
      <c r="S29" t="str">
        <f>".09221"</f>
        <v>.09221</v>
      </c>
      <c r="T29" t="str">
        <f>".2596"</f>
        <v>.2596</v>
      </c>
      <c r="U29" t="str">
        <f>".692"</f>
        <v>.692</v>
      </c>
      <c r="V29" t="str">
        <f>".7413"</f>
        <v>.7413</v>
      </c>
      <c r="W29" t="str">
        <f>".616"</f>
        <v>.616</v>
      </c>
      <c r="X29" t="str">
        <f>".7518"</f>
        <v>.7518</v>
      </c>
      <c r="Y29" t="str">
        <f>".8013"</f>
        <v>.8013</v>
      </c>
      <c r="Z29" t="str">
        <f>".1783"</f>
        <v>.1783</v>
      </c>
      <c r="AA29" t="str">
        <f>".2263"</f>
        <v>.2263</v>
      </c>
      <c r="AB29" t="str">
        <f>".3191"</f>
        <v>.3191</v>
      </c>
      <c r="AC29" t="str">
        <f>".00199"</f>
        <v>.00199</v>
      </c>
      <c r="AD29" t="str">
        <f>".1114"</f>
        <v>.1114</v>
      </c>
      <c r="AE29" t="str">
        <f>".1958"</f>
        <v>.1958</v>
      </c>
      <c r="AF29" t="str">
        <f>".1596"</f>
        <v>.1596</v>
      </c>
      <c r="AG29" t="str">
        <f>".2087"</f>
        <v>.2087</v>
      </c>
      <c r="AH29" t="str">
        <f>".2962"</f>
        <v>.2962</v>
      </c>
      <c r="AI29" t="str">
        <f>".02262"</f>
        <v>.02262</v>
      </c>
      <c r="AJ29" t="str">
        <f>".1496"</f>
        <v>.1496</v>
      </c>
      <c r="AK29" t="str">
        <f>".1064"</f>
        <v>.1064</v>
      </c>
      <c r="AL29" t="str">
        <f>".3005"</f>
        <v>.3005</v>
      </c>
      <c r="AM29" t="str">
        <f>".389"</f>
        <v>.389</v>
      </c>
      <c r="AN29" t="str">
        <f>".3807"</f>
        <v>.3807</v>
      </c>
    </row>
    <row r="30" spans="1:40" x14ac:dyDescent="0.2">
      <c r="A30" t="str">
        <f>"rmse"</f>
        <v>rmse</v>
      </c>
      <c r="B30" t="str">
        <f>".08256"</f>
        <v>.08256</v>
      </c>
      <c r="C30" t="str">
        <f>".07722"</f>
        <v>.07722</v>
      </c>
      <c r="D30" t="str">
        <f>".07364"</f>
        <v>.07364</v>
      </c>
      <c r="E30" t="str">
        <f>".08001"</f>
        <v>.08001</v>
      </c>
      <c r="F30" t="str">
        <f>".07955"</f>
        <v>.07955</v>
      </c>
      <c r="G30" t="str">
        <f>".07851"</f>
        <v>.07851</v>
      </c>
      <c r="H30" t="str">
        <f>".06876"</f>
        <v>.06876</v>
      </c>
      <c r="I30" t="str">
        <f>".04413"</f>
        <v>.04413</v>
      </c>
      <c r="J30" t="str">
        <f>".04195"</f>
        <v>.04195</v>
      </c>
      <c r="K30" t="str">
        <f>".07138"</f>
        <v>.07138</v>
      </c>
      <c r="L30" t="str">
        <f>".04679"</f>
        <v>.04679</v>
      </c>
      <c r="M30" t="str">
        <f>".04516"</f>
        <v>.04516</v>
      </c>
      <c r="N30" t="str">
        <f>".05602"</f>
        <v>.05602</v>
      </c>
      <c r="O30" t="str">
        <f>".04485"</f>
        <v>.04485</v>
      </c>
      <c r="P30" t="str">
        <f>".0416"</f>
        <v>.0416</v>
      </c>
      <c r="Q30" t="str">
        <f>".08099"</f>
        <v>.08099</v>
      </c>
      <c r="R30" t="str">
        <f>".07844"</f>
        <v>.07844</v>
      </c>
      <c r="S30" t="str">
        <f>".07797"</f>
        <v>.07797</v>
      </c>
      <c r="T30" t="str">
        <f>".07041"</f>
        <v>.07041</v>
      </c>
      <c r="U30" t="str">
        <f>".04541"</f>
        <v>.04541</v>
      </c>
      <c r="V30" t="str">
        <f>".04162"</f>
        <v>.04162</v>
      </c>
      <c r="W30" t="str">
        <f>".05071"</f>
        <v>.05071</v>
      </c>
      <c r="X30" t="str">
        <f>".04077"</f>
        <v>.04077</v>
      </c>
      <c r="Y30" t="str">
        <f>".03648"</f>
        <v>.03648</v>
      </c>
      <c r="Z30" t="str">
        <f>".07418"</f>
        <v>.07418</v>
      </c>
      <c r="AA30" t="str">
        <f>".07198"</f>
        <v>.07198</v>
      </c>
      <c r="AB30" t="str">
        <f>".06753"</f>
        <v>.06753</v>
      </c>
      <c r="AC30" t="str">
        <f>".08175"</f>
        <v>.08175</v>
      </c>
      <c r="AD30" t="str">
        <f>".07714"</f>
        <v>.07714</v>
      </c>
      <c r="AE30" t="str">
        <f>".07339"</f>
        <v>.07339</v>
      </c>
      <c r="AF30" t="str">
        <f>".07502"</f>
        <v>.07502</v>
      </c>
      <c r="AG30" t="str">
        <f>".0728"</f>
        <v>.0728</v>
      </c>
      <c r="AH30" t="str">
        <f>".06865"</f>
        <v>.06865</v>
      </c>
      <c r="AI30" t="str">
        <f>".0809"</f>
        <v>.0809</v>
      </c>
      <c r="AJ30" t="str">
        <f>".07546"</f>
        <v>.07546</v>
      </c>
      <c r="AK30" t="str">
        <f>".07736"</f>
        <v>.07736</v>
      </c>
      <c r="AL30" t="str">
        <f>".06844"</f>
        <v>.06844</v>
      </c>
      <c r="AM30" t="str">
        <f>".06397"</f>
        <v>.06397</v>
      </c>
      <c r="AN30" t="str">
        <f>".0644"</f>
        <v>.0644</v>
      </c>
    </row>
    <row r="34" spans="1:40" x14ac:dyDescent="0.2">
      <c r="A34" t="str">
        <f>"Output 9b - Multivariate Regressions, Top59 100%"</f>
        <v>Output 9b - Multivariate Regressions, Top59 100%</v>
      </c>
    </row>
    <row r="35" spans="1:40" s="1" customFormat="1" x14ac:dyDescent="0.2"/>
    <row r="36" spans="1:40" x14ac:dyDescent="0.2">
      <c r="A36" t="str">
        <f>""</f>
        <v/>
      </c>
      <c r="B36" s="7" t="s">
        <v>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8" spans="1:40" x14ac:dyDescent="0.2">
      <c r="A38" t="str">
        <f>"alpha_c"</f>
        <v>alpha_c</v>
      </c>
      <c r="B38" t="str">
        <f>".4336**"</f>
        <v>.4336**</v>
      </c>
      <c r="C38" t="str">
        <f>".3668*"</f>
        <v>.3668*</v>
      </c>
      <c r="D38" t="str">
        <f>".389*"</f>
        <v>.389*</v>
      </c>
      <c r="E38" t="str">
        <f>""</f>
        <v/>
      </c>
      <c r="F38" t="str">
        <f>""</f>
        <v/>
      </c>
      <c r="G38" t="str">
        <f>""</f>
        <v/>
      </c>
      <c r="H38" t="str">
        <f>""</f>
        <v/>
      </c>
      <c r="I38" t="str">
        <f>""</f>
        <v/>
      </c>
      <c r="J38" t="str">
        <f>""</f>
        <v/>
      </c>
      <c r="K38" t="str">
        <f>""</f>
        <v/>
      </c>
      <c r="L38" t="str">
        <f>""</f>
        <v/>
      </c>
      <c r="M38" t="str">
        <f>""</f>
        <v/>
      </c>
      <c r="N38" t="str">
        <f>".8235***"</f>
        <v>.8235***</v>
      </c>
      <c r="O38" t="str">
        <f>".6567***"</f>
        <v>.6567***</v>
      </c>
      <c r="P38" t="str">
        <f>".6811***"</f>
        <v>.6811***</v>
      </c>
      <c r="Q38" t="str">
        <f>".8325***"</f>
        <v>.8325***</v>
      </c>
      <c r="R38" t="str">
        <f>".7034***"</f>
        <v>.7034***</v>
      </c>
      <c r="S38" t="str">
        <f>".7543***"</f>
        <v>.7543***</v>
      </c>
      <c r="T38" t="str">
        <f>""</f>
        <v/>
      </c>
      <c r="U38" t="str">
        <f>""</f>
        <v/>
      </c>
      <c r="V38" t="str">
        <f>""</f>
        <v/>
      </c>
      <c r="W38" t="str">
        <f>".8233***"</f>
        <v>.8233***</v>
      </c>
      <c r="X38" t="str">
        <f>".6916***"</f>
        <v>.6916***</v>
      </c>
      <c r="Y38" t="str">
        <f>".7088***"</f>
        <v>.7088***</v>
      </c>
      <c r="Z38" t="str">
        <f>""</f>
        <v/>
      </c>
      <c r="AA38" t="str">
        <f>""</f>
        <v/>
      </c>
      <c r="AB38" t="str">
        <f>""</f>
        <v/>
      </c>
      <c r="AC38" t="str">
        <f>""</f>
        <v/>
      </c>
      <c r="AD38" t="str">
        <f>""</f>
        <v/>
      </c>
      <c r="AE38" t="str">
        <f>""</f>
        <v/>
      </c>
      <c r="AF38" t="str">
        <f>""</f>
        <v/>
      </c>
      <c r="AG38" t="str">
        <f>""</f>
        <v/>
      </c>
      <c r="AH38" t="str">
        <f>""</f>
        <v/>
      </c>
      <c r="AI38" t="str">
        <f>""</f>
        <v/>
      </c>
      <c r="AJ38" t="str">
        <f>""</f>
        <v/>
      </c>
      <c r="AK38" t="str">
        <f>""</f>
        <v/>
      </c>
      <c r="AL38" t="str">
        <f>""</f>
        <v/>
      </c>
      <c r="AM38" t="str">
        <f>""</f>
        <v/>
      </c>
      <c r="AN38" t="str">
        <f>""</f>
        <v/>
      </c>
    </row>
    <row r="39" spans="1:40" x14ac:dyDescent="0.2">
      <c r="A39" t="str">
        <f>""</f>
        <v/>
      </c>
      <c r="B39" t="str">
        <f>"(.1782)"</f>
        <v>(.1782)</v>
      </c>
      <c r="C39" t="str">
        <f>"(.2229)"</f>
        <v>(.2229)</v>
      </c>
      <c r="D39" t="str">
        <f>"(.2155)"</f>
        <v>(.2155)</v>
      </c>
      <c r="E39" t="str">
        <f>""</f>
        <v/>
      </c>
      <c r="F39" t="str">
        <f>""</f>
        <v/>
      </c>
      <c r="G39" t="str">
        <f>""</f>
        <v/>
      </c>
      <c r="H39" t="str">
        <f>""</f>
        <v/>
      </c>
      <c r="I39" t="str">
        <f>""</f>
        <v/>
      </c>
      <c r="J39" t="str">
        <f>""</f>
        <v/>
      </c>
      <c r="K39" t="str">
        <f>""</f>
        <v/>
      </c>
      <c r="L39" t="str">
        <f>""</f>
        <v/>
      </c>
      <c r="M39" t="str">
        <f>""</f>
        <v/>
      </c>
      <c r="N39" t="str">
        <f>"(.1309)"</f>
        <v>(.1309)</v>
      </c>
      <c r="O39" t="str">
        <f>"(.1821)"</f>
        <v>(.1821)</v>
      </c>
      <c r="P39" t="str">
        <f>"(.1082)"</f>
        <v>(.1082)</v>
      </c>
      <c r="Q39" t="str">
        <f>"(.09353)"</f>
        <v>(.09353)</v>
      </c>
      <c r="R39" t="str">
        <f>"(.1778)"</f>
        <v>(.1778)</v>
      </c>
      <c r="S39" t="str">
        <f>"(.1759)"</f>
        <v>(.1759)</v>
      </c>
      <c r="T39" t="str">
        <f>""</f>
        <v/>
      </c>
      <c r="U39" t="str">
        <f>""</f>
        <v/>
      </c>
      <c r="V39" t="str">
        <f>""</f>
        <v/>
      </c>
      <c r="W39" t="str">
        <f>"(.09969)"</f>
        <v>(.09969)</v>
      </c>
      <c r="X39" t="str">
        <f>"(.1733)"</f>
        <v>(.1733)</v>
      </c>
      <c r="Y39" t="str">
        <f>"(.1612)"</f>
        <v>(.1612)</v>
      </c>
      <c r="Z39" t="str">
        <f>""</f>
        <v/>
      </c>
      <c r="AA39" t="str">
        <f>""</f>
        <v/>
      </c>
      <c r="AB39" t="str">
        <f>""</f>
        <v/>
      </c>
      <c r="AC39" t="str">
        <f>""</f>
        <v/>
      </c>
      <c r="AD39" t="str">
        <f>""</f>
        <v/>
      </c>
      <c r="AE39" t="str">
        <f>""</f>
        <v/>
      </c>
      <c r="AF39" t="str">
        <f>""</f>
        <v/>
      </c>
      <c r="AG39" t="str">
        <f>""</f>
        <v/>
      </c>
      <c r="AH39" t="str">
        <f>""</f>
        <v/>
      </c>
      <c r="AI39" t="str">
        <f>""</f>
        <v/>
      </c>
      <c r="AJ39" t="str">
        <f>""</f>
        <v/>
      </c>
      <c r="AK39" t="str">
        <f>""</f>
        <v/>
      </c>
      <c r="AL39" t="str">
        <f>""</f>
        <v/>
      </c>
      <c r="AM39" t="str">
        <f>""</f>
        <v/>
      </c>
      <c r="AN39" t="str">
        <f>""</f>
        <v/>
      </c>
    </row>
    <row r="40" spans="1:40" x14ac:dyDescent="0.2">
      <c r="A40" t="str">
        <f>"Ealpha_c"</f>
        <v>Ealpha_c</v>
      </c>
      <c r="B40" t="str">
        <f>"2.185***"</f>
        <v>2.185***</v>
      </c>
      <c r="C40" t="str">
        <f>"2.07***"</f>
        <v>2.07***</v>
      </c>
      <c r="D40" t="str">
        <f>"2.046***"</f>
        <v>2.046***</v>
      </c>
      <c r="E40" t="str">
        <f>""</f>
        <v/>
      </c>
      <c r="F40" t="str">
        <f>""</f>
        <v/>
      </c>
      <c r="G40" t="str">
        <f>""</f>
        <v/>
      </c>
      <c r="H40" t="str">
        <f>""</f>
        <v/>
      </c>
      <c r="I40" t="str">
        <f>""</f>
        <v/>
      </c>
      <c r="J40" t="str">
        <f>""</f>
        <v/>
      </c>
      <c r="K40" t="str">
        <f>""</f>
        <v/>
      </c>
      <c r="L40" t="str">
        <f>""</f>
        <v/>
      </c>
      <c r="M40" t="str">
        <f>""</f>
        <v/>
      </c>
      <c r="N40" t="str">
        <f>""</f>
        <v/>
      </c>
      <c r="O40" t="str">
        <f>""</f>
        <v/>
      </c>
      <c r="P40" t="str">
        <f>""</f>
        <v/>
      </c>
      <c r="Q40" t="str">
        <f>""</f>
        <v/>
      </c>
      <c r="R40" t="str">
        <f>""</f>
        <v/>
      </c>
      <c r="S40" t="str">
        <f>""</f>
        <v/>
      </c>
      <c r="T40" t="str">
        <f>""</f>
        <v/>
      </c>
      <c r="U40" t="str">
        <f>""</f>
        <v/>
      </c>
      <c r="V40" t="str">
        <f>""</f>
        <v/>
      </c>
      <c r="W40" t="str">
        <f>""</f>
        <v/>
      </c>
      <c r="X40" t="str">
        <f>""</f>
        <v/>
      </c>
      <c r="Y40" t="str">
        <f>""</f>
        <v/>
      </c>
      <c r="Z40" t="str">
        <f>"3.964***"</f>
        <v>3.964***</v>
      </c>
      <c r="AA40" t="str">
        <f>"3.23***"</f>
        <v>3.23***</v>
      </c>
      <c r="AB40" t="str">
        <f>"3.203***"</f>
        <v>3.203***</v>
      </c>
      <c r="AC40" t="str">
        <f>"3.39***"</f>
        <v>3.39***</v>
      </c>
      <c r="AD40" t="str">
        <f>"3.05***"</f>
        <v>3.05***</v>
      </c>
      <c r="AE40" t="str">
        <f>"3.292***"</f>
        <v>3.292***</v>
      </c>
      <c r="AF40" t="str">
        <f>"2.456***"</f>
        <v>2.456***</v>
      </c>
      <c r="AG40" t="str">
        <f>"2.085***"</f>
        <v>2.085***</v>
      </c>
      <c r="AH40" t="str">
        <f>"1.993**"</f>
        <v>1.993**</v>
      </c>
      <c r="AI40" t="str">
        <f>""</f>
        <v/>
      </c>
      <c r="AJ40" t="str">
        <f>""</f>
        <v/>
      </c>
      <c r="AK40" t="str">
        <f>""</f>
        <v/>
      </c>
      <c r="AL40" t="str">
        <f>"2.401***"</f>
        <v>2.401***</v>
      </c>
      <c r="AM40" t="str">
        <f>"2.07**"</f>
        <v>2.07**</v>
      </c>
      <c r="AN40" t="str">
        <f>"1.862*"</f>
        <v>1.862*</v>
      </c>
    </row>
    <row r="41" spans="1:40" x14ac:dyDescent="0.2">
      <c r="A41" t="str">
        <f>""</f>
        <v/>
      </c>
      <c r="B41" t="str">
        <f>"(.6607)"</f>
        <v>(.6607)</v>
      </c>
      <c r="C41" t="str">
        <f>"(.7799)"</f>
        <v>(.7799)</v>
      </c>
      <c r="D41" t="str">
        <f>"(.7581)"</f>
        <v>(.7581)</v>
      </c>
      <c r="E41" t="str">
        <f>""</f>
        <v/>
      </c>
      <c r="F41" t="str">
        <f>""</f>
        <v/>
      </c>
      <c r="G41" t="str">
        <f>""</f>
        <v/>
      </c>
      <c r="H41" t="str">
        <f>""</f>
        <v/>
      </c>
      <c r="I41" t="str">
        <f>""</f>
        <v/>
      </c>
      <c r="J41" t="str">
        <f>""</f>
        <v/>
      </c>
      <c r="K41" t="str">
        <f>""</f>
        <v/>
      </c>
      <c r="L41" t="str">
        <f>""</f>
        <v/>
      </c>
      <c r="M41" t="str">
        <f>""</f>
        <v/>
      </c>
      <c r="N41" t="str">
        <f>""</f>
        <v/>
      </c>
      <c r="O41" t="str">
        <f>""</f>
        <v/>
      </c>
      <c r="P41" t="str">
        <f>""</f>
        <v/>
      </c>
      <c r="Q41" t="str">
        <f>""</f>
        <v/>
      </c>
      <c r="R41" t="str">
        <f>""</f>
        <v/>
      </c>
      <c r="S41" t="str">
        <f>""</f>
        <v/>
      </c>
      <c r="T41" t="str">
        <f>""</f>
        <v/>
      </c>
      <c r="U41" t="str">
        <f>""</f>
        <v/>
      </c>
      <c r="V41" t="str">
        <f>""</f>
        <v/>
      </c>
      <c r="W41" t="str">
        <f>""</f>
        <v/>
      </c>
      <c r="X41" t="str">
        <f>""</f>
        <v/>
      </c>
      <c r="Y41" t="str">
        <f>""</f>
        <v/>
      </c>
      <c r="Z41" t="str">
        <f>"(.3172)"</f>
        <v>(.3172)</v>
      </c>
      <c r="AA41" t="str">
        <f>"(.6649)"</f>
        <v>(.6649)</v>
      </c>
      <c r="AB41" t="str">
        <f>"(.9278)"</f>
        <v>(.9278)</v>
      </c>
      <c r="AC41" t="str">
        <f>"(.9854)"</f>
        <v>(.9854)</v>
      </c>
      <c r="AD41" t="str">
        <f>"(1.175)"</f>
        <v>(1.175)</v>
      </c>
      <c r="AE41" t="str">
        <f>"(1.143)"</f>
        <v>(1.143)</v>
      </c>
      <c r="AF41" t="str">
        <f>"(.6794)"</f>
        <v>(.6794)</v>
      </c>
      <c r="AG41" t="str">
        <f>"(.7957)"</f>
        <v>(.7957)</v>
      </c>
      <c r="AH41" t="str">
        <f>"(1.016)"</f>
        <v>(1.016)</v>
      </c>
      <c r="AI41" t="str">
        <f>""</f>
        <v/>
      </c>
      <c r="AJ41" t="str">
        <f>""</f>
        <v/>
      </c>
      <c r="AK41" t="str">
        <f>""</f>
        <v/>
      </c>
      <c r="AL41" t="str">
        <f>"(.6649)"</f>
        <v>(.6649)</v>
      </c>
      <c r="AM41" t="str">
        <f>"(.8356)"</f>
        <v>(.8356)</v>
      </c>
      <c r="AN41" t="str">
        <f>"(1.082)"</f>
        <v>(1.082)</v>
      </c>
    </row>
    <row r="42" spans="1:40" x14ac:dyDescent="0.2">
      <c r="A42" t="str">
        <f>"s_alpha_q1q5"</f>
        <v>s_alpha_q1q5</v>
      </c>
      <c r="B42" t="str">
        <f>""</f>
        <v/>
      </c>
      <c r="C42" t="str">
        <f>""</f>
        <v/>
      </c>
      <c r="D42" t="str">
        <f>""</f>
        <v/>
      </c>
      <c r="E42" t="str">
        <f>".9279"</f>
        <v>.9279</v>
      </c>
      <c r="F42" t="str">
        <f>"1.065"</f>
        <v>1.065</v>
      </c>
      <c r="G42" t="str">
        <f>"1.178"</f>
        <v>1.178</v>
      </c>
      <c r="H42" t="str">
        <f>""</f>
        <v/>
      </c>
      <c r="I42" t="str">
        <f>""</f>
        <v/>
      </c>
      <c r="J42" t="str">
        <f>""</f>
        <v/>
      </c>
      <c r="K42" t="str">
        <f>""</f>
        <v/>
      </c>
      <c r="L42" t="str">
        <f>""</f>
        <v/>
      </c>
      <c r="M42" t="str">
        <f>""</f>
        <v/>
      </c>
      <c r="N42" t="str">
        <f>""</f>
        <v/>
      </c>
      <c r="O42" t="str">
        <f>""</f>
        <v/>
      </c>
      <c r="P42" t="str">
        <f>""</f>
        <v/>
      </c>
      <c r="Q42" t="str">
        <f>".3469"</f>
        <v>.3469</v>
      </c>
      <c r="R42" t="str">
        <f>".1976"</f>
        <v>.1976</v>
      </c>
      <c r="S42" t="str">
        <f>".2146"</f>
        <v>.2146</v>
      </c>
      <c r="T42" t="str">
        <f>""</f>
        <v/>
      </c>
      <c r="U42" t="str">
        <f>""</f>
        <v/>
      </c>
      <c r="V42" t="str">
        <f>""</f>
        <v/>
      </c>
      <c r="W42" t="str">
        <f>".3509"</f>
        <v>.3509</v>
      </c>
      <c r="X42" t="str">
        <f>".01169"</f>
        <v>.01169</v>
      </c>
      <c r="Y42" t="str">
        <f>"-.1841"</f>
        <v>-.1841</v>
      </c>
      <c r="Z42" t="str">
        <f>""</f>
        <v/>
      </c>
      <c r="AA42" t="str">
        <f>""</f>
        <v/>
      </c>
      <c r="AB42" t="str">
        <f>""</f>
        <v/>
      </c>
      <c r="AC42" t="str">
        <f>""</f>
        <v/>
      </c>
      <c r="AD42" t="str">
        <f>""</f>
        <v/>
      </c>
      <c r="AE42" t="str">
        <f>""</f>
        <v/>
      </c>
      <c r="AF42" t="str">
        <f>""</f>
        <v/>
      </c>
      <c r="AG42" t="str">
        <f>""</f>
        <v/>
      </c>
      <c r="AH42" t="str">
        <f>""</f>
        <v/>
      </c>
      <c r="AI42" t="str">
        <f>""</f>
        <v/>
      </c>
      <c r="AJ42" t="str">
        <f>""</f>
        <v/>
      </c>
      <c r="AK42" t="str">
        <f>""</f>
        <v/>
      </c>
      <c r="AL42" t="str">
        <f>""</f>
        <v/>
      </c>
      <c r="AM42" t="str">
        <f>""</f>
        <v/>
      </c>
      <c r="AN42" t="str">
        <f>""</f>
        <v/>
      </c>
    </row>
    <row r="43" spans="1:40" x14ac:dyDescent="0.2">
      <c r="A43" t="str">
        <f>""</f>
        <v/>
      </c>
      <c r="B43" t="str">
        <f>""</f>
        <v/>
      </c>
      <c r="C43" t="str">
        <f>""</f>
        <v/>
      </c>
      <c r="D43" t="str">
        <f>""</f>
        <v/>
      </c>
      <c r="E43" t="str">
        <f>"(.5729)"</f>
        <v>(.5729)</v>
      </c>
      <c r="F43" t="str">
        <f>"(.7059)"</f>
        <v>(.7059)</v>
      </c>
      <c r="G43" t="str">
        <f>"(.7429)"</f>
        <v>(.7429)</v>
      </c>
      <c r="H43" t="str">
        <f>""</f>
        <v/>
      </c>
      <c r="I43" t="str">
        <f>""</f>
        <v/>
      </c>
      <c r="J43" t="str">
        <f>""</f>
        <v/>
      </c>
      <c r="K43" t="str">
        <f>""</f>
        <v/>
      </c>
      <c r="L43" t="str">
        <f>""</f>
        <v/>
      </c>
      <c r="M43" t="str">
        <f>""</f>
        <v/>
      </c>
      <c r="N43" t="str">
        <f>""</f>
        <v/>
      </c>
      <c r="O43" t="str">
        <f>""</f>
        <v/>
      </c>
      <c r="P43" t="str">
        <f>""</f>
        <v/>
      </c>
      <c r="Q43" t="str">
        <f>"(.4358)"</f>
        <v>(.4358)</v>
      </c>
      <c r="R43" t="str">
        <f>"(.4874)"</f>
        <v>(.4874)</v>
      </c>
      <c r="S43" t="str">
        <f>"(.5135)"</f>
        <v>(.5135)</v>
      </c>
      <c r="T43" t="str">
        <f>""</f>
        <v/>
      </c>
      <c r="U43" t="str">
        <f>""</f>
        <v/>
      </c>
      <c r="V43" t="str">
        <f>""</f>
        <v/>
      </c>
      <c r="W43" t="str">
        <f>"(.4377)"</f>
        <v>(.4377)</v>
      </c>
      <c r="X43" t="str">
        <f>"(.542)"</f>
        <v>(.542)</v>
      </c>
      <c r="Y43" t="str">
        <f>"(.5453)"</f>
        <v>(.5453)</v>
      </c>
      <c r="Z43" t="str">
        <f>""</f>
        <v/>
      </c>
      <c r="AA43" t="str">
        <f>""</f>
        <v/>
      </c>
      <c r="AB43" t="str">
        <f>""</f>
        <v/>
      </c>
      <c r="AC43" t="str">
        <f>""</f>
        <v/>
      </c>
      <c r="AD43" t="str">
        <f>""</f>
        <v/>
      </c>
      <c r="AE43" t="str">
        <f>""</f>
        <v/>
      </c>
      <c r="AF43" t="str">
        <f>""</f>
        <v/>
      </c>
      <c r="AG43" t="str">
        <f>""</f>
        <v/>
      </c>
      <c r="AH43" t="str">
        <f>""</f>
        <v/>
      </c>
      <c r="AI43" t="str">
        <f>""</f>
        <v/>
      </c>
      <c r="AJ43" t="str">
        <f>""</f>
        <v/>
      </c>
      <c r="AK43" t="str">
        <f>""</f>
        <v/>
      </c>
      <c r="AL43" t="str">
        <f>""</f>
        <v/>
      </c>
      <c r="AM43" t="str">
        <f>""</f>
        <v/>
      </c>
      <c r="AN43" t="str">
        <f>""</f>
        <v/>
      </c>
    </row>
    <row r="44" spans="1:40" x14ac:dyDescent="0.2">
      <c r="A44" t="str">
        <f>"Es_alpha_q1q5"</f>
        <v>Es_alpha_q1q5</v>
      </c>
      <c r="B44" t="str">
        <f>""</f>
        <v/>
      </c>
      <c r="C44" t="str">
        <f>""</f>
        <v/>
      </c>
      <c r="D44" t="str">
        <f>""</f>
        <v/>
      </c>
      <c r="E44" t="str">
        <f>"9.147***"</f>
        <v>9.147***</v>
      </c>
      <c r="F44" t="str">
        <f>"5.812"</f>
        <v>5.812</v>
      </c>
      <c r="G44" t="str">
        <f>"5.875"</f>
        <v>5.875</v>
      </c>
      <c r="H44" t="str">
        <f>""</f>
        <v/>
      </c>
      <c r="I44" t="str">
        <f>""</f>
        <v/>
      </c>
      <c r="J44" t="str">
        <f>""</f>
        <v/>
      </c>
      <c r="K44" t="str">
        <f>""</f>
        <v/>
      </c>
      <c r="L44" t="str">
        <f>""</f>
        <v/>
      </c>
      <c r="M44" t="str">
        <f>""</f>
        <v/>
      </c>
      <c r="N44" t="str">
        <f>""</f>
        <v/>
      </c>
      <c r="O44" t="str">
        <f>""</f>
        <v/>
      </c>
      <c r="P44" t="str">
        <f>""</f>
        <v/>
      </c>
      <c r="Q44" t="str">
        <f>""</f>
        <v/>
      </c>
      <c r="R44" t="str">
        <f>""</f>
        <v/>
      </c>
      <c r="S44" t="str">
        <f>""</f>
        <v/>
      </c>
      <c r="T44" t="str">
        <f>""</f>
        <v/>
      </c>
      <c r="U44" t="str">
        <f>""</f>
        <v/>
      </c>
      <c r="V44" t="str">
        <f>""</f>
        <v/>
      </c>
      <c r="W44" t="str">
        <f>""</f>
        <v/>
      </c>
      <c r="X44" t="str">
        <f>""</f>
        <v/>
      </c>
      <c r="Y44" t="str">
        <f>""</f>
        <v/>
      </c>
      <c r="Z44" t="str">
        <f>""</f>
        <v/>
      </c>
      <c r="AA44" t="str">
        <f>""</f>
        <v/>
      </c>
      <c r="AB44" t="str">
        <f>""</f>
        <v/>
      </c>
      <c r="AC44" t="str">
        <f>"1.775"</f>
        <v>1.775</v>
      </c>
      <c r="AD44" t="str">
        <f>"1.356"</f>
        <v>1.356</v>
      </c>
      <c r="AE44" t="str">
        <f>".4646"</f>
        <v>.4646</v>
      </c>
      <c r="AF44" t="str">
        <f>"-.6438"</f>
        <v>-.6438</v>
      </c>
      <c r="AG44" t="str">
        <f>".02166"</f>
        <v>.02166</v>
      </c>
      <c r="AH44" t="str">
        <f>"-.1308"</f>
        <v>-.1308</v>
      </c>
      <c r="AI44" t="str">
        <f>""</f>
        <v/>
      </c>
      <c r="AJ44" t="str">
        <f>""</f>
        <v/>
      </c>
      <c r="AK44" t="str">
        <f>""</f>
        <v/>
      </c>
      <c r="AL44" t="str">
        <f>"-.5424"</f>
        <v>-.5424</v>
      </c>
      <c r="AM44" t="str">
        <f>"-.08314"</f>
        <v>-.08314</v>
      </c>
      <c r="AN44" t="str">
        <f>".1789"</f>
        <v>.1789</v>
      </c>
    </row>
    <row r="45" spans="1:40" x14ac:dyDescent="0.2">
      <c r="A45" t="str">
        <f>""</f>
        <v/>
      </c>
      <c r="B45" t="str">
        <f>""</f>
        <v/>
      </c>
      <c r="C45" t="str">
        <f>""</f>
        <v/>
      </c>
      <c r="D45" t="str">
        <f>""</f>
        <v/>
      </c>
      <c r="E45" t="str">
        <f>"(1.884)"</f>
        <v>(1.884)</v>
      </c>
      <c r="F45" t="str">
        <f>"(4.102)"</f>
        <v>(4.102)</v>
      </c>
      <c r="G45" t="str">
        <f>"(3.957)"</f>
        <v>(3.957)</v>
      </c>
      <c r="H45" t="str">
        <f>""</f>
        <v/>
      </c>
      <c r="I45" t="str">
        <f>""</f>
        <v/>
      </c>
      <c r="J45" t="str">
        <f>""</f>
        <v/>
      </c>
      <c r="K45" t="str">
        <f>""</f>
        <v/>
      </c>
      <c r="L45" t="str">
        <f>""</f>
        <v/>
      </c>
      <c r="M45" t="str">
        <f>""</f>
        <v/>
      </c>
      <c r="N45" t="str">
        <f>""</f>
        <v/>
      </c>
      <c r="O45" t="str">
        <f>""</f>
        <v/>
      </c>
      <c r="P45" t="str">
        <f>""</f>
        <v/>
      </c>
      <c r="Q45" t="str">
        <f>""</f>
        <v/>
      </c>
      <c r="R45" t="str">
        <f>""</f>
        <v/>
      </c>
      <c r="S45" t="str">
        <f>""</f>
        <v/>
      </c>
      <c r="T45" t="str">
        <f>""</f>
        <v/>
      </c>
      <c r="U45" t="str">
        <f>""</f>
        <v/>
      </c>
      <c r="V45" t="str">
        <f>""</f>
        <v/>
      </c>
      <c r="W45" t="str">
        <f>""</f>
        <v/>
      </c>
      <c r="X45" t="str">
        <f>""</f>
        <v/>
      </c>
      <c r="Y45" t="str">
        <f>""</f>
        <v/>
      </c>
      <c r="Z45" t="str">
        <f>""</f>
        <v/>
      </c>
      <c r="AA45" t="str">
        <f>""</f>
        <v/>
      </c>
      <c r="AB45" t="str">
        <f>""</f>
        <v/>
      </c>
      <c r="AC45" t="str">
        <f>"(2.98)"</f>
        <v>(2.98)</v>
      </c>
      <c r="AD45" t="str">
        <f>"(4.188)"</f>
        <v>(4.188)</v>
      </c>
      <c r="AE45" t="str">
        <f>"(4.171)"</f>
        <v>(4.171)</v>
      </c>
      <c r="AF45" t="str">
        <f>"(2.477)"</f>
        <v>(2.477)</v>
      </c>
      <c r="AG45" t="str">
        <f>"(3.284)"</f>
        <v>(3.284)</v>
      </c>
      <c r="AH45" t="str">
        <f>"(2.91)"</f>
        <v>(2.91)</v>
      </c>
      <c r="AI45" t="str">
        <f>""</f>
        <v/>
      </c>
      <c r="AJ45" t="str">
        <f>""</f>
        <v/>
      </c>
      <c r="AK45" t="str">
        <f>""</f>
        <v/>
      </c>
      <c r="AL45" t="str">
        <f>"(2.439)"</f>
        <v>(2.439)</v>
      </c>
      <c r="AM45" t="str">
        <f>"(3.316)"</f>
        <v>(3.316)</v>
      </c>
      <c r="AN45" t="str">
        <f>"(3.015)"</f>
        <v>(3.015)</v>
      </c>
    </row>
    <row r="46" spans="1:40" x14ac:dyDescent="0.2">
      <c r="A46" t="str">
        <f>"psi_c"</f>
        <v>psi_c</v>
      </c>
      <c r="B46" t="str">
        <f>""</f>
        <v/>
      </c>
      <c r="C46" t="str">
        <f>""</f>
        <v/>
      </c>
      <c r="D46" t="str">
        <f>""</f>
        <v/>
      </c>
      <c r="E46" t="str">
        <f>""</f>
        <v/>
      </c>
      <c r="F46" t="str">
        <f>""</f>
        <v/>
      </c>
      <c r="G46" t="str">
        <f>""</f>
        <v/>
      </c>
      <c r="H46" t="str">
        <f>"1.568***"</f>
        <v>1.568***</v>
      </c>
      <c r="I46" t="str">
        <f>".7281***"</f>
        <v>.7281***</v>
      </c>
      <c r="J46" t="str">
        <f>".7555*"</f>
        <v>.7555*</v>
      </c>
      <c r="K46" t="str">
        <f>""</f>
        <v/>
      </c>
      <c r="L46" t="str">
        <f>""</f>
        <v/>
      </c>
      <c r="M46" t="str">
        <f>""</f>
        <v/>
      </c>
      <c r="N46" t="str">
        <f>".3434"</f>
        <v>.3434</v>
      </c>
      <c r="O46" t="str">
        <f>".4376*"</f>
        <v>.4376*</v>
      </c>
      <c r="P46" t="str">
        <f>".8029***"</f>
        <v>.8029***</v>
      </c>
      <c r="Q46" t="str">
        <f>""</f>
        <v/>
      </c>
      <c r="R46" t="str">
        <f>""</f>
        <v/>
      </c>
      <c r="S46" t="str">
        <f>""</f>
        <v/>
      </c>
      <c r="T46" t="str">
        <f>"-.8787"</f>
        <v>-.8787</v>
      </c>
      <c r="U46" t="str">
        <f>"-.9902"</f>
        <v>-.9902</v>
      </c>
      <c r="V46" t="str">
        <f>"-.8882"</f>
        <v>-.8882</v>
      </c>
      <c r="W46" t="str">
        <f>".969"</f>
        <v>.969</v>
      </c>
      <c r="X46" t="str">
        <f>".7763"</f>
        <v>.7763</v>
      </c>
      <c r="Y46" t="str">
        <f>".783"</f>
        <v>.783</v>
      </c>
      <c r="Z46" t="str">
        <f>""</f>
        <v/>
      </c>
      <c r="AA46" t="str">
        <f>""</f>
        <v/>
      </c>
      <c r="AB46" t="str">
        <f>""</f>
        <v/>
      </c>
      <c r="AC46" t="str">
        <f>""</f>
        <v/>
      </c>
      <c r="AD46" t="str">
        <f>""</f>
        <v/>
      </c>
      <c r="AE46" t="str">
        <f>""</f>
        <v/>
      </c>
      <c r="AF46" t="str">
        <f>""</f>
        <v/>
      </c>
      <c r="AG46" t="str">
        <f>""</f>
        <v/>
      </c>
      <c r="AH46" t="str">
        <f>""</f>
        <v/>
      </c>
      <c r="AI46" t="str">
        <f>""</f>
        <v/>
      </c>
      <c r="AJ46" t="str">
        <f>""</f>
        <v/>
      </c>
      <c r="AK46" t="str">
        <f>""</f>
        <v/>
      </c>
      <c r="AL46" t="str">
        <f>""</f>
        <v/>
      </c>
      <c r="AM46" t="str">
        <f>""</f>
        <v/>
      </c>
      <c r="AN46" t="str">
        <f>""</f>
        <v/>
      </c>
    </row>
    <row r="47" spans="1:40" x14ac:dyDescent="0.2">
      <c r="A47" t="str">
        <f>""</f>
        <v/>
      </c>
      <c r="B47" t="str">
        <f>""</f>
        <v/>
      </c>
      <c r="C47" t="str">
        <f>""</f>
        <v/>
      </c>
      <c r="D47" t="str">
        <f>""</f>
        <v/>
      </c>
      <c r="E47" t="str">
        <f>""</f>
        <v/>
      </c>
      <c r="F47" t="str">
        <f>""</f>
        <v/>
      </c>
      <c r="G47" t="str">
        <f>""</f>
        <v/>
      </c>
      <c r="H47" t="str">
        <f>"(.3725)"</f>
        <v>(.3725)</v>
      </c>
      <c r="I47" t="str">
        <f>"(.2412)"</f>
        <v>(.2412)</v>
      </c>
      <c r="J47" t="str">
        <f>"(.3991)"</f>
        <v>(.3991)</v>
      </c>
      <c r="K47" t="str">
        <f>""</f>
        <v/>
      </c>
      <c r="L47" t="str">
        <f>""</f>
        <v/>
      </c>
      <c r="M47" t="str">
        <f>""</f>
        <v/>
      </c>
      <c r="N47" t="str">
        <f>"(.262)"</f>
        <v>(.262)</v>
      </c>
      <c r="O47" t="str">
        <f>"(.2589)"</f>
        <v>(.2589)</v>
      </c>
      <c r="P47" t="str">
        <f>"(.2789)"</f>
        <v>(.2789)</v>
      </c>
      <c r="Q47" t="str">
        <f>""</f>
        <v/>
      </c>
      <c r="R47" t="str">
        <f>""</f>
        <v/>
      </c>
      <c r="S47" t="str">
        <f>""</f>
        <v/>
      </c>
      <c r="T47" t="str">
        <f>"(.988)"</f>
        <v>(.988)</v>
      </c>
      <c r="U47" t="str">
        <f>"(.7093)"</f>
        <v>(.7093)</v>
      </c>
      <c r="V47" t="str">
        <f>"(.7129)"</f>
        <v>(.7129)</v>
      </c>
      <c r="W47" t="str">
        <f>"(.8506)"</f>
        <v>(.8506)</v>
      </c>
      <c r="X47" t="str">
        <f>"(.9304)"</f>
        <v>(.9304)</v>
      </c>
      <c r="Y47" t="str">
        <f>"(.6374)"</f>
        <v>(.6374)</v>
      </c>
      <c r="Z47" t="str">
        <f>""</f>
        <v/>
      </c>
      <c r="AA47" t="str">
        <f>""</f>
        <v/>
      </c>
      <c r="AB47" t="str">
        <f>""</f>
        <v/>
      </c>
      <c r="AC47" t="str">
        <f>""</f>
        <v/>
      </c>
      <c r="AD47" t="str">
        <f>""</f>
        <v/>
      </c>
      <c r="AE47" t="str">
        <f>""</f>
        <v/>
      </c>
      <c r="AF47" t="str">
        <f>""</f>
        <v/>
      </c>
      <c r="AG47" t="str">
        <f>""</f>
        <v/>
      </c>
      <c r="AH47" t="str">
        <f>""</f>
        <v/>
      </c>
      <c r="AI47" t="str">
        <f>""</f>
        <v/>
      </c>
      <c r="AJ47" t="str">
        <f>""</f>
        <v/>
      </c>
      <c r="AK47" t="str">
        <f>""</f>
        <v/>
      </c>
      <c r="AL47" t="str">
        <f>""</f>
        <v/>
      </c>
      <c r="AM47" t="str">
        <f>""</f>
        <v/>
      </c>
      <c r="AN47" t="str">
        <f>""</f>
        <v/>
      </c>
    </row>
    <row r="48" spans="1:40" x14ac:dyDescent="0.2">
      <c r="A48" t="str">
        <f>"Epsi_c"</f>
        <v>Epsi_c</v>
      </c>
      <c r="B48" t="str">
        <f>""</f>
        <v/>
      </c>
      <c r="C48" t="str">
        <f>""</f>
        <v/>
      </c>
      <c r="D48" t="str">
        <f>""</f>
        <v/>
      </c>
      <c r="E48" t="str">
        <f>""</f>
        <v/>
      </c>
      <c r="F48" t="str">
        <f>""</f>
        <v/>
      </c>
      <c r="G48" t="str">
        <f>""</f>
        <v/>
      </c>
      <c r="H48" t="str">
        <f>"1.945"</f>
        <v>1.945</v>
      </c>
      <c r="I48" t="str">
        <f>"3.47***"</f>
        <v>3.47***</v>
      </c>
      <c r="J48" t="str">
        <f>"3.749***"</f>
        <v>3.749***</v>
      </c>
      <c r="K48" t="str">
        <f>""</f>
        <v/>
      </c>
      <c r="L48" t="str">
        <f>""</f>
        <v/>
      </c>
      <c r="M48" t="str">
        <f>""</f>
        <v/>
      </c>
      <c r="N48" t="str">
        <f>""</f>
        <v/>
      </c>
      <c r="O48" t="str">
        <f>""</f>
        <v/>
      </c>
      <c r="P48" t="str">
        <f>""</f>
        <v/>
      </c>
      <c r="Q48" t="str">
        <f>""</f>
        <v/>
      </c>
      <c r="R48" t="str">
        <f>""</f>
        <v/>
      </c>
      <c r="S48" t="str">
        <f>""</f>
        <v/>
      </c>
      <c r="T48" t="str">
        <f>""</f>
        <v/>
      </c>
      <c r="U48" t="str">
        <f>""</f>
        <v/>
      </c>
      <c r="V48" t="str">
        <f>""</f>
        <v/>
      </c>
      <c r="W48" t="str">
        <f>""</f>
        <v/>
      </c>
      <c r="X48" t="str">
        <f>""</f>
        <v/>
      </c>
      <c r="Y48" t="str">
        <f>""</f>
        <v/>
      </c>
      <c r="Z48" t="str">
        <f>"-.6307"</f>
        <v>-.6307</v>
      </c>
      <c r="AA48" t="str">
        <f>".352"</f>
        <v>.352</v>
      </c>
      <c r="AB48" t="str">
        <f>".5179"</f>
        <v>.5179</v>
      </c>
      <c r="AC48" t="str">
        <f>""</f>
        <v/>
      </c>
      <c r="AD48" t="str">
        <f>""</f>
        <v/>
      </c>
      <c r="AE48" t="str">
        <f>""</f>
        <v/>
      </c>
      <c r="AF48" t="str">
        <f>"-9.904***"</f>
        <v>-9.904***</v>
      </c>
      <c r="AG48" t="str">
        <f>"-6.657**"</f>
        <v>-6.657**</v>
      </c>
      <c r="AH48" t="str">
        <f>"-6.123*"</f>
        <v>-6.123*</v>
      </c>
      <c r="AI48" t="str">
        <f>""</f>
        <v/>
      </c>
      <c r="AJ48" t="str">
        <f>""</f>
        <v/>
      </c>
      <c r="AK48" t="str">
        <f>""</f>
        <v/>
      </c>
      <c r="AL48" t="str">
        <f>"-10.32***"</f>
        <v>-10.32***</v>
      </c>
      <c r="AM48" t="str">
        <f>"-6.411"</f>
        <v>-6.411</v>
      </c>
      <c r="AN48" t="str">
        <f>"-5.482"</f>
        <v>-5.482</v>
      </c>
    </row>
    <row r="49" spans="1:40" x14ac:dyDescent="0.2">
      <c r="A49" t="str">
        <f>""</f>
        <v/>
      </c>
      <c r="B49" t="str">
        <f>""</f>
        <v/>
      </c>
      <c r="C49" t="str">
        <f>""</f>
        <v/>
      </c>
      <c r="D49" t="str">
        <f>""</f>
        <v/>
      </c>
      <c r="E49" t="str">
        <f>""</f>
        <v/>
      </c>
      <c r="F49" t="str">
        <f>""</f>
        <v/>
      </c>
      <c r="G49" t="str">
        <f>""</f>
        <v/>
      </c>
      <c r="H49" t="str">
        <f>"(1.796)"</f>
        <v>(1.796)</v>
      </c>
      <c r="I49" t="str">
        <f>"(1.274)"</f>
        <v>(1.274)</v>
      </c>
      <c r="J49" t="str">
        <f>"(1.345)"</f>
        <v>(1.345)</v>
      </c>
      <c r="K49" t="str">
        <f>""</f>
        <v/>
      </c>
      <c r="L49" t="str">
        <f>""</f>
        <v/>
      </c>
      <c r="M49" t="str">
        <f>""</f>
        <v/>
      </c>
      <c r="N49" t="str">
        <f>""</f>
        <v/>
      </c>
      <c r="O49" t="str">
        <f>""</f>
        <v/>
      </c>
      <c r="P49" t="str">
        <f>""</f>
        <v/>
      </c>
      <c r="Q49" t="str">
        <f>""</f>
        <v/>
      </c>
      <c r="R49" t="str">
        <f>""</f>
        <v/>
      </c>
      <c r="S49" t="str">
        <f>""</f>
        <v/>
      </c>
      <c r="T49" t="str">
        <f>""</f>
        <v/>
      </c>
      <c r="U49" t="str">
        <f>""</f>
        <v/>
      </c>
      <c r="V49" t="str">
        <f>""</f>
        <v/>
      </c>
      <c r="W49" t="str">
        <f>""</f>
        <v/>
      </c>
      <c r="X49" t="str">
        <f>""</f>
        <v/>
      </c>
      <c r="Y49" t="str">
        <f>""</f>
        <v/>
      </c>
      <c r="Z49" t="str">
        <f>"(1.257)"</f>
        <v>(1.257)</v>
      </c>
      <c r="AA49" t="str">
        <f>"(1.892)"</f>
        <v>(1.892)</v>
      </c>
      <c r="AB49" t="str">
        <f>"(2.507)"</f>
        <v>(2.507)</v>
      </c>
      <c r="AC49" t="str">
        <f>""</f>
        <v/>
      </c>
      <c r="AD49" t="str">
        <f>""</f>
        <v/>
      </c>
      <c r="AE49" t="str">
        <f>""</f>
        <v/>
      </c>
      <c r="AF49" t="str">
        <f>"(2.987)"</f>
        <v>(2.987)</v>
      </c>
      <c r="AG49" t="str">
        <f>"(3.37)"</f>
        <v>(3.37)</v>
      </c>
      <c r="AH49" t="str">
        <f>"(3.435)"</f>
        <v>(3.435)</v>
      </c>
      <c r="AI49" t="str">
        <f>""</f>
        <v/>
      </c>
      <c r="AJ49" t="str">
        <f>""</f>
        <v/>
      </c>
      <c r="AK49" t="str">
        <f>""</f>
        <v/>
      </c>
      <c r="AL49" t="str">
        <f>"(3.947)"</f>
        <v>(3.947)</v>
      </c>
      <c r="AM49" t="str">
        <f>"(4.24)"</f>
        <v>(4.24)</v>
      </c>
      <c r="AN49" t="str">
        <f>"(3.701)"</f>
        <v>(3.701)</v>
      </c>
    </row>
    <row r="50" spans="1:40" x14ac:dyDescent="0.2">
      <c r="A50" t="str">
        <f>"s_psi_q1q5"</f>
        <v>s_psi_q1q5</v>
      </c>
      <c r="B50" t="str">
        <f>""</f>
        <v/>
      </c>
      <c r="C50" t="str">
        <f>""</f>
        <v/>
      </c>
      <c r="D50" t="str">
        <f>""</f>
        <v/>
      </c>
      <c r="E50" t="str">
        <f>""</f>
        <v/>
      </c>
      <c r="F50" t="str">
        <f>""</f>
        <v/>
      </c>
      <c r="G50" t="str">
        <f>""</f>
        <v/>
      </c>
      <c r="H50" t="str">
        <f>""</f>
        <v/>
      </c>
      <c r="I50" t="str">
        <f>""</f>
        <v/>
      </c>
      <c r="J50" t="str">
        <f>""</f>
        <v/>
      </c>
      <c r="K50" t="str">
        <f>".6233***"</f>
        <v>.6233***</v>
      </c>
      <c r="L50" t="str">
        <f>".3728***"</f>
        <v>.3728***</v>
      </c>
      <c r="M50" t="str">
        <f>".4292***"</f>
        <v>.4292***</v>
      </c>
      <c r="N50" t="str">
        <f>""</f>
        <v/>
      </c>
      <c r="O50" t="str">
        <f>""</f>
        <v/>
      </c>
      <c r="P50" t="str">
        <f>""</f>
        <v/>
      </c>
      <c r="Q50" t="str">
        <f>""</f>
        <v/>
      </c>
      <c r="R50" t="str">
        <f>""</f>
        <v/>
      </c>
      <c r="S50" t="str">
        <f>""</f>
        <v/>
      </c>
      <c r="T50" t="str">
        <f>"1.328***"</f>
        <v>1.328***</v>
      </c>
      <c r="U50" t="str">
        <f>"1.04***"</f>
        <v>1.04***</v>
      </c>
      <c r="V50" t="str">
        <f>"1.184***"</f>
        <v>1.184***</v>
      </c>
      <c r="W50" t="str">
        <f>"-.3819"</f>
        <v>-.3819</v>
      </c>
      <c r="X50" t="str">
        <f>"-.1872"</f>
        <v>-.1872</v>
      </c>
      <c r="Y50" t="str">
        <f>".0267"</f>
        <v>.0267</v>
      </c>
      <c r="Z50" t="str">
        <f>""</f>
        <v/>
      </c>
      <c r="AA50" t="str">
        <f>""</f>
        <v/>
      </c>
      <c r="AB50" t="str">
        <f>""</f>
        <v/>
      </c>
      <c r="AC50" t="str">
        <f>""</f>
        <v/>
      </c>
      <c r="AD50" t="str">
        <f>""</f>
        <v/>
      </c>
      <c r="AE50" t="str">
        <f>""</f>
        <v/>
      </c>
      <c r="AF50" t="str">
        <f>""</f>
        <v/>
      </c>
      <c r="AG50" t="str">
        <f>""</f>
        <v/>
      </c>
      <c r="AH50" t="str">
        <f>""</f>
        <v/>
      </c>
      <c r="AI50" t="str">
        <f>""</f>
        <v/>
      </c>
      <c r="AJ50" t="str">
        <f>""</f>
        <v/>
      </c>
      <c r="AK50" t="str">
        <f>""</f>
        <v/>
      </c>
      <c r="AL50" t="str">
        <f>""</f>
        <v/>
      </c>
      <c r="AM50" t="str">
        <f>""</f>
        <v/>
      </c>
      <c r="AN50" t="str">
        <f>""</f>
        <v/>
      </c>
    </row>
    <row r="51" spans="1:40" x14ac:dyDescent="0.2">
      <c r="A51" t="str">
        <f>""</f>
        <v/>
      </c>
      <c r="B51" t="str">
        <f>""</f>
        <v/>
      </c>
      <c r="C51" t="str">
        <f>""</f>
        <v/>
      </c>
      <c r="D51" t="str">
        <f>""</f>
        <v/>
      </c>
      <c r="E51" t="str">
        <f>""</f>
        <v/>
      </c>
      <c r="F51" t="str">
        <f>""</f>
        <v/>
      </c>
      <c r="G51" t="str">
        <f>""</f>
        <v/>
      </c>
      <c r="H51" t="str">
        <f>""</f>
        <v/>
      </c>
      <c r="I51" t="str">
        <f>""</f>
        <v/>
      </c>
      <c r="J51" t="str">
        <f>""</f>
        <v/>
      </c>
      <c r="K51" t="str">
        <f>"(.1508)"</f>
        <v>(.1508)</v>
      </c>
      <c r="L51" t="str">
        <f>"(.1035)"</f>
        <v>(.1035)</v>
      </c>
      <c r="M51" t="str">
        <f>"(.1594)"</f>
        <v>(.1594)</v>
      </c>
      <c r="N51" t="str">
        <f>""</f>
        <v/>
      </c>
      <c r="O51" t="str">
        <f>""</f>
        <v/>
      </c>
      <c r="P51" t="str">
        <f>""</f>
        <v/>
      </c>
      <c r="Q51" t="str">
        <f>""</f>
        <v/>
      </c>
      <c r="R51" t="str">
        <f>""</f>
        <v/>
      </c>
      <c r="S51" t="str">
        <f>""</f>
        <v/>
      </c>
      <c r="T51" t="str">
        <f>"(.451)"</f>
        <v>(.451)</v>
      </c>
      <c r="U51" t="str">
        <f>"(.3353)"</f>
        <v>(.3353)</v>
      </c>
      <c r="V51" t="str">
        <f>"(.3592)"</f>
        <v>(.3592)</v>
      </c>
      <c r="W51" t="str">
        <f>"(.4016)"</f>
        <v>(.4016)</v>
      </c>
      <c r="X51" t="str">
        <f>"(.4428)"</f>
        <v>(.4428)</v>
      </c>
      <c r="Y51" t="str">
        <f>"(.3617)"</f>
        <v>(.3617)</v>
      </c>
      <c r="Z51" t="str">
        <f>""</f>
        <v/>
      </c>
      <c r="AA51" t="str">
        <f>""</f>
        <v/>
      </c>
      <c r="AB51" t="str">
        <f>""</f>
        <v/>
      </c>
      <c r="AC51" t="str">
        <f>""</f>
        <v/>
      </c>
      <c r="AD51" t="str">
        <f>""</f>
        <v/>
      </c>
      <c r="AE51" t="str">
        <f>""</f>
        <v/>
      </c>
      <c r="AF51" t="str">
        <f>""</f>
        <v/>
      </c>
      <c r="AG51" t="str">
        <f>""</f>
        <v/>
      </c>
      <c r="AH51" t="str">
        <f>""</f>
        <v/>
      </c>
      <c r="AI51" t="str">
        <f>""</f>
        <v/>
      </c>
      <c r="AJ51" t="str">
        <f>""</f>
        <v/>
      </c>
      <c r="AK51" t="str">
        <f>""</f>
        <v/>
      </c>
      <c r="AL51" t="str">
        <f>""</f>
        <v/>
      </c>
      <c r="AM51" t="str">
        <f>""</f>
        <v/>
      </c>
      <c r="AN51" t="str">
        <f>""</f>
        <v/>
      </c>
    </row>
    <row r="52" spans="1:40" x14ac:dyDescent="0.2">
      <c r="A52" t="str">
        <f>"Es_psi_q1q5"</f>
        <v>Es_psi_q1q5</v>
      </c>
      <c r="B52" t="str">
        <f>""</f>
        <v/>
      </c>
      <c r="C52" t="str">
        <f>""</f>
        <v/>
      </c>
      <c r="D52" t="str">
        <f>""</f>
        <v/>
      </c>
      <c r="E52" t="str">
        <f>""</f>
        <v/>
      </c>
      <c r="F52" t="str">
        <f>""</f>
        <v/>
      </c>
      <c r="G52" t="str">
        <f>""</f>
        <v/>
      </c>
      <c r="H52" t="str">
        <f>""</f>
        <v/>
      </c>
      <c r="I52" t="str">
        <f>""</f>
        <v/>
      </c>
      <c r="J52" t="str">
        <f>""</f>
        <v/>
      </c>
      <c r="K52" t="str">
        <f>"2.865***"</f>
        <v>2.865***</v>
      </c>
      <c r="L52" t="str">
        <f>"2.493***"</f>
        <v>2.493***</v>
      </c>
      <c r="M52" t="str">
        <f>"2.405***"</f>
        <v>2.405***</v>
      </c>
      <c r="N52" t="str">
        <f>""</f>
        <v/>
      </c>
      <c r="O52" t="str">
        <f>""</f>
        <v/>
      </c>
      <c r="P52" t="str">
        <f>""</f>
        <v/>
      </c>
      <c r="Q52" t="str">
        <f>""</f>
        <v/>
      </c>
      <c r="R52" t="str">
        <f>""</f>
        <v/>
      </c>
      <c r="S52" t="str">
        <f>""</f>
        <v/>
      </c>
      <c r="T52" t="str">
        <f>""</f>
        <v/>
      </c>
      <c r="U52" t="str">
        <f>""</f>
        <v/>
      </c>
      <c r="V52" t="str">
        <f>""</f>
        <v/>
      </c>
      <c r="W52" t="str">
        <f>""</f>
        <v/>
      </c>
      <c r="X52" t="str">
        <f>""</f>
        <v/>
      </c>
      <c r="Y52" t="str">
        <f>""</f>
        <v/>
      </c>
      <c r="Z52" t="str">
        <f>""</f>
        <v/>
      </c>
      <c r="AA52" t="str">
        <f>""</f>
        <v/>
      </c>
      <c r="AB52" t="str">
        <f>""</f>
        <v/>
      </c>
      <c r="AC52" t="str">
        <f>""</f>
        <v/>
      </c>
      <c r="AD52" t="str">
        <f>""</f>
        <v/>
      </c>
      <c r="AE52" t="str">
        <f>""</f>
        <v/>
      </c>
      <c r="AF52" t="str">
        <f>"6.413***"</f>
        <v>6.413***</v>
      </c>
      <c r="AG52" t="str">
        <f>"4.811**"</f>
        <v>4.811**</v>
      </c>
      <c r="AH52" t="str">
        <f>"4.67*"</f>
        <v>4.67*</v>
      </c>
      <c r="AI52" t="str">
        <f>""</f>
        <v/>
      </c>
      <c r="AJ52" t="str">
        <f>""</f>
        <v/>
      </c>
      <c r="AK52" t="str">
        <f>""</f>
        <v/>
      </c>
      <c r="AL52" t="str">
        <f>"6.788***"</f>
        <v>6.788***</v>
      </c>
      <c r="AM52" t="str">
        <f>"4.728*"</f>
        <v>4.728*</v>
      </c>
      <c r="AN52" t="str">
        <f>"4.435"</f>
        <v>4.435</v>
      </c>
    </row>
    <row r="53" spans="1:40" x14ac:dyDescent="0.2">
      <c r="A53" t="str">
        <f>""</f>
        <v/>
      </c>
      <c r="B53" t="str">
        <f>""</f>
        <v/>
      </c>
      <c r="C53" t="str">
        <f>""</f>
        <v/>
      </c>
      <c r="D53" t="str">
        <f>""</f>
        <v/>
      </c>
      <c r="E53" t="str">
        <f>""</f>
        <v/>
      </c>
      <c r="F53" t="str">
        <f>""</f>
        <v/>
      </c>
      <c r="G53" t="str">
        <f>""</f>
        <v/>
      </c>
      <c r="H53" t="str">
        <f>""</f>
        <v/>
      </c>
      <c r="I53" t="str">
        <f>""</f>
        <v/>
      </c>
      <c r="J53" t="str">
        <f>""</f>
        <v/>
      </c>
      <c r="K53" t="str">
        <f>"(.7099)"</f>
        <v>(.7099)</v>
      </c>
      <c r="L53" t="str">
        <f>"(.5641)"</f>
        <v>(.5641)</v>
      </c>
      <c r="M53" t="str">
        <f>"(.6118)"</f>
        <v>(.6118)</v>
      </c>
      <c r="N53" t="str">
        <f>""</f>
        <v/>
      </c>
      <c r="O53" t="str">
        <f>""</f>
        <v/>
      </c>
      <c r="P53" t="str">
        <f>""</f>
        <v/>
      </c>
      <c r="Q53" t="str">
        <f>""</f>
        <v/>
      </c>
      <c r="R53" t="str">
        <f>""</f>
        <v/>
      </c>
      <c r="S53" t="str">
        <f>""</f>
        <v/>
      </c>
      <c r="T53" t="str">
        <f>""</f>
        <v/>
      </c>
      <c r="U53" t="str">
        <f>""</f>
        <v/>
      </c>
      <c r="V53" t="str">
        <f>""</f>
        <v/>
      </c>
      <c r="W53" t="str">
        <f>""</f>
        <v/>
      </c>
      <c r="X53" t="str">
        <f>""</f>
        <v/>
      </c>
      <c r="Y53" t="str">
        <f>""</f>
        <v/>
      </c>
      <c r="Z53" t="str">
        <f>""</f>
        <v/>
      </c>
      <c r="AA53" t="str">
        <f>""</f>
        <v/>
      </c>
      <c r="AB53" t="str">
        <f>""</f>
        <v/>
      </c>
      <c r="AC53" t="str">
        <f>""</f>
        <v/>
      </c>
      <c r="AD53" t="str">
        <f>""</f>
        <v/>
      </c>
      <c r="AE53" t="str">
        <f>""</f>
        <v/>
      </c>
      <c r="AF53" t="str">
        <f>"(1.964)"</f>
        <v>(1.964)</v>
      </c>
      <c r="AG53" t="str">
        <f>"(2.24)"</f>
        <v>(2.24)</v>
      </c>
      <c r="AH53" t="str">
        <f>"(2.611)"</f>
        <v>(2.611)</v>
      </c>
      <c r="AI53" t="str">
        <f>""</f>
        <v/>
      </c>
      <c r="AJ53" t="str">
        <f>""</f>
        <v/>
      </c>
      <c r="AK53" t="str">
        <f>""</f>
        <v/>
      </c>
      <c r="AL53" t="str">
        <f>"(2.568)"</f>
        <v>(2.568)</v>
      </c>
      <c r="AM53" t="str">
        <f>"(2.857)"</f>
        <v>(2.857)</v>
      </c>
      <c r="AN53" t="str">
        <f>"(2.757)"</f>
        <v>(2.757)</v>
      </c>
    </row>
    <row r="54" spans="1:40" x14ac:dyDescent="0.2">
      <c r="A54" t="str">
        <f>"lnmw"</f>
        <v>lnmw</v>
      </c>
      <c r="B54" t="str">
        <f>""</f>
        <v/>
      </c>
      <c r="C54" t="str">
        <f>""</f>
        <v/>
      </c>
      <c r="D54" t="str">
        <f>""</f>
        <v/>
      </c>
      <c r="E54" t="str">
        <f>""</f>
        <v/>
      </c>
      <c r="F54" t="str">
        <f>""</f>
        <v/>
      </c>
      <c r="G54" t="str">
        <f>""</f>
        <v/>
      </c>
      <c r="H54" t="str">
        <f>""</f>
        <v/>
      </c>
      <c r="I54" t="str">
        <f>""</f>
        <v/>
      </c>
      <c r="J54" t="str">
        <f>""</f>
        <v/>
      </c>
      <c r="K54" t="str">
        <f>""</f>
        <v/>
      </c>
      <c r="L54" t="str">
        <f>""</f>
        <v/>
      </c>
      <c r="M54" t="str">
        <f>""</f>
        <v/>
      </c>
      <c r="N54" t="str">
        <f>""</f>
        <v/>
      </c>
      <c r="O54" t="str">
        <f>""</f>
        <v/>
      </c>
      <c r="P54" t="str">
        <f>""</f>
        <v/>
      </c>
      <c r="Q54" t="str">
        <f>""</f>
        <v/>
      </c>
      <c r="R54" t="str">
        <f>""</f>
        <v/>
      </c>
      <c r="S54" t="str">
        <f>""</f>
        <v/>
      </c>
      <c r="T54" t="str">
        <f>""</f>
        <v/>
      </c>
      <c r="U54" t="str">
        <f>""</f>
        <v/>
      </c>
      <c r="V54" t="str">
        <f>""</f>
        <v/>
      </c>
      <c r="W54" t="str">
        <f>""</f>
        <v/>
      </c>
      <c r="X54" t="str">
        <f>""</f>
        <v/>
      </c>
      <c r="Y54" t="str">
        <f>""</f>
        <v/>
      </c>
      <c r="Z54" t="str">
        <f>""</f>
        <v/>
      </c>
      <c r="AA54" t="str">
        <f>""</f>
        <v/>
      </c>
      <c r="AB54" t="str">
        <f>""</f>
        <v/>
      </c>
      <c r="AC54" t="str">
        <f>""</f>
        <v/>
      </c>
      <c r="AD54" t="str">
        <f>""</f>
        <v/>
      </c>
      <c r="AE54" t="str">
        <f>""</f>
        <v/>
      </c>
      <c r="AF54" t="str">
        <f>""</f>
        <v/>
      </c>
      <c r="AG54" t="str">
        <f>""</f>
        <v/>
      </c>
      <c r="AH54" t="str">
        <f>""</f>
        <v/>
      </c>
      <c r="AI54" t="str">
        <f>".8345***"</f>
        <v>.8345***</v>
      </c>
      <c r="AJ54" t="str">
        <f>".4586***"</f>
        <v>.4586***</v>
      </c>
      <c r="AK54" t="str">
        <f>".6111***"</f>
        <v>.6111***</v>
      </c>
      <c r="AL54" t="str">
        <f>"-.05337"</f>
        <v>-.05337</v>
      </c>
      <c r="AM54" t="str">
        <f>".00732"</f>
        <v>.00732</v>
      </c>
      <c r="AN54" t="str">
        <f>".007664"</f>
        <v>.007664</v>
      </c>
    </row>
    <row r="55" spans="1:40" x14ac:dyDescent="0.2">
      <c r="A55" t="str">
        <f>""</f>
        <v/>
      </c>
      <c r="B55" t="str">
        <f>""</f>
        <v/>
      </c>
      <c r="C55" t="str">
        <f>""</f>
        <v/>
      </c>
      <c r="D55" t="str">
        <f>""</f>
        <v/>
      </c>
      <c r="E55" t="str">
        <f>""</f>
        <v/>
      </c>
      <c r="F55" t="str">
        <f>""</f>
        <v/>
      </c>
      <c r="G55" t="str">
        <f>""</f>
        <v/>
      </c>
      <c r="H55" t="str">
        <f>""</f>
        <v/>
      </c>
      <c r="I55" t="str">
        <f>""</f>
        <v/>
      </c>
      <c r="J55" t="str">
        <f>""</f>
        <v/>
      </c>
      <c r="K55" t="str">
        <f>""</f>
        <v/>
      </c>
      <c r="L55" t="str">
        <f>""</f>
        <v/>
      </c>
      <c r="M55" t="str">
        <f>""</f>
        <v/>
      </c>
      <c r="N55" t="str">
        <f>""</f>
        <v/>
      </c>
      <c r="O55" t="str">
        <f>""</f>
        <v/>
      </c>
      <c r="P55" t="str">
        <f>""</f>
        <v/>
      </c>
      <c r="Q55" t="str">
        <f>""</f>
        <v/>
      </c>
      <c r="R55" t="str">
        <f>""</f>
        <v/>
      </c>
      <c r="S55" t="str">
        <f>""</f>
        <v/>
      </c>
      <c r="T55" t="str">
        <f>""</f>
        <v/>
      </c>
      <c r="U55" t="str">
        <f>""</f>
        <v/>
      </c>
      <c r="V55" t="str">
        <f>""</f>
        <v/>
      </c>
      <c r="W55" t="str">
        <f>""</f>
        <v/>
      </c>
      <c r="X55" t="str">
        <f>""</f>
        <v/>
      </c>
      <c r="Y55" t="str">
        <f>""</f>
        <v/>
      </c>
      <c r="Z55" t="str">
        <f>""</f>
        <v/>
      </c>
      <c r="AA55" t="str">
        <f>""</f>
        <v/>
      </c>
      <c r="AB55" t="str">
        <f>""</f>
        <v/>
      </c>
      <c r="AC55" t="str">
        <f>""</f>
        <v/>
      </c>
      <c r="AD55" t="str">
        <f>""</f>
        <v/>
      </c>
      <c r="AE55" t="str">
        <f>""</f>
        <v/>
      </c>
      <c r="AF55" t="str">
        <f>""</f>
        <v/>
      </c>
      <c r="AG55" t="str">
        <f>""</f>
        <v/>
      </c>
      <c r="AH55" t="str">
        <f>""</f>
        <v/>
      </c>
      <c r="AI55" t="str">
        <f>"(.1298)"</f>
        <v>(.1298)</v>
      </c>
      <c r="AJ55" t="str">
        <f>"(.1415)"</f>
        <v>(.1415)</v>
      </c>
      <c r="AK55" t="str">
        <f>"(.1527)"</f>
        <v>(.1527)</v>
      </c>
      <c r="AL55" t="str">
        <f>"(.1442)"</f>
        <v>(.1442)</v>
      </c>
      <c r="AM55" t="str">
        <f>"(.1488)"</f>
        <v>(.1488)</v>
      </c>
      <c r="AN55" t="str">
        <f>"(.1986)"</f>
        <v>(.1986)</v>
      </c>
    </row>
    <row r="57" spans="1:40" x14ac:dyDescent="0.2">
      <c r="A57" t="str">
        <f>"Division-CZ dummies"</f>
        <v>Division-CZ dummies</v>
      </c>
      <c r="B57" t="str">
        <f>"No"</f>
        <v>No</v>
      </c>
      <c r="C57" t="str">
        <f>"Yes"</f>
        <v>Yes</v>
      </c>
      <c r="D57" t="str">
        <f>"Yes"</f>
        <v>Yes</v>
      </c>
      <c r="E57" t="str">
        <f>"No"</f>
        <v>No</v>
      </c>
      <c r="F57" t="str">
        <f>"Yes"</f>
        <v>Yes</v>
      </c>
      <c r="G57" t="str">
        <f>"Yes"</f>
        <v>Yes</v>
      </c>
      <c r="H57" t="str">
        <f>"No"</f>
        <v>No</v>
      </c>
      <c r="I57" t="str">
        <f>"Yes"</f>
        <v>Yes</v>
      </c>
      <c r="J57" t="str">
        <f>"Yes"</f>
        <v>Yes</v>
      </c>
      <c r="K57" t="str">
        <f>"No"</f>
        <v>No</v>
      </c>
      <c r="L57" t="str">
        <f>"Yes"</f>
        <v>Yes</v>
      </c>
      <c r="M57" t="str">
        <f>"Yes"</f>
        <v>Yes</v>
      </c>
      <c r="N57" t="str">
        <f>"No"</f>
        <v>No</v>
      </c>
      <c r="O57" t="str">
        <f>"Yes"</f>
        <v>Yes</v>
      </c>
      <c r="P57" t="str">
        <f>"Yes"</f>
        <v>Yes</v>
      </c>
      <c r="Q57" t="str">
        <f>"No"</f>
        <v>No</v>
      </c>
      <c r="R57" t="str">
        <f>"Yes"</f>
        <v>Yes</v>
      </c>
      <c r="S57" t="str">
        <f>"Yes"</f>
        <v>Yes</v>
      </c>
      <c r="T57" t="str">
        <f>"No"</f>
        <v>No</v>
      </c>
      <c r="U57" t="str">
        <f>"Yes"</f>
        <v>Yes</v>
      </c>
      <c r="V57" t="str">
        <f>"Yes"</f>
        <v>Yes</v>
      </c>
      <c r="W57" t="str">
        <f>"No"</f>
        <v>No</v>
      </c>
      <c r="X57" t="str">
        <f>"Yes"</f>
        <v>Yes</v>
      </c>
      <c r="Y57" t="str">
        <f>"Yes"</f>
        <v>Yes</v>
      </c>
      <c r="Z57" t="str">
        <f>"No"</f>
        <v>No</v>
      </c>
      <c r="AA57" t="str">
        <f>"Yes"</f>
        <v>Yes</v>
      </c>
      <c r="AB57" t="str">
        <f>"Yes"</f>
        <v>Yes</v>
      </c>
      <c r="AC57" t="str">
        <f>"No"</f>
        <v>No</v>
      </c>
      <c r="AD57" t="str">
        <f>"Yes"</f>
        <v>Yes</v>
      </c>
      <c r="AE57" t="str">
        <f>"Yes"</f>
        <v>Yes</v>
      </c>
      <c r="AF57" t="str">
        <f>"No"</f>
        <v>No</v>
      </c>
      <c r="AG57" t="str">
        <f>"Yes"</f>
        <v>Yes</v>
      </c>
      <c r="AH57" t="str">
        <f>"Yes"</f>
        <v>Yes</v>
      </c>
      <c r="AI57" t="str">
        <f>"No"</f>
        <v>No</v>
      </c>
      <c r="AJ57" t="str">
        <f>"Yes"</f>
        <v>Yes</v>
      </c>
      <c r="AK57" t="str">
        <f>"Yes"</f>
        <v>Yes</v>
      </c>
      <c r="AL57" t="str">
        <f>"No"</f>
        <v>No</v>
      </c>
      <c r="AM57" t="str">
        <f>"Yes"</f>
        <v>Yes</v>
      </c>
      <c r="AN57" t="str">
        <f>"Yes"</f>
        <v>Yes</v>
      </c>
    </row>
    <row r="58" spans="1:40" x14ac:dyDescent="0.2">
      <c r="A58" t="str">
        <f>"Region dummies"</f>
        <v>Region dummies</v>
      </c>
      <c r="B58" t="str">
        <f>"No"</f>
        <v>No</v>
      </c>
      <c r="C58" t="str">
        <f>"No"</f>
        <v>No</v>
      </c>
      <c r="D58" t="str">
        <f>"Yes"</f>
        <v>Yes</v>
      </c>
      <c r="E58" t="str">
        <f>"No"</f>
        <v>No</v>
      </c>
      <c r="F58" t="str">
        <f>"No"</f>
        <v>No</v>
      </c>
      <c r="G58" t="str">
        <f>"Yes"</f>
        <v>Yes</v>
      </c>
      <c r="H58" t="str">
        <f>"No"</f>
        <v>No</v>
      </c>
      <c r="I58" t="str">
        <f>"No"</f>
        <v>No</v>
      </c>
      <c r="J58" t="str">
        <f>"Yes"</f>
        <v>Yes</v>
      </c>
      <c r="K58" t="str">
        <f>"No"</f>
        <v>No</v>
      </c>
      <c r="L58" t="str">
        <f>"No"</f>
        <v>No</v>
      </c>
      <c r="M58" t="str">
        <f>"Yes"</f>
        <v>Yes</v>
      </c>
      <c r="N58" t="str">
        <f>"No"</f>
        <v>No</v>
      </c>
      <c r="O58" t="str">
        <f>"No"</f>
        <v>No</v>
      </c>
      <c r="P58" t="str">
        <f>"Yes"</f>
        <v>Yes</v>
      </c>
      <c r="Q58" t="str">
        <f>"No"</f>
        <v>No</v>
      </c>
      <c r="R58" t="str">
        <f>"No"</f>
        <v>No</v>
      </c>
      <c r="S58" t="str">
        <f>"Yes"</f>
        <v>Yes</v>
      </c>
      <c r="T58" t="str">
        <f>"No"</f>
        <v>No</v>
      </c>
      <c r="U58" t="str">
        <f>"No"</f>
        <v>No</v>
      </c>
      <c r="V58" t="str">
        <f>"Yes"</f>
        <v>Yes</v>
      </c>
      <c r="W58" t="str">
        <f>"No"</f>
        <v>No</v>
      </c>
      <c r="X58" t="str">
        <f>"No"</f>
        <v>No</v>
      </c>
      <c r="Y58" t="str">
        <f>"Yes"</f>
        <v>Yes</v>
      </c>
      <c r="Z58" t="str">
        <f>"No"</f>
        <v>No</v>
      </c>
      <c r="AA58" t="str">
        <f>"No"</f>
        <v>No</v>
      </c>
      <c r="AB58" t="str">
        <f>"Yes"</f>
        <v>Yes</v>
      </c>
      <c r="AC58" t="str">
        <f>"No"</f>
        <v>No</v>
      </c>
      <c r="AD58" t="str">
        <f>"No"</f>
        <v>No</v>
      </c>
      <c r="AE58" t="str">
        <f>"Yes"</f>
        <v>Yes</v>
      </c>
      <c r="AF58" t="str">
        <f>"No"</f>
        <v>No</v>
      </c>
      <c r="AG58" t="str">
        <f>"No"</f>
        <v>No</v>
      </c>
      <c r="AH58" t="str">
        <f>"Yes"</f>
        <v>Yes</v>
      </c>
      <c r="AI58" t="str">
        <f>"No"</f>
        <v>No</v>
      </c>
      <c r="AJ58" t="str">
        <f>"No"</f>
        <v>No</v>
      </c>
      <c r="AK58" t="str">
        <f>"Yes"</f>
        <v>Yes</v>
      </c>
      <c r="AL58" t="str">
        <f>"No"</f>
        <v>No</v>
      </c>
      <c r="AM58" t="str">
        <f>"No"</f>
        <v>No</v>
      </c>
      <c r="AN58" t="str">
        <f>"Yes"</f>
        <v>Yes</v>
      </c>
    </row>
    <row r="59" spans="1:40" x14ac:dyDescent="0.2">
      <c r="A59" t="str">
        <f>"N"</f>
        <v>N</v>
      </c>
      <c r="B59" s="7" t="str">
        <f>"60"</f>
        <v>60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x14ac:dyDescent="0.2">
      <c r="A60" t="str">
        <f>"r2_a"</f>
        <v>r2_a</v>
      </c>
      <c r="B60" t="str">
        <f>".8024"</f>
        <v>.8024</v>
      </c>
      <c r="C60" t="str">
        <f>".8005"</f>
        <v>.8005</v>
      </c>
      <c r="D60" t="str">
        <f>".7995"</f>
        <v>.7995</v>
      </c>
      <c r="E60" t="str">
        <f>".6323"</f>
        <v>.6323</v>
      </c>
      <c r="F60" t="str">
        <f>".6957"</f>
        <v>.6957</v>
      </c>
      <c r="G60" t="str">
        <f>".6839"</f>
        <v>.6839</v>
      </c>
      <c r="H60" t="str">
        <f>".3184"</f>
        <v>.3184</v>
      </c>
      <c r="I60" t="str">
        <f>".6722"</f>
        <v>.6722</v>
      </c>
      <c r="J60" t="str">
        <f>".6844"</f>
        <v>.6844</v>
      </c>
      <c r="K60" t="str">
        <f>".5324"</f>
        <v>.5324</v>
      </c>
      <c r="L60" t="str">
        <f>".7623"</f>
        <v>.7623</v>
      </c>
      <c r="M60" t="str">
        <f>".7684"</f>
        <v>.7684</v>
      </c>
      <c r="N60" t="str">
        <f>".7609"</f>
        <v>.7609</v>
      </c>
      <c r="O60" t="str">
        <f>".7755"</f>
        <v>.7755</v>
      </c>
      <c r="P60" t="str">
        <f>".8077"</f>
        <v>.8077</v>
      </c>
      <c r="Q60" t="str">
        <f>".7556"</f>
        <v>.7556</v>
      </c>
      <c r="R60" t="str">
        <f>".7618"</f>
        <v>.7618</v>
      </c>
      <c r="S60" t="str">
        <f>".7667"</f>
        <v>.7667</v>
      </c>
      <c r="T60" t="str">
        <f>".3712"</f>
        <v>.3712</v>
      </c>
      <c r="U60" t="str">
        <f>".6566"</f>
        <v>.6566</v>
      </c>
      <c r="V60" t="str">
        <f>".6844"</f>
        <v>.6844</v>
      </c>
      <c r="W60" t="str">
        <f>".7582"</f>
        <v>.7582</v>
      </c>
      <c r="X60" t="str">
        <f>".7665"</f>
        <v>.7665</v>
      </c>
      <c r="Y60" t="str">
        <f>".7992"</f>
        <v>.7992</v>
      </c>
      <c r="Z60" t="str">
        <f>".7677"</f>
        <v>.7677</v>
      </c>
      <c r="AA60" t="str">
        <f>".7773"</f>
        <v>.7773</v>
      </c>
      <c r="AB60" t="str">
        <f>".7791"</f>
        <v>.7791</v>
      </c>
      <c r="AC60" t="str">
        <f>".7698"</f>
        <v>.7698</v>
      </c>
      <c r="AD60" t="str">
        <f>".7789"</f>
        <v>.7789</v>
      </c>
      <c r="AE60" t="str">
        <f>".7785"</f>
        <v>.7785</v>
      </c>
      <c r="AF60" t="str">
        <f>".8106"</f>
        <v>.8106</v>
      </c>
      <c r="AG60" t="str">
        <f>".7984"</f>
        <v>.7984</v>
      </c>
      <c r="AH60" t="str">
        <f>".7869"</f>
        <v>.7869</v>
      </c>
      <c r="AI60" t="str">
        <f>".3222"</f>
        <v>.3222</v>
      </c>
      <c r="AJ60" t="str">
        <f>".5838"</f>
        <v>.5838</v>
      </c>
      <c r="AK60" t="str">
        <f>".5874"</f>
        <v>.5874</v>
      </c>
      <c r="AL60" t="str">
        <f>".8069"</f>
        <v>.8069</v>
      </c>
      <c r="AM60" t="str">
        <f>".7904"</f>
        <v>.7904</v>
      </c>
      <c r="AN60" t="str">
        <f>".7775"</f>
        <v>.7775</v>
      </c>
    </row>
    <row r="61" spans="1:40" x14ac:dyDescent="0.2">
      <c r="A61" t="str">
        <f>"rmse"</f>
        <v>rmse</v>
      </c>
      <c r="B61" t="str">
        <f>".05962"</f>
        <v>.05962</v>
      </c>
      <c r="C61" t="str">
        <f>".05991"</f>
        <v>.05991</v>
      </c>
      <c r="D61" t="str">
        <f>".06005"</f>
        <v>.06005</v>
      </c>
      <c r="E61" t="str">
        <f>".08132"</f>
        <v>.08132</v>
      </c>
      <c r="F61" t="str">
        <f>".07398"</f>
        <v>.07398</v>
      </c>
      <c r="G61" t="str">
        <f>".07541"</f>
        <v>.07541</v>
      </c>
      <c r="H61" t="str">
        <f>".1107"</f>
        <v>.1107</v>
      </c>
      <c r="I61" t="str">
        <f>".07678"</f>
        <v>.07678</v>
      </c>
      <c r="J61" t="str">
        <f>".07534"</f>
        <v>.07534</v>
      </c>
      <c r="K61" t="str">
        <f>".09171"</f>
        <v>.09171</v>
      </c>
      <c r="L61" t="str">
        <f>".06539"</f>
        <v>.06539</v>
      </c>
      <c r="M61" t="str">
        <f>".06454"</f>
        <v>.06454</v>
      </c>
      <c r="N61" t="str">
        <f>".06558"</f>
        <v>.06558</v>
      </c>
      <c r="O61" t="str">
        <f>".06355"</f>
        <v>.06355</v>
      </c>
      <c r="P61" t="str">
        <f>".05881"</f>
        <v>.05881</v>
      </c>
      <c r="Q61" t="str">
        <f>".0663"</f>
        <v>.0663</v>
      </c>
      <c r="R61" t="str">
        <f>".06546"</f>
        <v>.06546</v>
      </c>
      <c r="S61" t="str">
        <f>".06477"</f>
        <v>.06477</v>
      </c>
      <c r="T61" t="str">
        <f>".1063"</f>
        <v>.1063</v>
      </c>
      <c r="U61" t="str">
        <f>".0786"</f>
        <v>.0786</v>
      </c>
      <c r="V61" t="str">
        <f>".07534"</f>
        <v>.07534</v>
      </c>
      <c r="W61" t="str">
        <f>".06594"</f>
        <v>.06594</v>
      </c>
      <c r="X61" t="str">
        <f>".06481"</f>
        <v>.06481</v>
      </c>
      <c r="Y61" t="str">
        <f>".0601"</f>
        <v>.0601</v>
      </c>
      <c r="Z61" t="str">
        <f>".06464"</f>
        <v>.06464</v>
      </c>
      <c r="AA61" t="str">
        <f>".06329"</f>
        <v>.06329</v>
      </c>
      <c r="AB61" t="str">
        <f>".06303"</f>
        <v>.06303</v>
      </c>
      <c r="AC61" t="str">
        <f>".06435"</f>
        <v>.06435</v>
      </c>
      <c r="AD61" t="str">
        <f>".06306"</f>
        <v>.06306</v>
      </c>
      <c r="AE61" t="str">
        <f>".06311"</f>
        <v>.06311</v>
      </c>
      <c r="AF61" t="str">
        <f>".05837"</f>
        <v>.05837</v>
      </c>
      <c r="AG61" t="str">
        <f>".06021"</f>
        <v>.06021</v>
      </c>
      <c r="AH61" t="str">
        <f>".0619"</f>
        <v>.0619</v>
      </c>
      <c r="AI61" t="str">
        <f>".1104"</f>
        <v>.1104</v>
      </c>
      <c r="AJ61" t="str">
        <f>".08653"</f>
        <v>.08653</v>
      </c>
      <c r="AK61" t="str">
        <f>".08614"</f>
        <v>.08614</v>
      </c>
      <c r="AL61" t="str">
        <f>".05894"</f>
        <v>.05894</v>
      </c>
      <c r="AM61" t="str">
        <f>".0614"</f>
        <v>.0614</v>
      </c>
      <c r="AN61" t="str">
        <f>".06326"</f>
        <v>.06326</v>
      </c>
    </row>
    <row r="65" spans="1:40" x14ac:dyDescent="0.2">
      <c r="A65" t="str">
        <f>"Output 9b - Multivariate Regressions, Top59 100%"</f>
        <v>Output 9b - Multivariate Regressions, Top59 100%</v>
      </c>
    </row>
    <row r="66" spans="1:40" s="1" customFormat="1" x14ac:dyDescent="0.2">
      <c r="A66" s="1" t="str">
        <f>""</f>
        <v/>
      </c>
    </row>
    <row r="67" spans="1:40" x14ac:dyDescent="0.2">
      <c r="A67" t="str">
        <f>""</f>
        <v/>
      </c>
      <c r="B67" s="7" t="s">
        <v>3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9" spans="1:40" x14ac:dyDescent="0.2">
      <c r="A69" t="str">
        <f>"alpha_c"</f>
        <v>alpha_c</v>
      </c>
      <c r="B69" t="str">
        <f>".4782***"</f>
        <v>.4782***</v>
      </c>
      <c r="C69" t="str">
        <f>".5718***"</f>
        <v>.5718***</v>
      </c>
      <c r="D69" t="str">
        <f>".6189***"</f>
        <v>.6189***</v>
      </c>
      <c r="E69" t="str">
        <f>""</f>
        <v/>
      </c>
      <c r="F69" t="str">
        <f>""</f>
        <v/>
      </c>
      <c r="G69" t="str">
        <f>""</f>
        <v/>
      </c>
      <c r="H69" t="str">
        <f>""</f>
        <v/>
      </c>
      <c r="I69" t="str">
        <f>""</f>
        <v/>
      </c>
      <c r="J69" t="str">
        <f>""</f>
        <v/>
      </c>
      <c r="K69" t="str">
        <f>""</f>
        <v/>
      </c>
      <c r="L69" t="str">
        <f>""</f>
        <v/>
      </c>
      <c r="M69" t="str">
        <f>""</f>
        <v/>
      </c>
      <c r="N69" t="str">
        <f>".6386***"</f>
        <v>.6386***</v>
      </c>
      <c r="O69" t="str">
        <f>".6006***"</f>
        <v>.6006***</v>
      </c>
      <c r="P69" t="str">
        <f>".6119***"</f>
        <v>.6119***</v>
      </c>
      <c r="Q69" t="str">
        <f>".5089***"</f>
        <v>.5089***</v>
      </c>
      <c r="R69" t="str">
        <f>".4864***"</f>
        <v>.4864***</v>
      </c>
      <c r="S69" t="str">
        <f>".5079***"</f>
        <v>.5079***</v>
      </c>
      <c r="T69" t="str">
        <f>""</f>
        <v/>
      </c>
      <c r="U69" t="str">
        <f>""</f>
        <v/>
      </c>
      <c r="V69" t="str">
        <f>""</f>
        <v/>
      </c>
      <c r="W69" t="str">
        <f>".5113***"</f>
        <v>.5113***</v>
      </c>
      <c r="X69" t="str">
        <f>".4478***"</f>
        <v>.4478***</v>
      </c>
      <c r="Y69" t="str">
        <f>".4495***"</f>
        <v>.4495***</v>
      </c>
      <c r="Z69" t="str">
        <f>""</f>
        <v/>
      </c>
      <c r="AA69" t="str">
        <f>""</f>
        <v/>
      </c>
      <c r="AB69" t="str">
        <f>""</f>
        <v/>
      </c>
      <c r="AC69" t="str">
        <f>""</f>
        <v/>
      </c>
      <c r="AD69" t="str">
        <f>""</f>
        <v/>
      </c>
      <c r="AE69" t="str">
        <f>""</f>
        <v/>
      </c>
      <c r="AF69" t="str">
        <f>""</f>
        <v/>
      </c>
      <c r="AG69" t="str">
        <f>""</f>
        <v/>
      </c>
      <c r="AH69" t="str">
        <f>""</f>
        <v/>
      </c>
      <c r="AI69" t="str">
        <f>""</f>
        <v/>
      </c>
      <c r="AJ69" t="str">
        <f>""</f>
        <v/>
      </c>
      <c r="AK69" t="str">
        <f>""</f>
        <v/>
      </c>
      <c r="AL69" t="str">
        <f>""</f>
        <v/>
      </c>
      <c r="AM69" t="str">
        <f>""</f>
        <v/>
      </c>
      <c r="AN69" t="str">
        <f>""</f>
        <v/>
      </c>
    </row>
    <row r="70" spans="1:40" x14ac:dyDescent="0.2">
      <c r="A70" t="str">
        <f>""</f>
        <v/>
      </c>
      <c r="B70" t="str">
        <f>"(.0932)"</f>
        <v>(.0932)</v>
      </c>
      <c r="C70" t="str">
        <f>"(.09706)"</f>
        <v>(.09706)</v>
      </c>
      <c r="D70" t="str">
        <f>"(.1088)"</f>
        <v>(.1088)</v>
      </c>
      <c r="E70" t="str">
        <f>""</f>
        <v/>
      </c>
      <c r="F70" t="str">
        <f>""</f>
        <v/>
      </c>
      <c r="G70" t="str">
        <f>""</f>
        <v/>
      </c>
      <c r="H70" t="str">
        <f>""</f>
        <v/>
      </c>
      <c r="I70" t="str">
        <f>""</f>
        <v/>
      </c>
      <c r="J70" t="str">
        <f>""</f>
        <v/>
      </c>
      <c r="K70" t="str">
        <f>""</f>
        <v/>
      </c>
      <c r="L70" t="str">
        <f>""</f>
        <v/>
      </c>
      <c r="M70" t="str">
        <f>""</f>
        <v/>
      </c>
      <c r="N70" t="str">
        <f>"(.05771)"</f>
        <v>(.05771)</v>
      </c>
      <c r="O70" t="str">
        <f>"(.06573)"</f>
        <v>(.06573)</v>
      </c>
      <c r="P70" t="str">
        <f>"(.07746)"</f>
        <v>(.07746)</v>
      </c>
      <c r="Q70" t="str">
        <f>"(.05193)"</f>
        <v>(.05193)</v>
      </c>
      <c r="R70" t="str">
        <f>"(.105)"</f>
        <v>(.105)</v>
      </c>
      <c r="S70" t="str">
        <f>"(.1089)"</f>
        <v>(.1089)</v>
      </c>
      <c r="T70" t="str">
        <f>""</f>
        <v/>
      </c>
      <c r="U70" t="str">
        <f>""</f>
        <v/>
      </c>
      <c r="V70" t="str">
        <f>""</f>
        <v/>
      </c>
      <c r="W70" t="str">
        <f>"(.06423)"</f>
        <v>(.06423)</v>
      </c>
      <c r="X70" t="str">
        <f>"(.1249)"</f>
        <v>(.1249)</v>
      </c>
      <c r="Y70" t="str">
        <f>"(.1253)"</f>
        <v>(.1253)</v>
      </c>
      <c r="Z70" t="str">
        <f>""</f>
        <v/>
      </c>
      <c r="AA70" t="str">
        <f>""</f>
        <v/>
      </c>
      <c r="AB70" t="str">
        <f>""</f>
        <v/>
      </c>
      <c r="AC70" t="str">
        <f>""</f>
        <v/>
      </c>
      <c r="AD70" t="str">
        <f>""</f>
        <v/>
      </c>
      <c r="AE70" t="str">
        <f>""</f>
        <v/>
      </c>
      <c r="AF70" t="str">
        <f>""</f>
        <v/>
      </c>
      <c r="AG70" t="str">
        <f>""</f>
        <v/>
      </c>
      <c r="AH70" t="str">
        <f>""</f>
        <v/>
      </c>
      <c r="AI70" t="str">
        <f>""</f>
        <v/>
      </c>
      <c r="AJ70" t="str">
        <f>""</f>
        <v/>
      </c>
      <c r="AK70" t="str">
        <f>""</f>
        <v/>
      </c>
      <c r="AL70" t="str">
        <f>""</f>
        <v/>
      </c>
      <c r="AM70" t="str">
        <f>""</f>
        <v/>
      </c>
      <c r="AN70" t="str">
        <f>""</f>
        <v/>
      </c>
    </row>
    <row r="71" spans="1:40" x14ac:dyDescent="0.2">
      <c r="A71" t="str">
        <f>"Ealpha_c"</f>
        <v>Ealpha_c</v>
      </c>
      <c r="B71" t="str">
        <f>".8232**"</f>
        <v>.8232**</v>
      </c>
      <c r="C71" t="str">
        <f>".3498"</f>
        <v>.3498</v>
      </c>
      <c r="D71" t="str">
        <f>".2161"</f>
        <v>.2161</v>
      </c>
      <c r="E71" t="str">
        <f>""</f>
        <v/>
      </c>
      <c r="F71" t="str">
        <f>""</f>
        <v/>
      </c>
      <c r="G71" t="str">
        <f>""</f>
        <v/>
      </c>
      <c r="H71" t="str">
        <f>""</f>
        <v/>
      </c>
      <c r="I71" t="str">
        <f>""</f>
        <v/>
      </c>
      <c r="J71" t="str">
        <f>""</f>
        <v/>
      </c>
      <c r="K71" t="str">
        <f>""</f>
        <v/>
      </c>
      <c r="L71" t="str">
        <f>""</f>
        <v/>
      </c>
      <c r="M71" t="str">
        <f>""</f>
        <v/>
      </c>
      <c r="N71" t="str">
        <f>""</f>
        <v/>
      </c>
      <c r="O71" t="str">
        <f>""</f>
        <v/>
      </c>
      <c r="P71" t="str">
        <f>""</f>
        <v/>
      </c>
      <c r="Q71" t="str">
        <f>""</f>
        <v/>
      </c>
      <c r="R71" t="str">
        <f>""</f>
        <v/>
      </c>
      <c r="S71" t="str">
        <f>""</f>
        <v/>
      </c>
      <c r="T71" t="str">
        <f>""</f>
        <v/>
      </c>
      <c r="U71" t="str">
        <f>""</f>
        <v/>
      </c>
      <c r="V71" t="str">
        <f>""</f>
        <v/>
      </c>
      <c r="W71" t="str">
        <f>""</f>
        <v/>
      </c>
      <c r="X71" t="str">
        <f>""</f>
        <v/>
      </c>
      <c r="Y71" t="str">
        <f>""</f>
        <v/>
      </c>
      <c r="Z71" t="str">
        <f>"2.87***"</f>
        <v>2.87***</v>
      </c>
      <c r="AA71" t="str">
        <f>"2.894***"</f>
        <v>2.894***</v>
      </c>
      <c r="AB71" t="str">
        <f>"3.053***"</f>
        <v>3.053***</v>
      </c>
      <c r="AC71" t="str">
        <f>"1.686***"</f>
        <v>1.686***</v>
      </c>
      <c r="AD71" t="str">
        <f>"1.617**"</f>
        <v>1.617**</v>
      </c>
      <c r="AE71" t="str">
        <f>"1.802***"</f>
        <v>1.802***</v>
      </c>
      <c r="AF71" t="str">
        <f>"1.381**"</f>
        <v>1.381**</v>
      </c>
      <c r="AG71" t="str">
        <f>"1.857**"</f>
        <v>1.857**</v>
      </c>
      <c r="AH71" t="str">
        <f>"2.215**"</f>
        <v>2.215**</v>
      </c>
      <c r="AI71" t="str">
        <f>""</f>
        <v/>
      </c>
      <c r="AJ71" t="str">
        <f>""</f>
        <v/>
      </c>
      <c r="AK71" t="str">
        <f>""</f>
        <v/>
      </c>
      <c r="AL71" t="str">
        <f>"1.405**"</f>
        <v>1.405**</v>
      </c>
      <c r="AM71" t="str">
        <f>"1.794***"</f>
        <v>1.794***</v>
      </c>
      <c r="AN71" t="str">
        <f>"1.871**"</f>
        <v>1.871**</v>
      </c>
    </row>
    <row r="72" spans="1:40" x14ac:dyDescent="0.2">
      <c r="A72" t="str">
        <f>""</f>
        <v/>
      </c>
      <c r="B72" t="str">
        <f>"(.4021)"</f>
        <v>(.4021)</v>
      </c>
      <c r="C72" t="str">
        <f>"(.4339)"</f>
        <v>(.4339)</v>
      </c>
      <c r="D72" t="str">
        <f>"(.3515)"</f>
        <v>(.3515)</v>
      </c>
      <c r="E72" t="str">
        <f>""</f>
        <v/>
      </c>
      <c r="F72" t="str">
        <f>""</f>
        <v/>
      </c>
      <c r="G72" t="str">
        <f>""</f>
        <v/>
      </c>
      <c r="H72" t="str">
        <f>""</f>
        <v/>
      </c>
      <c r="I72" t="str">
        <f>""</f>
        <v/>
      </c>
      <c r="J72" t="str">
        <f>""</f>
        <v/>
      </c>
      <c r="K72" t="str">
        <f>""</f>
        <v/>
      </c>
      <c r="L72" t="str">
        <f>""</f>
        <v/>
      </c>
      <c r="M72" t="str">
        <f>""</f>
        <v/>
      </c>
      <c r="N72" t="str">
        <f>""</f>
        <v/>
      </c>
      <c r="O72" t="str">
        <f>""</f>
        <v/>
      </c>
      <c r="P72" t="str">
        <f>""</f>
        <v/>
      </c>
      <c r="Q72" t="str">
        <f>""</f>
        <v/>
      </c>
      <c r="R72" t="str">
        <f>""</f>
        <v/>
      </c>
      <c r="S72" t="str">
        <f>""</f>
        <v/>
      </c>
      <c r="T72" t="str">
        <f>""</f>
        <v/>
      </c>
      <c r="U72" t="str">
        <f>""</f>
        <v/>
      </c>
      <c r="V72" t="str">
        <f>""</f>
        <v/>
      </c>
      <c r="W72" t="str">
        <f>""</f>
        <v/>
      </c>
      <c r="X72" t="str">
        <f>""</f>
        <v/>
      </c>
      <c r="Y72" t="str">
        <f>""</f>
        <v/>
      </c>
      <c r="Z72" t="str">
        <f>"(.2823)"</f>
        <v>(.2823)</v>
      </c>
      <c r="AA72" t="str">
        <f>"(.5211)"</f>
        <v>(.5211)</v>
      </c>
      <c r="AB72" t="str">
        <f>"(.6747)"</f>
        <v>(.6747)</v>
      </c>
      <c r="AC72" t="str">
        <f>"(.4943)"</f>
        <v>(.4943)</v>
      </c>
      <c r="AD72" t="str">
        <f>"(.6336)"</f>
        <v>(.6336)</v>
      </c>
      <c r="AE72" t="str">
        <f>"(.6079)"</f>
        <v>(.6079)</v>
      </c>
      <c r="AF72" t="str">
        <f>"(.6885)"</f>
        <v>(.6885)</v>
      </c>
      <c r="AG72" t="str">
        <f>"(.9019)"</f>
        <v>(.9019)</v>
      </c>
      <c r="AH72" t="str">
        <f>"(.9144)"</f>
        <v>(.9144)</v>
      </c>
      <c r="AI72" t="str">
        <f>""</f>
        <v/>
      </c>
      <c r="AJ72" t="str">
        <f>""</f>
        <v/>
      </c>
      <c r="AK72" t="str">
        <f>""</f>
        <v/>
      </c>
      <c r="AL72" t="str">
        <f>"(.6596)"</f>
        <v>(.6596)</v>
      </c>
      <c r="AM72" t="str">
        <f>"(.6773)"</f>
        <v>(.6773)</v>
      </c>
      <c r="AN72" t="str">
        <f>"(.8474)"</f>
        <v>(.8474)</v>
      </c>
    </row>
    <row r="73" spans="1:40" x14ac:dyDescent="0.2">
      <c r="A73" t="str">
        <f>"s_alpha_q1q5"</f>
        <v>s_alpha_q1q5</v>
      </c>
      <c r="B73" t="str">
        <f>""</f>
        <v/>
      </c>
      <c r="C73" t="str">
        <f>""</f>
        <v/>
      </c>
      <c r="D73" t="str">
        <f>""</f>
        <v/>
      </c>
      <c r="E73" t="str">
        <f>"1.2***"</f>
        <v>1.2***</v>
      </c>
      <c r="F73" t="str">
        <f>"1.359***"</f>
        <v>1.359***</v>
      </c>
      <c r="G73" t="str">
        <f>"1.465***"</f>
        <v>1.465***</v>
      </c>
      <c r="H73" t="str">
        <f>""</f>
        <v/>
      </c>
      <c r="I73" t="str">
        <f>""</f>
        <v/>
      </c>
      <c r="J73" t="str">
        <f>""</f>
        <v/>
      </c>
      <c r="K73" t="str">
        <f>""</f>
        <v/>
      </c>
      <c r="L73" t="str">
        <f>""</f>
        <v/>
      </c>
      <c r="M73" t="str">
        <f>""</f>
        <v/>
      </c>
      <c r="N73" t="str">
        <f>""</f>
        <v/>
      </c>
      <c r="O73" t="str">
        <f>""</f>
        <v/>
      </c>
      <c r="P73" t="str">
        <f>""</f>
        <v/>
      </c>
      <c r="Q73" t="str">
        <f>".8927***"</f>
        <v>.8927***</v>
      </c>
      <c r="R73" t="str">
        <f>".6986**"</f>
        <v>.6986**</v>
      </c>
      <c r="S73" t="str">
        <f>".7727**"</f>
        <v>.7727**</v>
      </c>
      <c r="T73" t="str">
        <f>""</f>
        <v/>
      </c>
      <c r="U73" t="str">
        <f>""</f>
        <v/>
      </c>
      <c r="V73" t="str">
        <f>""</f>
        <v/>
      </c>
      <c r="W73" t="str">
        <f>".8918***"</f>
        <v>.8918***</v>
      </c>
      <c r="X73" t="str">
        <f>".5997**"</f>
        <v>.5997**</v>
      </c>
      <c r="Y73" t="str">
        <f>".5677*"</f>
        <v>.5677*</v>
      </c>
      <c r="Z73" t="str">
        <f>""</f>
        <v/>
      </c>
      <c r="AA73" t="str">
        <f>""</f>
        <v/>
      </c>
      <c r="AB73" t="str">
        <f>""</f>
        <v/>
      </c>
      <c r="AC73" t="str">
        <f>""</f>
        <v/>
      </c>
      <c r="AD73" t="str">
        <f>""</f>
        <v/>
      </c>
      <c r="AE73" t="str">
        <f>""</f>
        <v/>
      </c>
      <c r="AF73" t="str">
        <f>""</f>
        <v/>
      </c>
      <c r="AG73" t="str">
        <f>""</f>
        <v/>
      </c>
      <c r="AH73" t="str">
        <f>""</f>
        <v/>
      </c>
      <c r="AI73" t="str">
        <f>""</f>
        <v/>
      </c>
      <c r="AJ73" t="str">
        <f>""</f>
        <v/>
      </c>
      <c r="AK73" t="str">
        <f>""</f>
        <v/>
      </c>
      <c r="AL73" t="str">
        <f>""</f>
        <v/>
      </c>
      <c r="AM73" t="str">
        <f>""</f>
        <v/>
      </c>
      <c r="AN73" t="str">
        <f>""</f>
        <v/>
      </c>
    </row>
    <row r="74" spans="1:40" x14ac:dyDescent="0.2">
      <c r="A74" t="str">
        <f>""</f>
        <v/>
      </c>
      <c r="B74" t="str">
        <f>""</f>
        <v/>
      </c>
      <c r="C74" t="str">
        <f>""</f>
        <v/>
      </c>
      <c r="D74" t="str">
        <f>""</f>
        <v/>
      </c>
      <c r="E74" t="str">
        <f>"(.2844)"</f>
        <v>(.2844)</v>
      </c>
      <c r="F74" t="str">
        <f>"(.3481)"</f>
        <v>(.3481)</v>
      </c>
      <c r="G74" t="str">
        <f>"(.3986)"</f>
        <v>(.3986)</v>
      </c>
      <c r="H74" t="str">
        <f>""</f>
        <v/>
      </c>
      <c r="I74" t="str">
        <f>""</f>
        <v/>
      </c>
      <c r="J74" t="str">
        <f>""</f>
        <v/>
      </c>
      <c r="K74" t="str">
        <f>""</f>
        <v/>
      </c>
      <c r="L74" t="str">
        <f>""</f>
        <v/>
      </c>
      <c r="M74" t="str">
        <f>""</f>
        <v/>
      </c>
      <c r="N74" t="str">
        <f>""</f>
        <v/>
      </c>
      <c r="O74" t="str">
        <f>""</f>
        <v/>
      </c>
      <c r="P74" t="str">
        <f>""</f>
        <v/>
      </c>
      <c r="Q74" t="str">
        <f>"(.2036)"</f>
        <v>(.2036)</v>
      </c>
      <c r="R74" t="str">
        <f>"(.3128)"</f>
        <v>(.3128)</v>
      </c>
      <c r="S74" t="str">
        <f>"(.3358)"</f>
        <v>(.3358)</v>
      </c>
      <c r="T74" t="str">
        <f>""</f>
        <v/>
      </c>
      <c r="U74" t="str">
        <f>""</f>
        <v/>
      </c>
      <c r="V74" t="str">
        <f>""</f>
        <v/>
      </c>
      <c r="W74" t="str">
        <f>"(.218)"</f>
        <v>(.218)</v>
      </c>
      <c r="X74" t="str">
        <f>"(.3023)"</f>
        <v>(.3023)</v>
      </c>
      <c r="Y74" t="str">
        <f>"(.3103)"</f>
        <v>(.3103)</v>
      </c>
      <c r="Z74" t="str">
        <f>""</f>
        <v/>
      </c>
      <c r="AA74" t="str">
        <f>""</f>
        <v/>
      </c>
      <c r="AB74" t="str">
        <f>""</f>
        <v/>
      </c>
      <c r="AC74" t="str">
        <f>""</f>
        <v/>
      </c>
      <c r="AD74" t="str">
        <f>""</f>
        <v/>
      </c>
      <c r="AE74" t="str">
        <f>""</f>
        <v/>
      </c>
      <c r="AF74" t="str">
        <f>""</f>
        <v/>
      </c>
      <c r="AG74" t="str">
        <f>""</f>
        <v/>
      </c>
      <c r="AH74" t="str">
        <f>""</f>
        <v/>
      </c>
      <c r="AI74" t="str">
        <f>""</f>
        <v/>
      </c>
      <c r="AJ74" t="str">
        <f>""</f>
        <v/>
      </c>
      <c r="AK74" t="str">
        <f>""</f>
        <v/>
      </c>
      <c r="AL74" t="str">
        <f>""</f>
        <v/>
      </c>
      <c r="AM74" t="str">
        <f>""</f>
        <v/>
      </c>
      <c r="AN74" t="str">
        <f>""</f>
        <v/>
      </c>
    </row>
    <row r="75" spans="1:40" x14ac:dyDescent="0.2">
      <c r="A75" t="str">
        <f>"Es_alpha_q1q5"</f>
        <v>Es_alpha_q1q5</v>
      </c>
      <c r="B75" t="str">
        <f>""</f>
        <v/>
      </c>
      <c r="C75" t="str">
        <f>""</f>
        <v/>
      </c>
      <c r="D75" t="str">
        <f>""</f>
        <v/>
      </c>
      <c r="E75" t="str">
        <f>"5.831***"</f>
        <v>5.831***</v>
      </c>
      <c r="F75" t="str">
        <f>"3.596*"</f>
        <v>3.596*</v>
      </c>
      <c r="G75" t="str">
        <f>"3.639*"</f>
        <v>3.639*</v>
      </c>
      <c r="H75" t="str">
        <f>""</f>
        <v/>
      </c>
      <c r="I75" t="str">
        <f>""</f>
        <v/>
      </c>
      <c r="J75" t="str">
        <f>""</f>
        <v/>
      </c>
      <c r="K75" t="str">
        <f>""</f>
        <v/>
      </c>
      <c r="L75" t="str">
        <f>""</f>
        <v/>
      </c>
      <c r="M75" t="str">
        <f>""</f>
        <v/>
      </c>
      <c r="N75" t="str">
        <f>""</f>
        <v/>
      </c>
      <c r="O75" t="str">
        <f>""</f>
        <v/>
      </c>
      <c r="P75" t="str">
        <f>""</f>
        <v/>
      </c>
      <c r="Q75" t="str">
        <f>""</f>
        <v/>
      </c>
      <c r="R75" t="str">
        <f>""</f>
        <v/>
      </c>
      <c r="S75" t="str">
        <f>""</f>
        <v/>
      </c>
      <c r="T75" t="str">
        <f>""</f>
        <v/>
      </c>
      <c r="U75" t="str">
        <f>""</f>
        <v/>
      </c>
      <c r="V75" t="str">
        <f>""</f>
        <v/>
      </c>
      <c r="W75" t="str">
        <f>""</f>
        <v/>
      </c>
      <c r="X75" t="str">
        <f>""</f>
        <v/>
      </c>
      <c r="Y75" t="str">
        <f>""</f>
        <v/>
      </c>
      <c r="Z75" t="str">
        <f>""</f>
        <v/>
      </c>
      <c r="AA75" t="str">
        <f>""</f>
        <v/>
      </c>
      <c r="AB75" t="str">
        <f>""</f>
        <v/>
      </c>
      <c r="AC75" t="str">
        <f>"3.701**"</f>
        <v>3.701**</v>
      </c>
      <c r="AD75" t="str">
        <f>"3.306"</f>
        <v>3.306</v>
      </c>
      <c r="AE75" t="str">
        <f>"2.571"</f>
        <v>2.571</v>
      </c>
      <c r="AF75" t="str">
        <f>"2.382"</f>
        <v>2.382</v>
      </c>
      <c r="AG75" t="str">
        <f>"1.393"</f>
        <v>1.393</v>
      </c>
      <c r="AH75" t="str">
        <f>".7927"</f>
        <v>.7927</v>
      </c>
      <c r="AI75" t="str">
        <f>""</f>
        <v/>
      </c>
      <c r="AJ75" t="str">
        <f>""</f>
        <v/>
      </c>
      <c r="AK75" t="str">
        <f>""</f>
        <v/>
      </c>
      <c r="AL75" t="str">
        <f>"2.376"</f>
        <v>2.376</v>
      </c>
      <c r="AM75" t="str">
        <f>"1.1"</f>
        <v>1.1</v>
      </c>
      <c r="AN75" t="str">
        <f>"1.979"</f>
        <v>1.979</v>
      </c>
    </row>
    <row r="76" spans="1:40" x14ac:dyDescent="0.2">
      <c r="A76" t="str">
        <f>""</f>
        <v/>
      </c>
      <c r="B76" t="str">
        <f>""</f>
        <v/>
      </c>
      <c r="C76" t="str">
        <f>""</f>
        <v/>
      </c>
      <c r="D76" t="str">
        <f>""</f>
        <v/>
      </c>
      <c r="E76" t="str">
        <f>"(.9426)"</f>
        <v>(.9426)</v>
      </c>
      <c r="F76" t="str">
        <f>"(1.9)"</f>
        <v>(1.9)</v>
      </c>
      <c r="G76" t="str">
        <f>"(1.986)"</f>
        <v>(1.986)</v>
      </c>
      <c r="H76" t="str">
        <f>""</f>
        <v/>
      </c>
      <c r="I76" t="str">
        <f>""</f>
        <v/>
      </c>
      <c r="J76" t="str">
        <f>""</f>
        <v/>
      </c>
      <c r="K76" t="str">
        <f>""</f>
        <v/>
      </c>
      <c r="L76" t="str">
        <f>""</f>
        <v/>
      </c>
      <c r="M76" t="str">
        <f>""</f>
        <v/>
      </c>
      <c r="N76" t="str">
        <f>""</f>
        <v/>
      </c>
      <c r="O76" t="str">
        <f>""</f>
        <v/>
      </c>
      <c r="P76" t="str">
        <f>""</f>
        <v/>
      </c>
      <c r="Q76" t="str">
        <f>""</f>
        <v/>
      </c>
      <c r="R76" t="str">
        <f>""</f>
        <v/>
      </c>
      <c r="S76" t="str">
        <f>""</f>
        <v/>
      </c>
      <c r="T76" t="str">
        <f>""</f>
        <v/>
      </c>
      <c r="U76" t="str">
        <f>""</f>
        <v/>
      </c>
      <c r="V76" t="str">
        <f>""</f>
        <v/>
      </c>
      <c r="W76" t="str">
        <f>""</f>
        <v/>
      </c>
      <c r="X76" t="str">
        <f>""</f>
        <v/>
      </c>
      <c r="Y76" t="str">
        <f>""</f>
        <v/>
      </c>
      <c r="Z76" t="str">
        <f>""</f>
        <v/>
      </c>
      <c r="AA76" t="str">
        <f>""</f>
        <v/>
      </c>
      <c r="AB76" t="str">
        <f>""</f>
        <v/>
      </c>
      <c r="AC76" t="str">
        <f>"(1.492)"</f>
        <v>(1.492)</v>
      </c>
      <c r="AD76" t="str">
        <f>"(2.029)"</f>
        <v>(2.029)</v>
      </c>
      <c r="AE76" t="str">
        <f>"(2.144)"</f>
        <v>(2.144)</v>
      </c>
      <c r="AF76" t="str">
        <f>"(1.546)"</f>
        <v>(1.546)</v>
      </c>
      <c r="AG76" t="str">
        <f>"(2.18)"</f>
        <v>(2.18)</v>
      </c>
      <c r="AH76" t="str">
        <f>"(2.374)"</f>
        <v>(2.374)</v>
      </c>
      <c r="AI76" t="str">
        <f>""</f>
        <v/>
      </c>
      <c r="AJ76" t="str">
        <f>""</f>
        <v/>
      </c>
      <c r="AK76" t="str">
        <f>""</f>
        <v/>
      </c>
      <c r="AL76" t="str">
        <f>"(1.58)"</f>
        <v>(1.58)</v>
      </c>
      <c r="AM76" t="str">
        <f>"(2.213)"</f>
        <v>(2.213)</v>
      </c>
      <c r="AN76" t="str">
        <f>"(2.028)"</f>
        <v>(2.028)</v>
      </c>
    </row>
    <row r="77" spans="1:40" x14ac:dyDescent="0.2">
      <c r="A77" t="str">
        <f>"psi_c"</f>
        <v>psi_c</v>
      </c>
      <c r="B77" t="str">
        <f>""</f>
        <v/>
      </c>
      <c r="C77" t="str">
        <f>""</f>
        <v/>
      </c>
      <c r="D77" t="str">
        <f>""</f>
        <v/>
      </c>
      <c r="E77" t="str">
        <f>""</f>
        <v/>
      </c>
      <c r="F77" t="str">
        <f>""</f>
        <v/>
      </c>
      <c r="G77" t="str">
        <f>""</f>
        <v/>
      </c>
      <c r="H77" t="str">
        <f>"1.078***"</f>
        <v>1.078***</v>
      </c>
      <c r="I77" t="str">
        <f>".6666***"</f>
        <v>.6666***</v>
      </c>
      <c r="J77" t="str">
        <f>".6578"</f>
        <v>.6578</v>
      </c>
      <c r="K77" t="str">
        <f>""</f>
        <v/>
      </c>
      <c r="L77" t="str">
        <f>""</f>
        <v/>
      </c>
      <c r="M77" t="str">
        <f>""</f>
        <v/>
      </c>
      <c r="N77" t="str">
        <f>".05622"</f>
        <v>.05622</v>
      </c>
      <c r="O77" t="str">
        <f>".1733"</f>
        <v>.1733</v>
      </c>
      <c r="P77" t="str">
        <f>".3468**"</f>
        <v>.3468**</v>
      </c>
      <c r="Q77" t="str">
        <f>""</f>
        <v/>
      </c>
      <c r="R77" t="str">
        <f>""</f>
        <v/>
      </c>
      <c r="S77" t="str">
        <f>""</f>
        <v/>
      </c>
      <c r="T77" t="str">
        <f>"-1.736**"</f>
        <v>-1.736**</v>
      </c>
      <c r="U77" t="str">
        <f>"-1.781***"</f>
        <v>-1.781***</v>
      </c>
      <c r="V77" t="str">
        <f>"-1.729**"</f>
        <v>-1.729**</v>
      </c>
      <c r="W77" t="str">
        <f>"-.2438"</f>
        <v>-.2438</v>
      </c>
      <c r="X77" t="str">
        <f>"-.3019"</f>
        <v>-.3019</v>
      </c>
      <c r="Y77" t="str">
        <f>"-.3102"</f>
        <v>-.3102</v>
      </c>
      <c r="Z77" t="str">
        <f>""</f>
        <v/>
      </c>
      <c r="AA77" t="str">
        <f>""</f>
        <v/>
      </c>
      <c r="AB77" t="str">
        <f>""</f>
        <v/>
      </c>
      <c r="AC77" t="str">
        <f>""</f>
        <v/>
      </c>
      <c r="AD77" t="str">
        <f>""</f>
        <v/>
      </c>
      <c r="AE77" t="str">
        <f>""</f>
        <v/>
      </c>
      <c r="AF77" t="str">
        <f>""</f>
        <v/>
      </c>
      <c r="AG77" t="str">
        <f>""</f>
        <v/>
      </c>
      <c r="AH77" t="str">
        <f>""</f>
        <v/>
      </c>
      <c r="AI77" t="str">
        <f>""</f>
        <v/>
      </c>
      <c r="AJ77" t="str">
        <f>""</f>
        <v/>
      </c>
      <c r="AK77" t="str">
        <f>""</f>
        <v/>
      </c>
      <c r="AL77" t="str">
        <f>""</f>
        <v/>
      </c>
      <c r="AM77" t="str">
        <f>""</f>
        <v/>
      </c>
      <c r="AN77" t="str">
        <f>""</f>
        <v/>
      </c>
    </row>
    <row r="78" spans="1:40" x14ac:dyDescent="0.2">
      <c r="A78" t="str">
        <f>""</f>
        <v/>
      </c>
      <c r="B78" t="str">
        <f>""</f>
        <v/>
      </c>
      <c r="C78" t="str">
        <f>""</f>
        <v/>
      </c>
      <c r="D78" t="str">
        <f>""</f>
        <v/>
      </c>
      <c r="E78" t="str">
        <f>""</f>
        <v/>
      </c>
      <c r="F78" t="str">
        <f>""</f>
        <v/>
      </c>
      <c r="G78" t="str">
        <f>""</f>
        <v/>
      </c>
      <c r="H78" t="str">
        <f>"(.2874)"</f>
        <v>(.2874)</v>
      </c>
      <c r="I78" t="str">
        <f>"(.2324)"</f>
        <v>(.2324)</v>
      </c>
      <c r="J78" t="str">
        <f>"(.4173)"</f>
        <v>(.4173)</v>
      </c>
      <c r="K78" t="str">
        <f>""</f>
        <v/>
      </c>
      <c r="L78" t="str">
        <f>""</f>
        <v/>
      </c>
      <c r="M78" t="str">
        <f>""</f>
        <v/>
      </c>
      <c r="N78" t="str">
        <f>"(.1606)"</f>
        <v>(.1606)</v>
      </c>
      <c r="O78" t="str">
        <f>"(.1565)"</f>
        <v>(.1565)</v>
      </c>
      <c r="P78" t="str">
        <f>"(.1629)"</f>
        <v>(.1629)</v>
      </c>
      <c r="Q78" t="str">
        <f>""</f>
        <v/>
      </c>
      <c r="R78" t="str">
        <f>""</f>
        <v/>
      </c>
      <c r="S78" t="str">
        <f>""</f>
        <v/>
      </c>
      <c r="T78" t="str">
        <f>"(.8474)"</f>
        <v>(.8474)</v>
      </c>
      <c r="U78" t="str">
        <f>"(.5587)"</f>
        <v>(.5587)</v>
      </c>
      <c r="V78" t="str">
        <f>"(.8061)"</f>
        <v>(.8061)</v>
      </c>
      <c r="W78" t="str">
        <f>"(.5133)"</f>
        <v>(.5133)</v>
      </c>
      <c r="X78" t="str">
        <f>"(.5493)"</f>
        <v>(.5493)</v>
      </c>
      <c r="Y78" t="str">
        <f>"(.4656)"</f>
        <v>(.4656)</v>
      </c>
      <c r="Z78" t="str">
        <f>""</f>
        <v/>
      </c>
      <c r="AA78" t="str">
        <f>""</f>
        <v/>
      </c>
      <c r="AB78" t="str">
        <f>""</f>
        <v/>
      </c>
      <c r="AC78" t="str">
        <f>""</f>
        <v/>
      </c>
      <c r="AD78" t="str">
        <f>""</f>
        <v/>
      </c>
      <c r="AE78" t="str">
        <f>""</f>
        <v/>
      </c>
      <c r="AF78" t="str">
        <f>""</f>
        <v/>
      </c>
      <c r="AG78" t="str">
        <f>""</f>
        <v/>
      </c>
      <c r="AH78" t="str">
        <f>""</f>
        <v/>
      </c>
      <c r="AI78" t="str">
        <f>""</f>
        <v/>
      </c>
      <c r="AJ78" t="str">
        <f>""</f>
        <v/>
      </c>
      <c r="AK78" t="str">
        <f>""</f>
        <v/>
      </c>
      <c r="AL78" t="str">
        <f>""</f>
        <v/>
      </c>
      <c r="AM78" t="str">
        <f>""</f>
        <v/>
      </c>
      <c r="AN78" t="str">
        <f>""</f>
        <v/>
      </c>
    </row>
    <row r="79" spans="1:40" x14ac:dyDescent="0.2">
      <c r="A79" t="str">
        <f>"Epsi_c"</f>
        <v>Epsi_c</v>
      </c>
      <c r="B79" t="str">
        <f>""</f>
        <v/>
      </c>
      <c r="C79" t="str">
        <f>""</f>
        <v/>
      </c>
      <c r="D79" t="str">
        <f>""</f>
        <v/>
      </c>
      <c r="E79" t="str">
        <f>""</f>
        <v/>
      </c>
      <c r="F79" t="str">
        <f>""</f>
        <v/>
      </c>
      <c r="G79" t="str">
        <f>""</f>
        <v/>
      </c>
      <c r="H79" t="str">
        <f>".7053"</f>
        <v>.7053</v>
      </c>
      <c r="I79" t="str">
        <f>"1.12"</f>
        <v>1.12</v>
      </c>
      <c r="J79" t="str">
        <f>"1.315"</f>
        <v>1.315</v>
      </c>
      <c r="K79" t="str">
        <f>""</f>
        <v/>
      </c>
      <c r="L79" t="str">
        <f>""</f>
        <v/>
      </c>
      <c r="M79" t="str">
        <f>""</f>
        <v/>
      </c>
      <c r="N79" t="str">
        <f>""</f>
        <v/>
      </c>
      <c r="O79" t="str">
        <f>""</f>
        <v/>
      </c>
      <c r="P79" t="str">
        <f>""</f>
        <v/>
      </c>
      <c r="Q79" t="str">
        <f>""</f>
        <v/>
      </c>
      <c r="R79" t="str">
        <f>""</f>
        <v/>
      </c>
      <c r="S79" t="str">
        <f>""</f>
        <v/>
      </c>
      <c r="T79" t="str">
        <f>""</f>
        <v/>
      </c>
      <c r="U79" t="str">
        <f>""</f>
        <v/>
      </c>
      <c r="V79" t="str">
        <f>""</f>
        <v/>
      </c>
      <c r="W79" t="str">
        <f>""</f>
        <v/>
      </c>
      <c r="X79" t="str">
        <f>""</f>
        <v/>
      </c>
      <c r="Y79" t="str">
        <f>""</f>
        <v/>
      </c>
      <c r="Z79" t="str">
        <f>"-1.24"</f>
        <v>-1.24</v>
      </c>
      <c r="AA79" t="str">
        <f>"-1.649"</f>
        <v>-1.649</v>
      </c>
      <c r="AB79" t="str">
        <f>"-1.887"</f>
        <v>-1.887</v>
      </c>
      <c r="AC79" t="str">
        <f>""</f>
        <v/>
      </c>
      <c r="AD79" t="str">
        <f>""</f>
        <v/>
      </c>
      <c r="AE79" t="str">
        <f>""</f>
        <v/>
      </c>
      <c r="AF79" t="str">
        <f>"-4.569*"</f>
        <v>-4.569*</v>
      </c>
      <c r="AG79" t="str">
        <f>"-5.026"</f>
        <v>-5.026</v>
      </c>
      <c r="AH79" t="str">
        <f>"-4.734"</f>
        <v>-4.734</v>
      </c>
      <c r="AI79" t="str">
        <f>""</f>
        <v/>
      </c>
      <c r="AJ79" t="str">
        <f>""</f>
        <v/>
      </c>
      <c r="AK79" t="str">
        <f>""</f>
        <v/>
      </c>
      <c r="AL79" t="str">
        <f>"-3.918"</f>
        <v>-3.918</v>
      </c>
      <c r="AM79" t="str">
        <f>"-4.713"</f>
        <v>-4.713</v>
      </c>
      <c r="AN79" t="str">
        <f>"-3.415"</f>
        <v>-3.415</v>
      </c>
    </row>
    <row r="80" spans="1:40" x14ac:dyDescent="0.2">
      <c r="A80" t="str">
        <f>""</f>
        <v/>
      </c>
      <c r="B80" t="str">
        <f>""</f>
        <v/>
      </c>
      <c r="C80" t="str">
        <f>""</f>
        <v/>
      </c>
      <c r="D80" t="str">
        <f>""</f>
        <v/>
      </c>
      <c r="E80" t="str">
        <f>""</f>
        <v/>
      </c>
      <c r="F80" t="str">
        <f>""</f>
        <v/>
      </c>
      <c r="G80" t="str">
        <f>""</f>
        <v/>
      </c>
      <c r="H80" t="str">
        <f>"(1.354)"</f>
        <v>(1.354)</v>
      </c>
      <c r="I80" t="str">
        <f>"(1.072)"</f>
        <v>(1.072)</v>
      </c>
      <c r="J80" t="str">
        <f>"(.9565)"</f>
        <v>(.9565)</v>
      </c>
      <c r="K80" t="str">
        <f>""</f>
        <v/>
      </c>
      <c r="L80" t="str">
        <f>""</f>
        <v/>
      </c>
      <c r="M80" t="str">
        <f>""</f>
        <v/>
      </c>
      <c r="N80" t="str">
        <f>""</f>
        <v/>
      </c>
      <c r="O80" t="str">
        <f>""</f>
        <v/>
      </c>
      <c r="P80" t="str">
        <f>""</f>
        <v/>
      </c>
      <c r="Q80" t="str">
        <f>""</f>
        <v/>
      </c>
      <c r="R80" t="str">
        <f>""</f>
        <v/>
      </c>
      <c r="S80" t="str">
        <f>""</f>
        <v/>
      </c>
      <c r="T80" t="str">
        <f>""</f>
        <v/>
      </c>
      <c r="U80" t="str">
        <f>""</f>
        <v/>
      </c>
      <c r="V80" t="str">
        <f>""</f>
        <v/>
      </c>
      <c r="W80" t="str">
        <f>""</f>
        <v/>
      </c>
      <c r="X80" t="str">
        <f>""</f>
        <v/>
      </c>
      <c r="Y80" t="str">
        <f>""</f>
        <v/>
      </c>
      <c r="Z80" t="str">
        <f>"(.7953)"</f>
        <v>(.7953)</v>
      </c>
      <c r="AA80" t="str">
        <f>"(1.13)"</f>
        <v>(1.13)</v>
      </c>
      <c r="AB80" t="str">
        <f>"(1.63)"</f>
        <v>(1.63)</v>
      </c>
      <c r="AC80" t="str">
        <f>""</f>
        <v/>
      </c>
      <c r="AD80" t="str">
        <f>""</f>
        <v/>
      </c>
      <c r="AE80" t="str">
        <f>""</f>
        <v/>
      </c>
      <c r="AF80" t="str">
        <f>"(2.639)"</f>
        <v>(2.639)</v>
      </c>
      <c r="AG80" t="str">
        <f>"(3.193)"</f>
        <v>(3.193)</v>
      </c>
      <c r="AH80" t="str">
        <f>"(3.148)"</f>
        <v>(3.148)</v>
      </c>
      <c r="AI80" t="str">
        <f>""</f>
        <v/>
      </c>
      <c r="AJ80" t="str">
        <f>""</f>
        <v/>
      </c>
      <c r="AK80" t="str">
        <f>""</f>
        <v/>
      </c>
      <c r="AL80" t="str">
        <f>"(3.132)"</f>
        <v>(3.132)</v>
      </c>
      <c r="AM80" t="str">
        <f>"(3.748)"</f>
        <v>(3.748)</v>
      </c>
      <c r="AN80" t="str">
        <f>"(3.128)"</f>
        <v>(3.128)</v>
      </c>
    </row>
    <row r="81" spans="1:40" x14ac:dyDescent="0.2">
      <c r="A81" t="str">
        <f>"s_psi_q1q5"</f>
        <v>s_psi_q1q5</v>
      </c>
      <c r="B81" t="str">
        <f>""</f>
        <v/>
      </c>
      <c r="C81" t="str">
        <f>""</f>
        <v/>
      </c>
      <c r="D81" t="str">
        <f>""</f>
        <v/>
      </c>
      <c r="E81" t="str">
        <f>""</f>
        <v/>
      </c>
      <c r="F81" t="str">
        <f>""</f>
        <v/>
      </c>
      <c r="G81" t="str">
        <f>""</f>
        <v/>
      </c>
      <c r="H81" t="str">
        <f>""</f>
        <v/>
      </c>
      <c r="I81" t="str">
        <f>""</f>
        <v/>
      </c>
      <c r="J81" t="str">
        <f>""</f>
        <v/>
      </c>
      <c r="K81" t="str">
        <f>".4956***"</f>
        <v>.4956***</v>
      </c>
      <c r="L81" t="str">
        <f>".3813***"</f>
        <v>.3813***</v>
      </c>
      <c r="M81" t="str">
        <f>".4369***"</f>
        <v>.4369***</v>
      </c>
      <c r="N81" t="str">
        <f>""</f>
        <v/>
      </c>
      <c r="O81" t="str">
        <f>""</f>
        <v/>
      </c>
      <c r="P81" t="str">
        <f>""</f>
        <v/>
      </c>
      <c r="Q81" t="str">
        <f>""</f>
        <v/>
      </c>
      <c r="R81" t="str">
        <f>""</f>
        <v/>
      </c>
      <c r="S81" t="str">
        <f>""</f>
        <v/>
      </c>
      <c r="T81" t="str">
        <f>"1.457***"</f>
        <v>1.457***</v>
      </c>
      <c r="U81" t="str">
        <f>"1.272***"</f>
        <v>1.272***</v>
      </c>
      <c r="V81" t="str">
        <f>"1.352***"</f>
        <v>1.352***</v>
      </c>
      <c r="W81" t="str">
        <f>".09601"</f>
        <v>.09601</v>
      </c>
      <c r="X81" t="str">
        <f>".2133"</f>
        <v>.2133</v>
      </c>
      <c r="Y81" t="str">
        <f>".3242"</f>
        <v>.3242</v>
      </c>
      <c r="Z81" t="str">
        <f>""</f>
        <v/>
      </c>
      <c r="AA81" t="str">
        <f>""</f>
        <v/>
      </c>
      <c r="AB81" t="str">
        <f>""</f>
        <v/>
      </c>
      <c r="AC81" t="str">
        <f>""</f>
        <v/>
      </c>
      <c r="AD81" t="str">
        <f>""</f>
        <v/>
      </c>
      <c r="AE81" t="str">
        <f>""</f>
        <v/>
      </c>
      <c r="AF81" t="str">
        <f>""</f>
        <v/>
      </c>
      <c r="AG81" t="str">
        <f>""</f>
        <v/>
      </c>
      <c r="AH81" t="str">
        <f>""</f>
        <v/>
      </c>
      <c r="AI81" t="str">
        <f>""</f>
        <v/>
      </c>
      <c r="AJ81" t="str">
        <f>""</f>
        <v/>
      </c>
      <c r="AK81" t="str">
        <f>""</f>
        <v/>
      </c>
      <c r="AL81" t="str">
        <f>""</f>
        <v/>
      </c>
      <c r="AM81" t="str">
        <f>""</f>
        <v/>
      </c>
      <c r="AN81" t="str">
        <f>""</f>
        <v/>
      </c>
    </row>
    <row r="82" spans="1:40" x14ac:dyDescent="0.2">
      <c r="A82" t="str">
        <f>""</f>
        <v/>
      </c>
      <c r="B82" t="str">
        <f>""</f>
        <v/>
      </c>
      <c r="C82" t="str">
        <f>""</f>
        <v/>
      </c>
      <c r="D82" t="str">
        <f>""</f>
        <v/>
      </c>
      <c r="E82" t="str">
        <f>""</f>
        <v/>
      </c>
      <c r="F82" t="str">
        <f>""</f>
        <v/>
      </c>
      <c r="G82" t="str">
        <f>""</f>
        <v/>
      </c>
      <c r="H82" t="str">
        <f>""</f>
        <v/>
      </c>
      <c r="I82" t="str">
        <f>""</f>
        <v/>
      </c>
      <c r="J82" t="str">
        <f>""</f>
        <v/>
      </c>
      <c r="K82" t="str">
        <f>"(.1451)"</f>
        <v>(.1451)</v>
      </c>
      <c r="L82" t="str">
        <f>"(.1217)"</f>
        <v>(.1217)</v>
      </c>
      <c r="M82" t="str">
        <f>"(.1311)"</f>
        <v>(.1311)</v>
      </c>
      <c r="N82" t="str">
        <f>""</f>
        <v/>
      </c>
      <c r="O82" t="str">
        <f>""</f>
        <v/>
      </c>
      <c r="P82" t="str">
        <f>""</f>
        <v/>
      </c>
      <c r="Q82" t="str">
        <f>""</f>
        <v/>
      </c>
      <c r="R82" t="str">
        <f>""</f>
        <v/>
      </c>
      <c r="S82" t="str">
        <f>""</f>
        <v/>
      </c>
      <c r="T82" t="str">
        <f>"(.4049)"</f>
        <v>(.4049)</v>
      </c>
      <c r="U82" t="str">
        <f>"(.255)"</f>
        <v>(.255)</v>
      </c>
      <c r="V82" t="str">
        <f>"(.3658)"</f>
        <v>(.3658)</v>
      </c>
      <c r="W82" t="str">
        <f>"(.2685)"</f>
        <v>(.2685)</v>
      </c>
      <c r="X82" t="str">
        <f>"(.3014)"</f>
        <v>(.3014)</v>
      </c>
      <c r="Y82" t="str">
        <f>"(.2818)"</f>
        <v>(.2818)</v>
      </c>
      <c r="Z82" t="str">
        <f>""</f>
        <v/>
      </c>
      <c r="AA82" t="str">
        <f>""</f>
        <v/>
      </c>
      <c r="AB82" t="str">
        <f>""</f>
        <v/>
      </c>
      <c r="AC82" t="str">
        <f>""</f>
        <v/>
      </c>
      <c r="AD82" t="str">
        <f>""</f>
        <v/>
      </c>
      <c r="AE82" t="str">
        <f>""</f>
        <v/>
      </c>
      <c r="AF82" t="str">
        <f>""</f>
        <v/>
      </c>
      <c r="AG82" t="str">
        <f>""</f>
        <v/>
      </c>
      <c r="AH82" t="str">
        <f>""</f>
        <v/>
      </c>
      <c r="AI82" t="str">
        <f>""</f>
        <v/>
      </c>
      <c r="AJ82" t="str">
        <f>""</f>
        <v/>
      </c>
      <c r="AK82" t="str">
        <f>""</f>
        <v/>
      </c>
      <c r="AL82" t="str">
        <f>""</f>
        <v/>
      </c>
      <c r="AM82" t="str">
        <f>""</f>
        <v/>
      </c>
      <c r="AN82" t="str">
        <f>""</f>
        <v/>
      </c>
    </row>
    <row r="83" spans="1:40" x14ac:dyDescent="0.2">
      <c r="A83" t="str">
        <f>"Es_psi_q1q5"</f>
        <v>Es_psi_q1q5</v>
      </c>
      <c r="B83" t="str">
        <f>""</f>
        <v/>
      </c>
      <c r="C83" t="str">
        <f>""</f>
        <v/>
      </c>
      <c r="D83" t="str">
        <f>""</f>
        <v/>
      </c>
      <c r="E83" t="str">
        <f>""</f>
        <v/>
      </c>
      <c r="F83" t="str">
        <f>""</f>
        <v/>
      </c>
      <c r="G83" t="str">
        <f>""</f>
        <v/>
      </c>
      <c r="H83" t="str">
        <f>""</f>
        <v/>
      </c>
      <c r="I83" t="str">
        <f>""</f>
        <v/>
      </c>
      <c r="J83" t="str">
        <f>""</f>
        <v/>
      </c>
      <c r="K83" t="str">
        <f>"1.561***"</f>
        <v>1.561***</v>
      </c>
      <c r="L83" t="str">
        <f>"1.069**"</f>
        <v>1.069**</v>
      </c>
      <c r="M83" t="str">
        <f>".9435**"</f>
        <v>.9435**</v>
      </c>
      <c r="N83" t="str">
        <f>""</f>
        <v/>
      </c>
      <c r="O83" t="str">
        <f>""</f>
        <v/>
      </c>
      <c r="P83" t="str">
        <f>""</f>
        <v/>
      </c>
      <c r="Q83" t="str">
        <f>""</f>
        <v/>
      </c>
      <c r="R83" t="str">
        <f>""</f>
        <v/>
      </c>
      <c r="S83" t="str">
        <f>""</f>
        <v/>
      </c>
      <c r="T83" t="str">
        <f>""</f>
        <v/>
      </c>
      <c r="U83" t="str">
        <f>""</f>
        <v/>
      </c>
      <c r="V83" t="str">
        <f>""</f>
        <v/>
      </c>
      <c r="W83" t="str">
        <f>""</f>
        <v/>
      </c>
      <c r="X83" t="str">
        <f>""</f>
        <v/>
      </c>
      <c r="Y83" t="str">
        <f>""</f>
        <v/>
      </c>
      <c r="Z83" t="str">
        <f>""</f>
        <v/>
      </c>
      <c r="AA83" t="str">
        <f>""</f>
        <v/>
      </c>
      <c r="AB83" t="str">
        <f>""</f>
        <v/>
      </c>
      <c r="AC83" t="str">
        <f>""</f>
        <v/>
      </c>
      <c r="AD83" t="str">
        <f>""</f>
        <v/>
      </c>
      <c r="AE83" t="str">
        <f>""</f>
        <v/>
      </c>
      <c r="AF83" t="str">
        <f>"2.813*"</f>
        <v>2.813*</v>
      </c>
      <c r="AG83" t="str">
        <f>"2.568"</f>
        <v>2.568</v>
      </c>
      <c r="AH83" t="str">
        <f>"2.172"</f>
        <v>2.172</v>
      </c>
      <c r="AI83" t="str">
        <f>""</f>
        <v/>
      </c>
      <c r="AJ83" t="str">
        <f>""</f>
        <v/>
      </c>
      <c r="AK83" t="str">
        <f>""</f>
        <v/>
      </c>
      <c r="AL83" t="str">
        <f>"2.468"</f>
        <v>2.468</v>
      </c>
      <c r="AM83" t="str">
        <f>"2.587"</f>
        <v>2.587</v>
      </c>
      <c r="AN83" t="str">
        <f>"1.828"</f>
        <v>1.828</v>
      </c>
    </row>
    <row r="84" spans="1:40" x14ac:dyDescent="0.2">
      <c r="A84" t="str">
        <f>""</f>
        <v/>
      </c>
      <c r="B84" t="str">
        <f>""</f>
        <v/>
      </c>
      <c r="C84" t="str">
        <f>""</f>
        <v/>
      </c>
      <c r="D84" t="str">
        <f>""</f>
        <v/>
      </c>
      <c r="E84" t="str">
        <f>""</f>
        <v/>
      </c>
      <c r="F84" t="str">
        <f>""</f>
        <v/>
      </c>
      <c r="G84" t="str">
        <f>""</f>
        <v/>
      </c>
      <c r="H84" t="str">
        <f>""</f>
        <v/>
      </c>
      <c r="I84" t="str">
        <f>""</f>
        <v/>
      </c>
      <c r="J84" t="str">
        <f>""</f>
        <v/>
      </c>
      <c r="K84" t="str">
        <f>"(.5751)"</f>
        <v>(.5751)</v>
      </c>
      <c r="L84" t="str">
        <f>"(.5257)"</f>
        <v>(.5257)</v>
      </c>
      <c r="M84" t="str">
        <f>"(.4655)"</f>
        <v>(.4655)</v>
      </c>
      <c r="N84" t="str">
        <f>""</f>
        <v/>
      </c>
      <c r="O84" t="str">
        <f>""</f>
        <v/>
      </c>
      <c r="P84" t="str">
        <f>""</f>
        <v/>
      </c>
      <c r="Q84" t="str">
        <f>""</f>
        <v/>
      </c>
      <c r="R84" t="str">
        <f>""</f>
        <v/>
      </c>
      <c r="S84" t="str">
        <f>""</f>
        <v/>
      </c>
      <c r="T84" t="str">
        <f>""</f>
        <v/>
      </c>
      <c r="U84" t="str">
        <f>""</f>
        <v/>
      </c>
      <c r="V84" t="str">
        <f>""</f>
        <v/>
      </c>
      <c r="W84" t="str">
        <f>""</f>
        <v/>
      </c>
      <c r="X84" t="str">
        <f>""</f>
        <v/>
      </c>
      <c r="Y84" t="str">
        <f>""</f>
        <v/>
      </c>
      <c r="Z84" t="str">
        <f>""</f>
        <v/>
      </c>
      <c r="AA84" t="str">
        <f>""</f>
        <v/>
      </c>
      <c r="AB84" t="str">
        <f>""</f>
        <v/>
      </c>
      <c r="AC84" t="str">
        <f>""</f>
        <v/>
      </c>
      <c r="AD84" t="str">
        <f>""</f>
        <v/>
      </c>
      <c r="AE84" t="str">
        <f>""</f>
        <v/>
      </c>
      <c r="AF84" t="str">
        <f>"(1.675)"</f>
        <v>(1.675)</v>
      </c>
      <c r="AG84" t="str">
        <f>"(1.954)"</f>
        <v>(1.954)</v>
      </c>
      <c r="AH84" t="str">
        <f>"(2.035)"</f>
        <v>(2.035)</v>
      </c>
      <c r="AI84" t="str">
        <f>""</f>
        <v/>
      </c>
      <c r="AJ84" t="str">
        <f>""</f>
        <v/>
      </c>
      <c r="AK84" t="str">
        <f>""</f>
        <v/>
      </c>
      <c r="AL84" t="str">
        <f>"(1.96)"</f>
        <v>(1.96)</v>
      </c>
      <c r="AM84" t="str">
        <f>"(2.404)"</f>
        <v>(2.404)</v>
      </c>
      <c r="AN84" t="str">
        <f>"(2.093)"</f>
        <v>(2.093)</v>
      </c>
    </row>
    <row r="85" spans="1:40" x14ac:dyDescent="0.2">
      <c r="A85" t="str">
        <f>"lnmw"</f>
        <v>lnmw</v>
      </c>
      <c r="B85" t="str">
        <f>""</f>
        <v/>
      </c>
      <c r="C85" t="str">
        <f>""</f>
        <v/>
      </c>
      <c r="D85" t="str">
        <f>""</f>
        <v/>
      </c>
      <c r="E85" t="str">
        <f>""</f>
        <v/>
      </c>
      <c r="F85" t="str">
        <f>""</f>
        <v/>
      </c>
      <c r="G85" t="str">
        <f>""</f>
        <v/>
      </c>
      <c r="H85" t="str">
        <f>""</f>
        <v/>
      </c>
      <c r="I85" t="str">
        <f>""</f>
        <v/>
      </c>
      <c r="J85" t="str">
        <f>""</f>
        <v/>
      </c>
      <c r="K85" t="str">
        <f>""</f>
        <v/>
      </c>
      <c r="L85" t="str">
        <f>""</f>
        <v/>
      </c>
      <c r="M85" t="str">
        <f>""</f>
        <v/>
      </c>
      <c r="N85" t="str">
        <f>""</f>
        <v/>
      </c>
      <c r="O85" t="str">
        <f>""</f>
        <v/>
      </c>
      <c r="P85" t="str">
        <f>""</f>
        <v/>
      </c>
      <c r="Q85" t="str">
        <f>""</f>
        <v/>
      </c>
      <c r="R85" t="str">
        <f>""</f>
        <v/>
      </c>
      <c r="S85" t="str">
        <f>""</f>
        <v/>
      </c>
      <c r="T85" t="str">
        <f>""</f>
        <v/>
      </c>
      <c r="U85" t="str">
        <f>""</f>
        <v/>
      </c>
      <c r="V85" t="str">
        <f>""</f>
        <v/>
      </c>
      <c r="W85" t="str">
        <f>""</f>
        <v/>
      </c>
      <c r="X85" t="str">
        <f>""</f>
        <v/>
      </c>
      <c r="Y85" t="str">
        <f>""</f>
        <v/>
      </c>
      <c r="Z85" t="str">
        <f>""</f>
        <v/>
      </c>
      <c r="AA85" t="str">
        <f>""</f>
        <v/>
      </c>
      <c r="AB85" t="str">
        <f>""</f>
        <v/>
      </c>
      <c r="AC85" t="str">
        <f>""</f>
        <v/>
      </c>
      <c r="AD85" t="str">
        <f>""</f>
        <v/>
      </c>
      <c r="AE85" t="str">
        <f>""</f>
        <v/>
      </c>
      <c r="AF85" t="str">
        <f>""</f>
        <v/>
      </c>
      <c r="AG85" t="str">
        <f>""</f>
        <v/>
      </c>
      <c r="AH85" t="str">
        <f>""</f>
        <v/>
      </c>
      <c r="AI85" t="str">
        <f>".6017***"</f>
        <v>.6017***</v>
      </c>
      <c r="AJ85" t="str">
        <f>".3251***"</f>
        <v>.3251***</v>
      </c>
      <c r="AK85" t="str">
        <f>".4234***"</f>
        <v>.4234***</v>
      </c>
      <c r="AL85" t="str">
        <f>".02554"</f>
        <v>.02554</v>
      </c>
      <c r="AM85" t="str">
        <f>"-.003035"</f>
        <v>-.003035</v>
      </c>
      <c r="AN85" t="str">
        <f>"-.06759"</f>
        <v>-.06759</v>
      </c>
    </row>
    <row r="86" spans="1:40" x14ac:dyDescent="0.2">
      <c r="A86" t="str">
        <f>""</f>
        <v/>
      </c>
      <c r="B86" t="str">
        <f>""</f>
        <v/>
      </c>
      <c r="C86" t="str">
        <f>""</f>
        <v/>
      </c>
      <c r="D86" t="str">
        <f>""</f>
        <v/>
      </c>
      <c r="E86" t="str">
        <f>""</f>
        <v/>
      </c>
      <c r="F86" t="str">
        <f>""</f>
        <v/>
      </c>
      <c r="G86" t="str">
        <f>""</f>
        <v/>
      </c>
      <c r="H86" t="str">
        <f>""</f>
        <v/>
      </c>
      <c r="I86" t="str">
        <f>""</f>
        <v/>
      </c>
      <c r="J86" t="str">
        <f>""</f>
        <v/>
      </c>
      <c r="K86" t="str">
        <f>""</f>
        <v/>
      </c>
      <c r="L86" t="str">
        <f>""</f>
        <v/>
      </c>
      <c r="M86" t="str">
        <f>""</f>
        <v/>
      </c>
      <c r="N86" t="str">
        <f>""</f>
        <v/>
      </c>
      <c r="O86" t="str">
        <f>""</f>
        <v/>
      </c>
      <c r="P86" t="str">
        <f>""</f>
        <v/>
      </c>
      <c r="Q86" t="str">
        <f>""</f>
        <v/>
      </c>
      <c r="R86" t="str">
        <f>""</f>
        <v/>
      </c>
      <c r="S86" t="str">
        <f>""</f>
        <v/>
      </c>
      <c r="T86" t="str">
        <f>""</f>
        <v/>
      </c>
      <c r="U86" t="str">
        <f>""</f>
        <v/>
      </c>
      <c r="V86" t="str">
        <f>""</f>
        <v/>
      </c>
      <c r="W86" t="str">
        <f>""</f>
        <v/>
      </c>
      <c r="X86" t="str">
        <f>""</f>
        <v/>
      </c>
      <c r="Y86" t="str">
        <f>""</f>
        <v/>
      </c>
      <c r="Z86" t="str">
        <f>""</f>
        <v/>
      </c>
      <c r="AA86" t="str">
        <f>""</f>
        <v/>
      </c>
      <c r="AB86" t="str">
        <f>""</f>
        <v/>
      </c>
      <c r="AC86" t="str">
        <f>""</f>
        <v/>
      </c>
      <c r="AD86" t="str">
        <f>""</f>
        <v/>
      </c>
      <c r="AE86" t="str">
        <f>""</f>
        <v/>
      </c>
      <c r="AF86" t="str">
        <f>""</f>
        <v/>
      </c>
      <c r="AG86" t="str">
        <f>""</f>
        <v/>
      </c>
      <c r="AH86" t="str">
        <f>""</f>
        <v/>
      </c>
      <c r="AI86" t="str">
        <f>"(.1026)"</f>
        <v>(.1026)</v>
      </c>
      <c r="AJ86" t="str">
        <f>"(.1075)"</f>
        <v>(.1075)</v>
      </c>
      <c r="AK86" t="str">
        <f>"(.1057)"</f>
        <v>(.1057)</v>
      </c>
      <c r="AL86" t="str">
        <f>"(.1131)"</f>
        <v>(.1131)</v>
      </c>
      <c r="AM86" t="str">
        <f>"(.1263)"</f>
        <v>(.1263)</v>
      </c>
      <c r="AN86" t="str">
        <f>"(.1589)"</f>
        <v>(.1589)</v>
      </c>
    </row>
    <row r="87" spans="1:40" x14ac:dyDescent="0.2">
      <c r="A87" t="str">
        <f>"coverage"</f>
        <v>coverage</v>
      </c>
      <c r="B87" t="str">
        <f>""</f>
        <v/>
      </c>
      <c r="C87" t="str">
        <f>""</f>
        <v/>
      </c>
      <c r="D87" t="str">
        <f>""</f>
        <v/>
      </c>
      <c r="E87" t="str">
        <f>""</f>
        <v/>
      </c>
      <c r="F87" t="str">
        <f>""</f>
        <v/>
      </c>
      <c r="G87" t="str">
        <f>""</f>
        <v/>
      </c>
      <c r="H87" t="str">
        <f>""</f>
        <v/>
      </c>
      <c r="I87" t="str">
        <f>""</f>
        <v/>
      </c>
      <c r="J87" t="str">
        <f>""</f>
        <v/>
      </c>
      <c r="K87" t="str">
        <f>""</f>
        <v/>
      </c>
      <c r="L87" t="str">
        <f>""</f>
        <v/>
      </c>
      <c r="M87" t="str">
        <f>""</f>
        <v/>
      </c>
      <c r="N87" t="str">
        <f>""</f>
        <v/>
      </c>
      <c r="O87" t="str">
        <f>""</f>
        <v/>
      </c>
      <c r="P87" t="str">
        <f>""</f>
        <v/>
      </c>
      <c r="Q87" t="str">
        <f>""</f>
        <v/>
      </c>
      <c r="R87" t="str">
        <f>""</f>
        <v/>
      </c>
      <c r="S87" t="str">
        <f>""</f>
        <v/>
      </c>
      <c r="T87" t="str">
        <f>""</f>
        <v/>
      </c>
      <c r="U87" t="str">
        <f>""</f>
        <v/>
      </c>
      <c r="V87" t="str">
        <f>""</f>
        <v/>
      </c>
      <c r="W87" t="str">
        <f>""</f>
        <v/>
      </c>
      <c r="X87" t="str">
        <f>""</f>
        <v/>
      </c>
      <c r="Y87" t="str">
        <f>""</f>
        <v/>
      </c>
      <c r="Z87" t="str">
        <f>""</f>
        <v/>
      </c>
      <c r="AA87" t="str">
        <f>""</f>
        <v/>
      </c>
      <c r="AB87" t="str">
        <f>""</f>
        <v/>
      </c>
      <c r="AC87" t="str">
        <f>""</f>
        <v/>
      </c>
      <c r="AD87" t="str">
        <f>""</f>
        <v/>
      </c>
      <c r="AE87" t="str">
        <f>""</f>
        <v/>
      </c>
      <c r="AF87" t="str">
        <f>""</f>
        <v/>
      </c>
      <c r="AG87" t="str">
        <f>""</f>
        <v/>
      </c>
      <c r="AH87" t="str">
        <f>""</f>
        <v/>
      </c>
      <c r="AI87" t="str">
        <f>"-.4526"</f>
        <v>-.4526</v>
      </c>
      <c r="AJ87" t="str">
        <f>"-.02032"</f>
        <v>-.02032</v>
      </c>
      <c r="AK87" t="str">
        <f>"-.02297"</f>
        <v>-.02297</v>
      </c>
      <c r="AL87" t="str">
        <f>".05567"</f>
        <v>.05567</v>
      </c>
      <c r="AM87" t="str">
        <f>".306"</f>
        <v>.306</v>
      </c>
      <c r="AN87" t="str">
        <f>".6509***"</f>
        <v>.6509***</v>
      </c>
    </row>
    <row r="88" spans="1:40" x14ac:dyDescent="0.2">
      <c r="A88" t="str">
        <f>""</f>
        <v/>
      </c>
      <c r="B88" t="str">
        <f>""</f>
        <v/>
      </c>
      <c r="C88" t="str">
        <f>""</f>
        <v/>
      </c>
      <c r="D88" t="str">
        <f>""</f>
        <v/>
      </c>
      <c r="E88" t="str">
        <f>""</f>
        <v/>
      </c>
      <c r="F88" t="str">
        <f>""</f>
        <v/>
      </c>
      <c r="G88" t="str">
        <f>""</f>
        <v/>
      </c>
      <c r="H88" t="str">
        <f>""</f>
        <v/>
      </c>
      <c r="I88" t="str">
        <f>""</f>
        <v/>
      </c>
      <c r="J88" t="str">
        <f>""</f>
        <v/>
      </c>
      <c r="K88" t="str">
        <f>""</f>
        <v/>
      </c>
      <c r="L88" t="str">
        <f>""</f>
        <v/>
      </c>
      <c r="M88" t="str">
        <f>""</f>
        <v/>
      </c>
      <c r="N88" t="str">
        <f>""</f>
        <v/>
      </c>
      <c r="O88" t="str">
        <f>""</f>
        <v/>
      </c>
      <c r="P88" t="str">
        <f>""</f>
        <v/>
      </c>
      <c r="Q88" t="str">
        <f>""</f>
        <v/>
      </c>
      <c r="R88" t="str">
        <f>""</f>
        <v/>
      </c>
      <c r="S88" t="str">
        <f>""</f>
        <v/>
      </c>
      <c r="T88" t="str">
        <f>""</f>
        <v/>
      </c>
      <c r="U88" t="str">
        <f>""</f>
        <v/>
      </c>
      <c r="V88" t="str">
        <f>""</f>
        <v/>
      </c>
      <c r="W88" t="str">
        <f>""</f>
        <v/>
      </c>
      <c r="X88" t="str">
        <f>""</f>
        <v/>
      </c>
      <c r="Y88" t="str">
        <f>""</f>
        <v/>
      </c>
      <c r="Z88" t="str">
        <f>""</f>
        <v/>
      </c>
      <c r="AA88" t="str">
        <f>""</f>
        <v/>
      </c>
      <c r="AB88" t="str">
        <f>""</f>
        <v/>
      </c>
      <c r="AC88" t="str">
        <f>""</f>
        <v/>
      </c>
      <c r="AD88" t="str">
        <f>""</f>
        <v/>
      </c>
      <c r="AE88" t="str">
        <f>""</f>
        <v/>
      </c>
      <c r="AF88" t="str">
        <f>""</f>
        <v/>
      </c>
      <c r="AG88" t="str">
        <f>""</f>
        <v/>
      </c>
      <c r="AH88" t="str">
        <f>""</f>
        <v/>
      </c>
      <c r="AI88" t="str">
        <f>"(.3024)"</f>
        <v>(.3024)</v>
      </c>
      <c r="AJ88" t="str">
        <f>"(.3608)"</f>
        <v>(.3608)</v>
      </c>
      <c r="AK88" t="str">
        <f>"(.3519)"</f>
        <v>(.3519)</v>
      </c>
      <c r="AL88" t="str">
        <f>"(.1537)"</f>
        <v>(.1537)</v>
      </c>
      <c r="AM88" t="str">
        <f>"(.1901)"</f>
        <v>(.1901)</v>
      </c>
      <c r="AN88" t="str">
        <f>"(.2457)"</f>
        <v>(.2457)</v>
      </c>
    </row>
    <row r="90" spans="1:40" x14ac:dyDescent="0.2">
      <c r="A90" t="str">
        <f>"Division-CZ dummies"</f>
        <v>Division-CZ dummies</v>
      </c>
      <c r="B90" t="str">
        <f>"No"</f>
        <v>No</v>
      </c>
      <c r="C90" t="str">
        <f>"Yes"</f>
        <v>Yes</v>
      </c>
      <c r="D90" t="str">
        <f>"Yes"</f>
        <v>Yes</v>
      </c>
      <c r="E90" t="str">
        <f>"No"</f>
        <v>No</v>
      </c>
      <c r="F90" t="str">
        <f>"Yes"</f>
        <v>Yes</v>
      </c>
      <c r="G90" t="str">
        <f>"Yes"</f>
        <v>Yes</v>
      </c>
      <c r="H90" t="str">
        <f>"No"</f>
        <v>No</v>
      </c>
      <c r="I90" t="str">
        <f>"Yes"</f>
        <v>Yes</v>
      </c>
      <c r="J90" t="str">
        <f>"Yes"</f>
        <v>Yes</v>
      </c>
      <c r="K90" t="str">
        <f>"No"</f>
        <v>No</v>
      </c>
      <c r="L90" t="str">
        <f>"Yes"</f>
        <v>Yes</v>
      </c>
      <c r="M90" t="str">
        <f>"Yes"</f>
        <v>Yes</v>
      </c>
      <c r="N90" t="str">
        <f>"No"</f>
        <v>No</v>
      </c>
      <c r="O90" t="str">
        <f>"Yes"</f>
        <v>Yes</v>
      </c>
      <c r="P90" t="str">
        <f>"Yes"</f>
        <v>Yes</v>
      </c>
      <c r="Q90" t="str">
        <f>"No"</f>
        <v>No</v>
      </c>
      <c r="R90" t="str">
        <f>"Yes"</f>
        <v>Yes</v>
      </c>
      <c r="S90" t="str">
        <f>"Yes"</f>
        <v>Yes</v>
      </c>
      <c r="T90" t="str">
        <f>"No"</f>
        <v>No</v>
      </c>
      <c r="U90" t="str">
        <f>"Yes"</f>
        <v>Yes</v>
      </c>
      <c r="V90" t="str">
        <f>"Yes"</f>
        <v>Yes</v>
      </c>
      <c r="W90" t="str">
        <f>"No"</f>
        <v>No</v>
      </c>
      <c r="X90" t="str">
        <f>"Yes"</f>
        <v>Yes</v>
      </c>
      <c r="Y90" t="str">
        <f>"Yes"</f>
        <v>Yes</v>
      </c>
      <c r="Z90" t="str">
        <f>"No"</f>
        <v>No</v>
      </c>
      <c r="AA90" t="str">
        <f>"Yes"</f>
        <v>Yes</v>
      </c>
      <c r="AB90" t="str">
        <f>"Yes"</f>
        <v>Yes</v>
      </c>
      <c r="AC90" t="str">
        <f>"No"</f>
        <v>No</v>
      </c>
      <c r="AD90" t="str">
        <f>"Yes"</f>
        <v>Yes</v>
      </c>
      <c r="AE90" t="str">
        <f>"Yes"</f>
        <v>Yes</v>
      </c>
      <c r="AF90" t="str">
        <f>"No"</f>
        <v>No</v>
      </c>
      <c r="AG90" t="str">
        <f>"Yes"</f>
        <v>Yes</v>
      </c>
      <c r="AH90" t="str">
        <f>"Yes"</f>
        <v>Yes</v>
      </c>
      <c r="AI90" t="str">
        <f>"No"</f>
        <v>No</v>
      </c>
      <c r="AJ90" t="str">
        <f>"Yes"</f>
        <v>Yes</v>
      </c>
      <c r="AK90" t="str">
        <f>"Yes"</f>
        <v>Yes</v>
      </c>
      <c r="AL90" t="str">
        <f>"No"</f>
        <v>No</v>
      </c>
      <c r="AM90" t="str">
        <f>"Yes"</f>
        <v>Yes</v>
      </c>
      <c r="AN90" t="str">
        <f>"Yes"</f>
        <v>Yes</v>
      </c>
    </row>
    <row r="91" spans="1:40" x14ac:dyDescent="0.2">
      <c r="A91" t="str">
        <f>"Region dummies"</f>
        <v>Region dummies</v>
      </c>
      <c r="B91" t="str">
        <f>"No"</f>
        <v>No</v>
      </c>
      <c r="C91" t="str">
        <f>"No"</f>
        <v>No</v>
      </c>
      <c r="D91" t="str">
        <f>"Yes"</f>
        <v>Yes</v>
      </c>
      <c r="E91" t="str">
        <f>"No"</f>
        <v>No</v>
      </c>
      <c r="F91" t="str">
        <f>"No"</f>
        <v>No</v>
      </c>
      <c r="G91" t="str">
        <f>"Yes"</f>
        <v>Yes</v>
      </c>
      <c r="H91" t="str">
        <f>"No"</f>
        <v>No</v>
      </c>
      <c r="I91" t="str">
        <f>"No"</f>
        <v>No</v>
      </c>
      <c r="J91" t="str">
        <f>"Yes"</f>
        <v>Yes</v>
      </c>
      <c r="K91" t="str">
        <f>"No"</f>
        <v>No</v>
      </c>
      <c r="L91" t="str">
        <f>"No"</f>
        <v>No</v>
      </c>
      <c r="M91" t="str">
        <f>"Yes"</f>
        <v>Yes</v>
      </c>
      <c r="N91" t="str">
        <f>"No"</f>
        <v>No</v>
      </c>
      <c r="O91" t="str">
        <f>"No"</f>
        <v>No</v>
      </c>
      <c r="P91" t="str">
        <f>"Yes"</f>
        <v>Yes</v>
      </c>
      <c r="Q91" t="str">
        <f>"No"</f>
        <v>No</v>
      </c>
      <c r="R91" t="str">
        <f>"No"</f>
        <v>No</v>
      </c>
      <c r="S91" t="str">
        <f>"Yes"</f>
        <v>Yes</v>
      </c>
      <c r="T91" t="str">
        <f>"No"</f>
        <v>No</v>
      </c>
      <c r="U91" t="str">
        <f>"No"</f>
        <v>No</v>
      </c>
      <c r="V91" t="str">
        <f>"Yes"</f>
        <v>Yes</v>
      </c>
      <c r="W91" t="str">
        <f>"No"</f>
        <v>No</v>
      </c>
      <c r="X91" t="str">
        <f>"No"</f>
        <v>No</v>
      </c>
      <c r="Y91" t="str">
        <f>"Yes"</f>
        <v>Yes</v>
      </c>
      <c r="Z91" t="str">
        <f>"No"</f>
        <v>No</v>
      </c>
      <c r="AA91" t="str">
        <f>"No"</f>
        <v>No</v>
      </c>
      <c r="AB91" t="str">
        <f>"Yes"</f>
        <v>Yes</v>
      </c>
      <c r="AC91" t="str">
        <f>"No"</f>
        <v>No</v>
      </c>
      <c r="AD91" t="str">
        <f>"No"</f>
        <v>No</v>
      </c>
      <c r="AE91" t="str">
        <f>"Yes"</f>
        <v>Yes</v>
      </c>
      <c r="AF91" t="str">
        <f>"No"</f>
        <v>No</v>
      </c>
      <c r="AG91" t="str">
        <f>"No"</f>
        <v>No</v>
      </c>
      <c r="AH91" t="str">
        <f>"Yes"</f>
        <v>Yes</v>
      </c>
      <c r="AI91" t="str">
        <f>"No"</f>
        <v>No</v>
      </c>
      <c r="AJ91" t="str">
        <f>"No"</f>
        <v>No</v>
      </c>
      <c r="AK91" t="str">
        <f>"Yes"</f>
        <v>Yes</v>
      </c>
      <c r="AL91" t="str">
        <f>"No"</f>
        <v>No</v>
      </c>
      <c r="AM91" t="str">
        <f>"No"</f>
        <v>No</v>
      </c>
      <c r="AN91" t="str">
        <f>"Yes"</f>
        <v>Yes</v>
      </c>
    </row>
    <row r="92" spans="1:40" x14ac:dyDescent="0.2">
      <c r="A92" t="str">
        <f>"N"</f>
        <v>N</v>
      </c>
      <c r="B92" s="7" t="str">
        <f>"60"</f>
        <v>60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x14ac:dyDescent="0.2">
      <c r="A93" t="str">
        <f>"r2_a"</f>
        <v>r2_a</v>
      </c>
      <c r="B93" t="str">
        <f>".7838"</f>
        <v>.7838</v>
      </c>
      <c r="C93" t="str">
        <f>".8185"</f>
        <v>.8185</v>
      </c>
      <c r="D93" t="str">
        <f>".8143"</f>
        <v>.8143</v>
      </c>
      <c r="E93" t="str">
        <f>".7425"</f>
        <v>.7425</v>
      </c>
      <c r="F93" t="str">
        <f>".7663"</f>
        <v>.7663</v>
      </c>
      <c r="G93" t="str">
        <f>".7579"</f>
        <v>.7579</v>
      </c>
      <c r="H93" t="str">
        <f>".241"</f>
        <v>.241</v>
      </c>
      <c r="I93" t="str">
        <f>".5687"</f>
        <v>.5687</v>
      </c>
      <c r="J93" t="str">
        <f>".5598"</f>
        <v>.5598</v>
      </c>
      <c r="K93" t="str">
        <f>".4488"</f>
        <v>.4488</v>
      </c>
      <c r="L93" t="str">
        <f>".6723"</f>
        <v>.6723</v>
      </c>
      <c r="M93" t="str">
        <f>".6657"</f>
        <v>.6657</v>
      </c>
      <c r="N93" t="str">
        <f>".7706"</f>
        <v>.7706</v>
      </c>
      <c r="O93" t="str">
        <f>".8207"</f>
        <v>.8207</v>
      </c>
      <c r="P93" t="str">
        <f>".8286"</f>
        <v>.8286</v>
      </c>
      <c r="Q93" t="str">
        <f>".8147"</f>
        <v>.8147</v>
      </c>
      <c r="R93" t="str">
        <f>".8357"</f>
        <v>.8357</v>
      </c>
      <c r="S93" t="str">
        <f>".8369"</f>
        <v>.8369</v>
      </c>
      <c r="T93" t="str">
        <f>".4109"</f>
        <v>.4109</v>
      </c>
      <c r="U93" t="str">
        <f>".6893"</f>
        <v>.6893</v>
      </c>
      <c r="V93" t="str">
        <f>".6955"</f>
        <v>.6955</v>
      </c>
      <c r="W93" t="str">
        <f>".8092"</f>
        <v>.8092</v>
      </c>
      <c r="X93" t="str">
        <f>".8317"</f>
        <v>.8317</v>
      </c>
      <c r="Y93" t="str">
        <f>".8424"</f>
        <v>.8424</v>
      </c>
      <c r="Z93" t="str">
        <f>".7147"</f>
        <v>.7147</v>
      </c>
      <c r="AA93" t="str">
        <f>".727"</f>
        <v>.727</v>
      </c>
      <c r="AB93" t="str">
        <f>".7322"</f>
        <v>.7322</v>
      </c>
      <c r="AC93" t="str">
        <f>".7343"</f>
        <v>.7343</v>
      </c>
      <c r="AD93" t="str">
        <f>".7325"</f>
        <v>.7325</v>
      </c>
      <c r="AE93" t="str">
        <f>".7254"</f>
        <v>.7254</v>
      </c>
      <c r="AF93" t="str">
        <f>".7433"</f>
        <v>.7433</v>
      </c>
      <c r="AG93" t="str">
        <f>".7406"</f>
        <v>.7406</v>
      </c>
      <c r="AH93" t="str">
        <f>".7297"</f>
        <v>.7297</v>
      </c>
      <c r="AI93" t="str">
        <f>".3213"</f>
        <v>.3213</v>
      </c>
      <c r="AJ93" t="str">
        <f>".5657"</f>
        <v>.5657</v>
      </c>
      <c r="AK93" t="str">
        <f>".5699"</f>
        <v>.5699</v>
      </c>
      <c r="AL93" t="str">
        <f>".736"</f>
        <v>.736</v>
      </c>
      <c r="AM93" t="str">
        <f>".7524"</f>
        <v>.7524</v>
      </c>
      <c r="AN93" t="str">
        <f>".7463"</f>
        <v>.7463</v>
      </c>
    </row>
    <row r="94" spans="1:40" x14ac:dyDescent="0.2">
      <c r="A94" t="str">
        <f>"rmse"</f>
        <v>rmse</v>
      </c>
      <c r="B94" t="str">
        <f>".04512"</f>
        <v>.04512</v>
      </c>
      <c r="C94" t="str">
        <f>".04133"</f>
        <v>.04133</v>
      </c>
      <c r="D94" t="str">
        <f>".04181"</f>
        <v>.04181</v>
      </c>
      <c r="E94" t="str">
        <f>".04924"</f>
        <v>.04924</v>
      </c>
      <c r="F94" t="str">
        <f>".0469"</f>
        <v>.0469</v>
      </c>
      <c r="G94" t="str">
        <f>".04774"</f>
        <v>.04774</v>
      </c>
      <c r="H94" t="str">
        <f>".08453"</f>
        <v>.08453</v>
      </c>
      <c r="I94" t="str">
        <f>".06372"</f>
        <v>.06372</v>
      </c>
      <c r="J94" t="str">
        <f>".06437"</f>
        <v>.06437</v>
      </c>
      <c r="K94" t="str">
        <f>".07204"</f>
        <v>.07204</v>
      </c>
      <c r="L94" t="str">
        <f>".05555"</f>
        <v>.05555</v>
      </c>
      <c r="M94" t="str">
        <f>".0561"</f>
        <v>.0561</v>
      </c>
      <c r="N94" t="str">
        <f>".04647"</f>
        <v>.04647</v>
      </c>
      <c r="O94" t="str">
        <f>".04108"</f>
        <v>.04108</v>
      </c>
      <c r="P94" t="str">
        <f>".04018"</f>
        <v>.04018</v>
      </c>
      <c r="Q94" t="str">
        <f>".04177"</f>
        <v>.04177</v>
      </c>
      <c r="R94" t="str">
        <f>".03933"</f>
        <v>.03933</v>
      </c>
      <c r="S94" t="str">
        <f>".03919"</f>
        <v>.03919</v>
      </c>
      <c r="T94" t="str">
        <f>".07447"</f>
        <v>.07447</v>
      </c>
      <c r="U94" t="str">
        <f>".05408"</f>
        <v>.05408</v>
      </c>
      <c r="V94" t="str">
        <f>".05354"</f>
        <v>.05354</v>
      </c>
      <c r="W94" t="str">
        <f>".04238"</f>
        <v>.04238</v>
      </c>
      <c r="X94" t="str">
        <f>".03981"</f>
        <v>.03981</v>
      </c>
      <c r="Y94" t="str">
        <f>".03852"</f>
        <v>.03852</v>
      </c>
      <c r="Z94" t="str">
        <f>".05182"</f>
        <v>.05182</v>
      </c>
      <c r="AA94" t="str">
        <f>".0507"</f>
        <v>.0507</v>
      </c>
      <c r="AB94" t="str">
        <f>".05021"</f>
        <v>.05021</v>
      </c>
      <c r="AC94" t="str">
        <f>".05002"</f>
        <v>.05002</v>
      </c>
      <c r="AD94" t="str">
        <f>".05019"</f>
        <v>.05019</v>
      </c>
      <c r="AE94" t="str">
        <f>".05084"</f>
        <v>.05084</v>
      </c>
      <c r="AF94" t="str">
        <f>".04916"</f>
        <v>.04916</v>
      </c>
      <c r="AG94" t="str">
        <f>".04941"</f>
        <v>.04941</v>
      </c>
      <c r="AH94" t="str">
        <f>".05044"</f>
        <v>.05044</v>
      </c>
      <c r="AI94" t="str">
        <f>".07994"</f>
        <v>.07994</v>
      </c>
      <c r="AJ94" t="str">
        <f>".06394"</f>
        <v>.06394</v>
      </c>
      <c r="AK94" t="str">
        <f>".06363"</f>
        <v>.06363</v>
      </c>
      <c r="AL94" t="str">
        <f>".04985"</f>
        <v>.04985</v>
      </c>
      <c r="AM94" t="str">
        <f>".04828"</f>
        <v>.04828</v>
      </c>
      <c r="AN94" t="str">
        <f>".04887"</f>
        <v>.04887</v>
      </c>
    </row>
  </sheetData>
  <mergeCells count="6">
    <mergeCell ref="B28:AN28"/>
    <mergeCell ref="B3:AN3"/>
    <mergeCell ref="B67:AN67"/>
    <mergeCell ref="B92:AN92"/>
    <mergeCell ref="B36:AN36"/>
    <mergeCell ref="B59:AN5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"/>
  <sheetViews>
    <sheetView zoomScale="79" zoomScaleNormal="79" workbookViewId="0">
      <pane xSplit="1" topLeftCell="B1" activePane="topRight" state="frozen"/>
      <selection pane="topRight" activeCell="B77" activeCellId="46" sqref="C6:H6 J6:O6 J8:O9 C8:H9 C10:H10 J10:O10 J12:O14 C12:H14 C16:H18 J16:O18 J20:O22 C20:H22 C24:H26 J24:O26 J28:O30 C28:H30 C32:H34 J32:O34 J36:O38 C36:H38 C40:H42 J40:O42 J44:O46 C44:H46 C48:H49 C50:H50 J48:O50 J52:O54 C52:H54 C56:H57 J56:O58 J60:O61 F58:H58 F60:H61 B58 C62:I62 C64:H65 B66:E66 C68:E69 J66:O66 M64:O65 J68:O69 I70:L70 J72:L73 C72:H73 C70:H70 B77:O77"/>
    </sheetView>
  </sheetViews>
  <sheetFormatPr baseColWidth="10" defaultColWidth="11.5" defaultRowHeight="15" x14ac:dyDescent="0.2"/>
  <cols>
    <col min="1" max="1" width="20.83203125" bestFit="1" customWidth="1"/>
  </cols>
  <sheetData>
    <row r="1" spans="1:15" x14ac:dyDescent="0.2">
      <c r="A1" t="str">
        <f>"Output 10a - Bivariate Regressions, by Education Subgroup"</f>
        <v>Output 10a - Bivariate Regressions, by Education Subgroup</v>
      </c>
    </row>
    <row r="2" spans="1:15" s="1" customFormat="1" x14ac:dyDescent="0.2">
      <c r="A2" s="1" t="str">
        <f>""</f>
        <v/>
      </c>
      <c r="B2" s="1" t="str">
        <f>"(1)"</f>
        <v>(1)</v>
      </c>
      <c r="C2" s="1" t="str">
        <f>"(2)"</f>
        <v>(2)</v>
      </c>
      <c r="D2" s="1" t="str">
        <f>"(3)"</f>
        <v>(3)</v>
      </c>
      <c r="E2" s="1" t="str">
        <f>"(4)"</f>
        <v>(4)</v>
      </c>
      <c r="F2" s="1" t="str">
        <f>"(5)"</f>
        <v>(5)</v>
      </c>
      <c r="G2" s="1" t="str">
        <f>"(6)"</f>
        <v>(6)</v>
      </c>
      <c r="H2" s="1" t="str">
        <f>"(7)"</f>
        <v>(7)</v>
      </c>
      <c r="I2" s="1" t="str">
        <f>"(8)"</f>
        <v>(8)</v>
      </c>
      <c r="J2" s="1" t="str">
        <f>"(9)"</f>
        <v>(9)</v>
      </c>
      <c r="K2" s="1" t="str">
        <f>"(10)"</f>
        <v>(10)</v>
      </c>
      <c r="L2" s="1" t="str">
        <f>"(11)"</f>
        <v>(11)</v>
      </c>
      <c r="M2" s="1" t="str">
        <f>"(12)"</f>
        <v>(12)</v>
      </c>
      <c r="N2" s="1" t="str">
        <f>"(13)"</f>
        <v>(13)</v>
      </c>
      <c r="O2" s="1" t="str">
        <f>"(14)"</f>
        <v>(14)</v>
      </c>
    </row>
    <row r="3" spans="1:15" s="1" customFormat="1" x14ac:dyDescent="0.2">
      <c r="B3" s="7" t="s">
        <v>8</v>
      </c>
      <c r="C3" s="7"/>
      <c r="D3" s="7"/>
      <c r="E3" s="7"/>
      <c r="F3" s="7"/>
      <c r="G3" s="7"/>
      <c r="H3" s="7"/>
      <c r="I3" s="7" t="s">
        <v>9</v>
      </c>
      <c r="J3" s="7"/>
      <c r="K3" s="7"/>
      <c r="L3" s="7"/>
      <c r="M3" s="7"/>
      <c r="N3" s="7"/>
      <c r="O3" s="7"/>
    </row>
    <row r="4" spans="1:15" x14ac:dyDescent="0.2">
      <c r="A4" t="str">
        <f>""</f>
        <v/>
      </c>
      <c r="B4" s="1" t="s">
        <v>0</v>
      </c>
      <c r="C4" s="7" t="s">
        <v>7</v>
      </c>
      <c r="D4" s="7"/>
      <c r="E4" s="7"/>
      <c r="F4" s="7" t="s">
        <v>4</v>
      </c>
      <c r="G4" s="7"/>
      <c r="H4" s="7"/>
      <c r="I4" s="1" t="s">
        <v>0</v>
      </c>
      <c r="J4" s="7" t="s">
        <v>6</v>
      </c>
      <c r="K4" s="7"/>
      <c r="L4" s="7"/>
      <c r="M4" s="7" t="s">
        <v>5</v>
      </c>
      <c r="N4" s="7"/>
      <c r="O4" s="7"/>
    </row>
    <row r="6" spans="1:15" x14ac:dyDescent="0.2">
      <c r="A6" t="str">
        <f>"alpha_c"</f>
        <v>alpha_c</v>
      </c>
      <c r="C6" t="str">
        <f>"1.009***"</f>
        <v>1.009***</v>
      </c>
      <c r="D6" t="str">
        <f>".7751***"</f>
        <v>.7751***</v>
      </c>
      <c r="E6" t="str">
        <f>".867***"</f>
        <v>.867***</v>
      </c>
      <c r="F6" t="str">
        <f>".4891***"</f>
        <v>.4891***</v>
      </c>
      <c r="G6" t="str">
        <f>".4721***"</f>
        <v>.4721***</v>
      </c>
      <c r="H6" t="str">
        <f>".5163***"</f>
        <v>.5163***</v>
      </c>
      <c r="J6" t="str">
        <f>".2457*"</f>
        <v>.2457*</v>
      </c>
      <c r="K6" t="str">
        <f>".1034"</f>
        <v>.1034</v>
      </c>
      <c r="L6" t="str">
        <f>".2315*"</f>
        <v>.2315*</v>
      </c>
      <c r="M6" t="str">
        <f>".4749***"</f>
        <v>.4749***</v>
      </c>
      <c r="N6" t="str">
        <f>".3826***"</f>
        <v>.3826***</v>
      </c>
      <c r="O6" t="str">
        <f>".4285***"</f>
        <v>.4285***</v>
      </c>
    </row>
    <row r="7" spans="1:15" x14ac:dyDescent="0.2">
      <c r="A7" t="str">
        <f>""</f>
        <v/>
      </c>
      <c r="C7" t="str">
        <f>"(.1368)"</f>
        <v>(.1368)</v>
      </c>
      <c r="D7" t="str">
        <f>"(.2052)"</f>
        <v>(.2052)</v>
      </c>
      <c r="E7" t="str">
        <f>"(.161)"</f>
        <v>(.161)</v>
      </c>
      <c r="F7" t="str">
        <f>"(.05157)"</f>
        <v>(.05157)</v>
      </c>
      <c r="G7" t="str">
        <f>"(.05316)"</f>
        <v>(.05316)</v>
      </c>
      <c r="H7" t="str">
        <f>"(.06957)"</f>
        <v>(.06957)</v>
      </c>
      <c r="J7" t="str">
        <f>"(.1278)"</f>
        <v>(.1278)</v>
      </c>
      <c r="K7" t="str">
        <f>"(.1888)"</f>
        <v>(.1888)</v>
      </c>
      <c r="L7" t="str">
        <f>"(.1369)"</f>
        <v>(.1369)</v>
      </c>
      <c r="M7" t="str">
        <f>"(.05839)"</f>
        <v>(.05839)</v>
      </c>
      <c r="N7" t="str">
        <f>"(.06377)"</f>
        <v>(.06377)</v>
      </c>
      <c r="O7" t="str">
        <f>"(.04565)"</f>
        <v>(.04565)</v>
      </c>
    </row>
    <row r="8" spans="1:15" x14ac:dyDescent="0.2">
      <c r="C8" t="str">
        <f>".7103"</f>
        <v>.7103</v>
      </c>
      <c r="D8" t="str">
        <f>".7465"</f>
        <v>.7465</v>
      </c>
      <c r="E8" t="str">
        <f>".7648"</f>
        <v>.7648</v>
      </c>
      <c r="F8" t="str">
        <f>".6455"</f>
        <v>.6455</v>
      </c>
      <c r="G8" t="str">
        <f>".742"</f>
        <v>.742</v>
      </c>
      <c r="H8" t="str">
        <f>".7552"</f>
        <v>.7552</v>
      </c>
      <c r="J8" t="str">
        <f>".1165"</f>
        <v>.1165</v>
      </c>
      <c r="K8" t="str">
        <f>".1752"</f>
        <v>.1752</v>
      </c>
      <c r="L8" t="str">
        <f>".3317"</f>
        <v>.3317</v>
      </c>
      <c r="M8" t="str">
        <f>".6528"</f>
        <v>.6528</v>
      </c>
      <c r="N8" t="str">
        <f>".7592"</f>
        <v>.7592</v>
      </c>
      <c r="O8" t="str">
        <f>".8172"</f>
        <v>.8172</v>
      </c>
    </row>
    <row r="9" spans="1:15" x14ac:dyDescent="0.2">
      <c r="C9" t="str">
        <f>".08472"</f>
        <v>.08472</v>
      </c>
      <c r="D9" t="str">
        <f>".07925"</f>
        <v>.07925</v>
      </c>
      <c r="E9" t="str">
        <f>".07634"</f>
        <v>.07634</v>
      </c>
      <c r="F9" t="str">
        <f>".04757"</f>
        <v>.04757</v>
      </c>
      <c r="G9" t="str">
        <f>".04059"</f>
        <v>.04059</v>
      </c>
      <c r="H9" t="str">
        <f>".03954"</f>
        <v>.03954</v>
      </c>
      <c r="J9" t="str">
        <f>".08391"</f>
        <v>.08391</v>
      </c>
      <c r="K9" t="str">
        <f>".08108"</f>
        <v>.08108</v>
      </c>
      <c r="L9" t="str">
        <f>".07298"</f>
        <v>.07298</v>
      </c>
      <c r="M9" t="str">
        <f>".04546"</f>
        <v>.04546</v>
      </c>
      <c r="N9" t="str">
        <f>".03786"</f>
        <v>.03786</v>
      </c>
      <c r="O9" t="str">
        <f>".03298"</f>
        <v>.03298</v>
      </c>
    </row>
    <row r="10" spans="1:15" x14ac:dyDescent="0.2">
      <c r="A10" t="str">
        <f>"Ealpha_c"</f>
        <v>Ealpha_c</v>
      </c>
      <c r="C10" t="str">
        <f>"4.439***"</f>
        <v>4.439***</v>
      </c>
      <c r="D10" t="str">
        <f>"3.63***"</f>
        <v>3.63***</v>
      </c>
      <c r="E10" t="str">
        <f>"3.75***"</f>
        <v>3.75***</v>
      </c>
      <c r="F10" t="str">
        <f>"1.956***"</f>
        <v>1.956***</v>
      </c>
      <c r="G10" t="str">
        <f>"1.537***"</f>
        <v>1.537***</v>
      </c>
      <c r="H10" t="str">
        <f>"1.626***"</f>
        <v>1.626***</v>
      </c>
      <c r="J10" t="str">
        <f>"1.244***"</f>
        <v>1.244***</v>
      </c>
      <c r="K10" t="str">
        <f>".6688"</f>
        <v>.6688</v>
      </c>
      <c r="L10" t="str">
        <f>".8843*"</f>
        <v>.8843*</v>
      </c>
      <c r="M10" t="str">
        <f>"1.951***"</f>
        <v>1.951***</v>
      </c>
      <c r="N10" t="str">
        <f>"1.273***"</f>
        <v>1.273***</v>
      </c>
      <c r="O10" t="str">
        <f>"1.341***"</f>
        <v>1.341***</v>
      </c>
    </row>
    <row r="11" spans="1:15" x14ac:dyDescent="0.2">
      <c r="A11" t="str">
        <f>""</f>
        <v/>
      </c>
      <c r="C11" t="str">
        <f>"(.3811)"</f>
        <v>(.3811)</v>
      </c>
      <c r="D11" t="str">
        <f>"(.5635)"</f>
        <v>(.5635)</v>
      </c>
      <c r="E11" t="str">
        <f>"(.5171)"</f>
        <v>(.5171)</v>
      </c>
      <c r="F11" t="str">
        <f>"(.2859)"</f>
        <v>(.2859)</v>
      </c>
      <c r="G11" t="str">
        <f>"(.5386)"</f>
        <v>(.5386)</v>
      </c>
      <c r="H11" t="str">
        <f>"(.5157)"</f>
        <v>(.5157)</v>
      </c>
      <c r="J11" t="str">
        <f>"(.4432)"</f>
        <v>(.4432)</v>
      </c>
      <c r="K11" t="str">
        <f>"(.5675)"</f>
        <v>(.5675)</v>
      </c>
      <c r="L11" t="str">
        <f>"(.4953)"</f>
        <v>(.4953)</v>
      </c>
      <c r="M11" t="str">
        <f>"(.2666)"</f>
        <v>(.2666)</v>
      </c>
      <c r="N11" t="str">
        <f>"(.3762)"</f>
        <v>(.3762)</v>
      </c>
      <c r="O11" t="str">
        <f>"(.3167)"</f>
        <v>(.3167)</v>
      </c>
    </row>
    <row r="12" spans="1:15" x14ac:dyDescent="0.2">
      <c r="C12" t="str">
        <f>".7364"</f>
        <v>.7364</v>
      </c>
      <c r="D12" t="str">
        <f>".7781"</f>
        <v>.7781</v>
      </c>
      <c r="E12" t="str">
        <f>".7834"</f>
        <v>.7834</v>
      </c>
      <c r="F12" t="str">
        <f>".5504"</f>
        <v>.5504</v>
      </c>
      <c r="G12" t="str">
        <f>".6098"</f>
        <v>.6098</v>
      </c>
      <c r="H12" t="str">
        <f>".6125"</f>
        <v>.6125</v>
      </c>
      <c r="J12" t="str">
        <f>".1665"</f>
        <v>.1665</v>
      </c>
      <c r="K12" t="str">
        <f>".1889"</f>
        <v>.1889</v>
      </c>
      <c r="L12" t="str">
        <f>".3232"</f>
        <v>.3232</v>
      </c>
      <c r="M12" t="str">
        <f>".5886"</f>
        <v>.5886</v>
      </c>
      <c r="N12" t="str">
        <f>".6713"</f>
        <v>.6713</v>
      </c>
      <c r="O12" t="str">
        <f>".7101"</f>
        <v>.7101</v>
      </c>
    </row>
    <row r="13" spans="1:15" x14ac:dyDescent="0.2">
      <c r="C13" t="str">
        <f>".08082"</f>
        <v>.08082</v>
      </c>
      <c r="D13" t="str">
        <f>".07416"</f>
        <v>.07416</v>
      </c>
      <c r="E13" t="str">
        <f>".07326"</f>
        <v>.07326</v>
      </c>
      <c r="F13" t="str">
        <f>".05357"</f>
        <v>.05357</v>
      </c>
      <c r="G13" t="str">
        <f>".04991"</f>
        <v>.04991</v>
      </c>
      <c r="H13" t="str">
        <f>".04974"</f>
        <v>.04974</v>
      </c>
      <c r="J13" t="str">
        <f>".0815"</f>
        <v>.0815</v>
      </c>
      <c r="K13" t="str">
        <f>".0804"</f>
        <v>.0804</v>
      </c>
      <c r="L13" t="str">
        <f>".07344"</f>
        <v>.07344</v>
      </c>
      <c r="M13" t="str">
        <f>".04949"</f>
        <v>.04949</v>
      </c>
      <c r="N13" t="str">
        <f>".04423"</f>
        <v>.04423</v>
      </c>
      <c r="O13" t="str">
        <f>".04154"</f>
        <v>.04154</v>
      </c>
    </row>
    <row r="14" spans="1:15" x14ac:dyDescent="0.2">
      <c r="A14" t="str">
        <f>"alt_cz_eff"</f>
        <v>alt_cz_eff</v>
      </c>
      <c r="C14" t="str">
        <f>"1.731***"</f>
        <v>1.731***</v>
      </c>
      <c r="D14" t="str">
        <f>".7962**"</f>
        <v>.7962**</v>
      </c>
      <c r="E14" t="str">
        <f>"1.263***"</f>
        <v>1.263***</v>
      </c>
      <c r="F14" t="str">
        <f>".6048**"</f>
        <v>.6048**</v>
      </c>
      <c r="G14" t="str">
        <f>".3103"</f>
        <v>.3103</v>
      </c>
      <c r="H14" t="str">
        <f>".4112"</f>
        <v>.4112</v>
      </c>
      <c r="J14" t="str">
        <f>"-.08855"</f>
        <v>-.08855</v>
      </c>
      <c r="K14" t="str">
        <f>"-.4008"</f>
        <v>-.4008</v>
      </c>
      <c r="L14" t="str">
        <f>".1703"</f>
        <v>.1703</v>
      </c>
      <c r="M14" t="str">
        <f>".5984**"</f>
        <v>.5984**</v>
      </c>
      <c r="N14" t="str">
        <f>".2448"</f>
        <v>.2448</v>
      </c>
      <c r="O14" t="str">
        <f>".4604"</f>
        <v>.4604</v>
      </c>
    </row>
    <row r="15" spans="1:15" x14ac:dyDescent="0.2">
      <c r="A15" t="str">
        <f>""</f>
        <v/>
      </c>
      <c r="C15" t="str">
        <f>"(.4771)"</f>
        <v>(.4771)</v>
      </c>
      <c r="D15" t="str">
        <f>"(.3472)"</f>
        <v>(.3472)</v>
      </c>
      <c r="E15" t="str">
        <f>"(.4801)"</f>
        <v>(.4801)</v>
      </c>
      <c r="F15" t="str">
        <f>"(.2562)"</f>
        <v>(.2562)</v>
      </c>
      <c r="G15" t="str">
        <f>"(.2298)"</f>
        <v>(.2298)</v>
      </c>
      <c r="H15" t="str">
        <f>"(.3576)"</f>
        <v>(.3576)</v>
      </c>
      <c r="J15" t="str">
        <f>"(.2709)"</f>
        <v>(.2709)</v>
      </c>
      <c r="K15" t="str">
        <f>"(.3032)"</f>
        <v>(.3032)</v>
      </c>
      <c r="L15" t="str">
        <f>"(.363)"</f>
        <v>(.363)</v>
      </c>
      <c r="M15" t="str">
        <f>"(.2396)"</f>
        <v>(.2396)</v>
      </c>
      <c r="N15" t="str">
        <f>"(.2353)"</f>
        <v>(.2353)</v>
      </c>
      <c r="O15" t="str">
        <f>"(.3007)"</f>
        <v>(.3007)</v>
      </c>
    </row>
    <row r="16" spans="1:15" x14ac:dyDescent="0.2">
      <c r="C16" t="str">
        <f>".1889"</f>
        <v>.1889</v>
      </c>
      <c r="D16" t="str">
        <f>".5759"</f>
        <v>.5759</v>
      </c>
      <c r="E16" t="str">
        <f>".5857"</f>
        <v>.5857</v>
      </c>
      <c r="F16" t="str">
        <f>".08026"</f>
        <v>.08026</v>
      </c>
      <c r="G16" t="str">
        <f>".4652"</f>
        <v>.4652</v>
      </c>
      <c r="H16" t="str">
        <f>".4483"</f>
        <v>.4483</v>
      </c>
      <c r="J16" t="str">
        <f>"-.01586"</f>
        <v>-.01586</v>
      </c>
      <c r="K16" t="str">
        <f>".1925"</f>
        <v>.1925</v>
      </c>
      <c r="L16" t="str">
        <f>".2817"</f>
        <v>.2817</v>
      </c>
      <c r="M16" t="str">
        <f>".08515"</f>
        <v>.08515</v>
      </c>
      <c r="N16" t="str">
        <f>".5635"</f>
        <v>.5635</v>
      </c>
      <c r="O16" t="str">
        <f>".6062"</f>
        <v>.6062</v>
      </c>
    </row>
    <row r="17" spans="1:15" x14ac:dyDescent="0.2">
      <c r="C17" t="str">
        <f>".1418"</f>
        <v>.1418</v>
      </c>
      <c r="D17" t="str">
        <f>".1025"</f>
        <v>.1025</v>
      </c>
      <c r="E17" t="str">
        <f>".1013"</f>
        <v>.1013</v>
      </c>
      <c r="F17" t="str">
        <f>".07663"</f>
        <v>.07663</v>
      </c>
      <c r="G17" t="str">
        <f>".05843"</f>
        <v>.05843</v>
      </c>
      <c r="H17" t="str">
        <f>".05935"</f>
        <v>.05935</v>
      </c>
      <c r="J17" t="str">
        <f>".08998"</f>
        <v>.08998</v>
      </c>
      <c r="K17" t="str">
        <f>".08022"</f>
        <v>.08022</v>
      </c>
      <c r="L17" t="str">
        <f>".07566"</f>
        <v>.07566</v>
      </c>
      <c r="M17" t="str">
        <f>".0738"</f>
        <v>.0738</v>
      </c>
      <c r="N17" t="str">
        <f>".05098"</f>
        <v>.05098</v>
      </c>
      <c r="O17" t="str">
        <f>".04842"</f>
        <v>.04842</v>
      </c>
    </row>
    <row r="18" spans="1:15" x14ac:dyDescent="0.2">
      <c r="A18" t="str">
        <f>"s_alpha_q1q5"</f>
        <v>s_alpha_q1q5</v>
      </c>
      <c r="C18" t="str">
        <f>"3.183***"</f>
        <v>3.183***</v>
      </c>
      <c r="D18" t="str">
        <f>"1.966***"</f>
        <v>1.966***</v>
      </c>
      <c r="E18" t="str">
        <f>"2.199***"</f>
        <v>2.199***</v>
      </c>
      <c r="F18" t="str">
        <f>"1.7***"</f>
        <v>1.7***</v>
      </c>
      <c r="G18" t="str">
        <f>"1.15***"</f>
        <v>1.15***</v>
      </c>
      <c r="H18" t="str">
        <f>"1.295***"</f>
        <v>1.295***</v>
      </c>
      <c r="J18" t="str">
        <f>".4755"</f>
        <v>.4755</v>
      </c>
      <c r="K18" t="str">
        <f>"-.1472"</f>
        <v>-.1472</v>
      </c>
      <c r="L18" t="str">
        <f>".186"</f>
        <v>.186</v>
      </c>
      <c r="M18" t="str">
        <f>"1.606***"</f>
        <v>1.606***</v>
      </c>
      <c r="N18" t="str">
        <f>"1.035***"</f>
        <v>1.035***</v>
      </c>
      <c r="O18" t="str">
        <f>"1.153***"</f>
        <v>1.153***</v>
      </c>
    </row>
    <row r="19" spans="1:15" x14ac:dyDescent="0.2">
      <c r="A19" t="str">
        <f>""</f>
        <v/>
      </c>
      <c r="C19" t="str">
        <f>"(.4289)"</f>
        <v>(.4289)</v>
      </c>
      <c r="D19" t="str">
        <f>"(.4784)"</f>
        <v>(.4784)</v>
      </c>
      <c r="E19" t="str">
        <f>"(.4406)"</f>
        <v>(.4406)</v>
      </c>
      <c r="F19" t="str">
        <f>"(.2251)"</f>
        <v>(.2251)</v>
      </c>
      <c r="G19" t="str">
        <f>"(.2709)"</f>
        <v>(.2709)</v>
      </c>
      <c r="H19" t="str">
        <f>"(.3131)"</f>
        <v>(.3131)</v>
      </c>
      <c r="J19" t="str">
        <f>"(.4321)"</f>
        <v>(.4321)</v>
      </c>
      <c r="K19" t="str">
        <f>"(.4973)"</f>
        <v>(.4973)</v>
      </c>
      <c r="L19" t="str">
        <f>"(.3353)"</f>
        <v>(.3353)</v>
      </c>
      <c r="M19" t="str">
        <f>"(.2181)"</f>
        <v>(.2181)</v>
      </c>
      <c r="N19" t="str">
        <f>"(.2138)"</f>
        <v>(.2138)</v>
      </c>
      <c r="O19" t="str">
        <f>"(.1878)"</f>
        <v>(.1878)</v>
      </c>
    </row>
    <row r="20" spans="1:15" x14ac:dyDescent="0.2">
      <c r="C20" t="str">
        <f>".3718"</f>
        <v>.3718</v>
      </c>
      <c r="D20" t="str">
        <f>".6573"</f>
        <v>.6573</v>
      </c>
      <c r="E20" t="str">
        <f>".655"</f>
        <v>.655</v>
      </c>
      <c r="F20" t="str">
        <f>".4133"</f>
        <v>.4133</v>
      </c>
      <c r="G20" t="str">
        <f>".6003"</f>
        <v>.6003</v>
      </c>
      <c r="H20" t="str">
        <f>".5998"</f>
        <v>.5998</v>
      </c>
      <c r="J20" t="str">
        <f>".00947"</f>
        <v>.00947</v>
      </c>
      <c r="K20" t="str">
        <f>".1658"</f>
        <v>.1658</v>
      </c>
      <c r="L20" t="str">
        <f>".2811"</f>
        <v>.2811</v>
      </c>
      <c r="M20" t="str">
        <f>".3952"</f>
        <v>.3952</v>
      </c>
      <c r="N20" t="str">
        <f>".6851"</f>
        <v>.6851</v>
      </c>
      <c r="O20" t="str">
        <f>".7223"</f>
        <v>.7223</v>
      </c>
    </row>
    <row r="21" spans="1:15" x14ac:dyDescent="0.2">
      <c r="C21" t="str">
        <f>".1248"</f>
        <v>.1248</v>
      </c>
      <c r="D21" t="str">
        <f>".09215"</f>
        <v>.09215</v>
      </c>
      <c r="E21" t="str">
        <f>".09246"</f>
        <v>.09246</v>
      </c>
      <c r="F21" t="str">
        <f>".0612"</f>
        <v>.0612</v>
      </c>
      <c r="G21" t="str">
        <f>".05051"</f>
        <v>.05051</v>
      </c>
      <c r="H21" t="str">
        <f>".05055"</f>
        <v>.05055</v>
      </c>
      <c r="J21" t="str">
        <f>".08885"</f>
        <v>.08885</v>
      </c>
      <c r="K21" t="str">
        <f>".08154"</f>
        <v>.08154</v>
      </c>
      <c r="L21" t="str">
        <f>".07569"</f>
        <v>.07569</v>
      </c>
      <c r="M21" t="str">
        <f>".06"</f>
        <v>.06</v>
      </c>
      <c r="N21" t="str">
        <f>".04329"</f>
        <v>.04329</v>
      </c>
      <c r="O21" t="str">
        <f>".04066"</f>
        <v>.04066</v>
      </c>
    </row>
    <row r="22" spans="1:15" x14ac:dyDescent="0.2">
      <c r="A22" t="str">
        <f>"Es_alpha_q1q5"</f>
        <v>Es_alpha_q1q5</v>
      </c>
      <c r="C22" t="str">
        <f>"13.22***"</f>
        <v>13.22***</v>
      </c>
      <c r="D22" t="str">
        <f>"9.699***"</f>
        <v>9.699***</v>
      </c>
      <c r="E22" t="str">
        <f>"10.16***"</f>
        <v>10.16***</v>
      </c>
      <c r="F22" t="str">
        <f>"6.29***"</f>
        <v>6.29***</v>
      </c>
      <c r="G22" t="str">
        <f>"4.876***"</f>
        <v>4.876***</v>
      </c>
      <c r="H22" t="str">
        <f>"5.052***"</f>
        <v>5.052***</v>
      </c>
      <c r="J22" t="str">
        <f>"2.178"</f>
        <v>2.178</v>
      </c>
      <c r="K22" t="str">
        <f>"-.9558"</f>
        <v>-.9558</v>
      </c>
      <c r="L22" t="str">
        <f>"-.1155"</f>
        <v>-.1155</v>
      </c>
      <c r="M22" t="str">
        <f>"5.878***"</f>
        <v>5.878***</v>
      </c>
      <c r="N22" t="str">
        <f>"3.669***"</f>
        <v>3.669***</v>
      </c>
      <c r="O22" t="str">
        <f>"3.7***"</f>
        <v>3.7***</v>
      </c>
    </row>
    <row r="23" spans="1:15" x14ac:dyDescent="0.2">
      <c r="A23" t="str">
        <f>""</f>
        <v/>
      </c>
      <c r="C23" t="str">
        <f>"(1.325)"</f>
        <v>(1.325)</v>
      </c>
      <c r="D23" t="str">
        <f>"(2.97)"</f>
        <v>(2.97)</v>
      </c>
      <c r="E23" t="str">
        <f>"(2.9)"</f>
        <v>(2.9)</v>
      </c>
      <c r="F23" t="str">
        <f>"(.7797)"</f>
        <v>(.7797)</v>
      </c>
      <c r="G23" t="str">
        <f>"(1.406)"</f>
        <v>(1.406)</v>
      </c>
      <c r="H23" t="str">
        <f>"(1.492)"</f>
        <v>(1.492)</v>
      </c>
      <c r="J23" t="str">
        <f>"(1.39)"</f>
        <v>(1.39)</v>
      </c>
      <c r="K23" t="str">
        <f>"(2.819)"</f>
        <v>(2.819)</v>
      </c>
      <c r="L23" t="str">
        <f>"(2.387)"</f>
        <v>(2.387)</v>
      </c>
      <c r="M23" t="str">
        <f>"(.8937)"</f>
        <v>(.8937)</v>
      </c>
      <c r="N23" t="str">
        <f>"(1.402)"</f>
        <v>(1.402)</v>
      </c>
      <c r="O23" t="str">
        <f>"(1.315)"</f>
        <v>(1.315)</v>
      </c>
    </row>
    <row r="24" spans="1:15" x14ac:dyDescent="0.2">
      <c r="C24" t="str">
        <f>".6334"</f>
        <v>.6334</v>
      </c>
      <c r="D24" t="str">
        <f>".6972"</f>
        <v>.6972</v>
      </c>
      <c r="E24" t="str">
        <f>".6914"</f>
        <v>.6914</v>
      </c>
      <c r="F24" t="str">
        <f>".5545"</f>
        <v>.5545</v>
      </c>
      <c r="G24" t="str">
        <f>".5985"</f>
        <v>.5985</v>
      </c>
      <c r="H24" t="str">
        <f>".5839"</f>
        <v>.5839</v>
      </c>
      <c r="J24" t="str">
        <f>".03741"</f>
        <v>.03741</v>
      </c>
      <c r="K24" t="str">
        <f>".1685"</f>
        <v>.1685</v>
      </c>
      <c r="L24" t="str">
        <f>".2782"</f>
        <v>.2782</v>
      </c>
      <c r="M24" t="str">
        <f>".5183"</f>
        <v>.5183</v>
      </c>
      <c r="N24" t="str">
        <f>".6431"</f>
        <v>.6431</v>
      </c>
      <c r="O24" t="str">
        <f>".6644"</f>
        <v>.6644</v>
      </c>
    </row>
    <row r="25" spans="1:15" x14ac:dyDescent="0.2">
      <c r="C25" t="str">
        <f>".0953"</f>
        <v>.0953</v>
      </c>
      <c r="D25" t="str">
        <f>".08662"</f>
        <v>.08662</v>
      </c>
      <c r="E25" t="str">
        <f>".08744"</f>
        <v>.08744</v>
      </c>
      <c r="F25" t="str">
        <f>".05333"</f>
        <v>.05333</v>
      </c>
      <c r="G25" t="str">
        <f>".05063"</f>
        <v>.05063</v>
      </c>
      <c r="H25" t="str">
        <f>".05154"</f>
        <v>.05154</v>
      </c>
      <c r="J25" t="str">
        <f>".08759"</f>
        <v>.08759</v>
      </c>
      <c r="K25" t="str">
        <f>".0814"</f>
        <v>.0814</v>
      </c>
      <c r="L25" t="str">
        <f>".07584"</f>
        <v>.07584</v>
      </c>
      <c r="M25" t="str">
        <f>".05355"</f>
        <v>.05355</v>
      </c>
      <c r="N25" t="str">
        <f>".04609"</f>
        <v>.04609</v>
      </c>
      <c r="O25" t="str">
        <f>".0447"</f>
        <v>.0447</v>
      </c>
    </row>
    <row r="26" spans="1:15" x14ac:dyDescent="0.2">
      <c r="A26" t="str">
        <f>"psi_c"</f>
        <v>psi_c</v>
      </c>
      <c r="C26" t="str">
        <f>"1.789***"</f>
        <v>1.789***</v>
      </c>
      <c r="D26" t="str">
        <f>".9953***"</f>
        <v>.9953***</v>
      </c>
      <c r="E26" t="str">
        <f>"1.403***"</f>
        <v>1.403***</v>
      </c>
      <c r="F26" t="str">
        <f>".6268***"</f>
        <v>.6268***</v>
      </c>
      <c r="G26" t="str">
        <f>".3517"</f>
        <v>.3517</v>
      </c>
      <c r="H26" t="str">
        <f>".4343"</f>
        <v>.4343</v>
      </c>
      <c r="J26" t="str">
        <f>".1587"</f>
        <v>.1587</v>
      </c>
      <c r="K26" t="str">
        <f>"-.09356"</f>
        <v>-.09356</v>
      </c>
      <c r="L26" t="str">
        <f>".4447"</f>
        <v>.4447</v>
      </c>
      <c r="M26" t="str">
        <f>".6273***"</f>
        <v>.6273***</v>
      </c>
      <c r="N26" t="str">
        <f>".316"</f>
        <v>.316</v>
      </c>
      <c r="O26" t="str">
        <f>".5056*"</f>
        <v>.5056*</v>
      </c>
    </row>
    <row r="27" spans="1:15" x14ac:dyDescent="0.2">
      <c r="A27" t="str">
        <f>""</f>
        <v/>
      </c>
      <c r="C27" t="str">
        <f>"(.4171)"</f>
        <v>(.4171)</v>
      </c>
      <c r="D27" t="str">
        <f>"(.33)"</f>
        <v>(.33)</v>
      </c>
      <c r="E27" t="str">
        <f>"(.4058)"</f>
        <v>(.4058)</v>
      </c>
      <c r="F27" t="str">
        <f>"(.2227)"</f>
        <v>(.2227)</v>
      </c>
      <c r="G27" t="str">
        <f>"(.2171)"</f>
        <v>(.2171)</v>
      </c>
      <c r="H27" t="str">
        <f>"(.3177)"</f>
        <v>(.3177)</v>
      </c>
      <c r="J27" t="str">
        <f>"(.2766)"</f>
        <v>(.2766)</v>
      </c>
      <c r="K27" t="str">
        <f>"(.2961)"</f>
        <v>(.2961)</v>
      </c>
      <c r="L27" t="str">
        <f>"(.3725)"</f>
        <v>(.3725)</v>
      </c>
      <c r="M27" t="str">
        <f>"(.2136)"</f>
        <v>(.2136)</v>
      </c>
      <c r="N27" t="str">
        <f>"(.2144)"</f>
        <v>(.2144)</v>
      </c>
      <c r="O27" t="str">
        <f>"(.2595)"</f>
        <v>(.2595)</v>
      </c>
    </row>
    <row r="28" spans="1:15" x14ac:dyDescent="0.2">
      <c r="C28" t="str">
        <f>".2311"</f>
        <v>.2311</v>
      </c>
      <c r="D28" t="str">
        <f>".6069"</f>
        <v>.6069</v>
      </c>
      <c r="E28" t="str">
        <f>".6273"</f>
        <v>.6273</v>
      </c>
      <c r="F28" t="str">
        <f>".1009"</f>
        <v>.1009</v>
      </c>
      <c r="G28" t="str">
        <f>".4765"</f>
        <v>.4765</v>
      </c>
      <c r="H28" t="str">
        <f>".4612"</f>
        <v>.4612</v>
      </c>
      <c r="J28" t="str">
        <f>"-.01146"</f>
        <v>-.01146</v>
      </c>
      <c r="K28" t="str">
        <f>".1656"</f>
        <v>.1656</v>
      </c>
      <c r="L28" t="str">
        <f>".3107"</f>
        <v>.3107</v>
      </c>
      <c r="M28" t="str">
        <f>".1097"</f>
        <v>.1097</v>
      </c>
      <c r="N28" t="str">
        <f>".5775"</f>
        <v>.5775</v>
      </c>
      <c r="O28" t="str">
        <f>".6278"</f>
        <v>.6278</v>
      </c>
    </row>
    <row r="29" spans="1:15" x14ac:dyDescent="0.2">
      <c r="C29" t="str">
        <f>".138"</f>
        <v>.138</v>
      </c>
      <c r="D29" t="str">
        <f>".09869"</f>
        <v>.09869</v>
      </c>
      <c r="E29" t="str">
        <f>".0961"</f>
        <v>.0961</v>
      </c>
      <c r="F29" t="str">
        <f>".07576"</f>
        <v>.07576</v>
      </c>
      <c r="G29" t="str">
        <f>".05781"</f>
        <v>.05781</v>
      </c>
      <c r="H29" t="str">
        <f>".05865"</f>
        <v>.05865</v>
      </c>
      <c r="J29" t="str">
        <f>".08978"</f>
        <v>.08978</v>
      </c>
      <c r="K29" t="str">
        <f>".08155"</f>
        <v>.08155</v>
      </c>
      <c r="L29" t="str">
        <f>".07412"</f>
        <v>.07412</v>
      </c>
      <c r="M29" t="str">
        <f>".0728"</f>
        <v>.0728</v>
      </c>
      <c r="N29" t="str">
        <f>".05015"</f>
        <v>.05015</v>
      </c>
      <c r="O29" t="str">
        <f>".04707"</f>
        <v>.04707</v>
      </c>
    </row>
    <row r="30" spans="1:15" x14ac:dyDescent="0.2">
      <c r="A30" t="str">
        <f>"Epsi_c"</f>
        <v>Epsi_c</v>
      </c>
      <c r="C30" t="str">
        <f>"3.898*"</f>
        <v>3.898*</v>
      </c>
      <c r="D30" t="str">
        <f>"4.883***"</f>
        <v>4.883***</v>
      </c>
      <c r="E30" t="str">
        <f>"5.341***"</f>
        <v>5.341***</v>
      </c>
      <c r="F30" t="str">
        <f>"1.387"</f>
        <v>1.387</v>
      </c>
      <c r="G30" t="str">
        <f>"1.357"</f>
        <v>1.357</v>
      </c>
      <c r="H30" t="str">
        <f>"1.479*"</f>
        <v>1.479*</v>
      </c>
      <c r="J30" t="str">
        <f>"3.64**"</f>
        <v>3.64**</v>
      </c>
      <c r="K30" t="str">
        <f>"3.701**"</f>
        <v>3.701**</v>
      </c>
      <c r="L30" t="str">
        <f>"3.65**"</f>
        <v>3.65**</v>
      </c>
      <c r="M30" t="str">
        <f>"1.482"</f>
        <v>1.482</v>
      </c>
      <c r="N30" t="str">
        <f>"1.652**"</f>
        <v>1.652**</v>
      </c>
      <c r="O30" t="str">
        <f>"1.878***"</f>
        <v>1.878***</v>
      </c>
    </row>
    <row r="31" spans="1:15" x14ac:dyDescent="0.2">
      <c r="A31" t="str">
        <f>""</f>
        <v/>
      </c>
      <c r="C31" t="str">
        <f>"(2.121)"</f>
        <v>(2.121)</v>
      </c>
      <c r="D31" t="str">
        <f>"(1.373)"</f>
        <v>(1.373)</v>
      </c>
      <c r="E31" t="str">
        <f>"(1.27)"</f>
        <v>(1.27)</v>
      </c>
      <c r="F31" t="str">
        <f>"(1.151)"</f>
        <v>(1.151)</v>
      </c>
      <c r="G31" t="str">
        <f>"(.964)"</f>
        <v>(.964)</v>
      </c>
      <c r="H31" t="str">
        <f>"(.897)"</f>
        <v>(.897)</v>
      </c>
      <c r="J31" t="str">
        <f>"(1.44)"</f>
        <v>(1.44)</v>
      </c>
      <c r="K31" t="str">
        <f>"(1.7)"</f>
        <v>(1.7)</v>
      </c>
      <c r="L31" t="str">
        <f>"(1.523)"</f>
        <v>(1.523)</v>
      </c>
      <c r="M31" t="str">
        <f>"(1.127)"</f>
        <v>(1.127)</v>
      </c>
      <c r="N31" t="str">
        <f>"(.7828)"</f>
        <v>(.7828)</v>
      </c>
      <c r="O31" t="str">
        <f>"(.6511)"</f>
        <v>(.6511)</v>
      </c>
    </row>
    <row r="32" spans="1:15" x14ac:dyDescent="0.2">
      <c r="C32" t="str">
        <f>".05939"</f>
        <v>.05939</v>
      </c>
      <c r="D32" t="str">
        <f>".647"</f>
        <v>.647</v>
      </c>
      <c r="E32" t="str">
        <f>".6546"</f>
        <v>.6546</v>
      </c>
      <c r="F32" t="str">
        <f>".02026"</f>
        <v>.02026</v>
      </c>
      <c r="G32" t="str">
        <f>".4759"</f>
        <v>.4759</v>
      </c>
      <c r="H32" t="str">
        <f>".4616"</f>
        <v>.4616</v>
      </c>
      <c r="J32" t="str">
        <f>".191"</f>
        <v>.191</v>
      </c>
      <c r="K32" t="str">
        <f>".3558"</f>
        <v>.3558</v>
      </c>
      <c r="L32" t="str">
        <f>".4691"</f>
        <v>.4691</v>
      </c>
      <c r="M32" t="str">
        <f>".02875"</f>
        <v>.02875</v>
      </c>
      <c r="N32" t="str">
        <f>".6004"</f>
        <v>.6004</v>
      </c>
      <c r="O32" t="str">
        <f>".6392"</f>
        <v>.6392</v>
      </c>
    </row>
    <row r="33" spans="1:15" x14ac:dyDescent="0.2">
      <c r="C33" t="str">
        <f>".1527"</f>
        <v>.1527</v>
      </c>
      <c r="D33" t="str">
        <f>".09353"</f>
        <v>.09353</v>
      </c>
      <c r="E33" t="str">
        <f>".09251"</f>
        <v>.09251</v>
      </c>
      <c r="F33" t="str">
        <f>".07909"</f>
        <v>.07909</v>
      </c>
      <c r="G33" t="str">
        <f>".05784"</f>
        <v>.05784</v>
      </c>
      <c r="H33" t="str">
        <f>".05863"</f>
        <v>.05863</v>
      </c>
      <c r="J33" t="str">
        <f>".0803"</f>
        <v>.0803</v>
      </c>
      <c r="K33" t="str">
        <f>".07165"</f>
        <v>.07165</v>
      </c>
      <c r="L33" t="str">
        <f>".06505"</f>
        <v>.06505</v>
      </c>
      <c r="M33" t="str">
        <f>".07604"</f>
        <v>.07604</v>
      </c>
      <c r="N33" t="str">
        <f>".04878"</f>
        <v>.04878</v>
      </c>
      <c r="O33" t="str">
        <f>".04635"</f>
        <v>.04635</v>
      </c>
    </row>
    <row r="34" spans="1:15" x14ac:dyDescent="0.2">
      <c r="A34" t="str">
        <f>"s_psi_q1q5"</f>
        <v>s_psi_q1q5</v>
      </c>
      <c r="C34" t="str">
        <f>".9544***"</f>
        <v>.9544***</v>
      </c>
      <c r="D34" t="str">
        <f>".5528***"</f>
        <v>.5528***</v>
      </c>
      <c r="E34" t="str">
        <f>".804***"</f>
        <v>.804***</v>
      </c>
      <c r="F34" t="str">
        <f>".409***"</f>
        <v>.409***</v>
      </c>
      <c r="G34" t="str">
        <f>".2696***"</f>
        <v>.2696***</v>
      </c>
      <c r="H34" t="str">
        <f>".3583***"</f>
        <v>.3583***</v>
      </c>
      <c r="J34" t="str">
        <f>".1152"</f>
        <v>.1152</v>
      </c>
      <c r="K34" t="str">
        <f>"-.04289"</f>
        <v>-.04289</v>
      </c>
      <c r="L34" t="str">
        <f>".2279"</f>
        <v>.2279</v>
      </c>
      <c r="M34" t="str">
        <f>".3858***"</f>
        <v>.3858***</v>
      </c>
      <c r="N34" t="str">
        <f>".2078**"</f>
        <v>.2078**</v>
      </c>
      <c r="O34" t="str">
        <f>".3255***"</f>
        <v>.3255***</v>
      </c>
    </row>
    <row r="35" spans="1:15" x14ac:dyDescent="0.2">
      <c r="A35" t="str">
        <f>""</f>
        <v/>
      </c>
      <c r="C35" t="str">
        <f>"(.1814)"</f>
        <v>(.1814)</v>
      </c>
      <c r="D35" t="str">
        <f>"(.1506)"</f>
        <v>(.1506)</v>
      </c>
      <c r="E35" t="str">
        <f>"(.1826)"</f>
        <v>(.1826)</v>
      </c>
      <c r="F35" t="str">
        <f>"(.1075)"</f>
        <v>(.1075)</v>
      </c>
      <c r="G35" t="str">
        <f>"(.1044)"</f>
        <v>(.1044)</v>
      </c>
      <c r="H35" t="str">
        <f>"(.1111)"</f>
        <v>(.1111)</v>
      </c>
      <c r="J35" t="str">
        <f>"(.1314)"</f>
        <v>(.1314)</v>
      </c>
      <c r="K35" t="str">
        <f>"(.1388)"</f>
        <v>(.1388)</v>
      </c>
      <c r="L35" t="str">
        <f>"(.1853)"</f>
        <v>(.1853)</v>
      </c>
      <c r="M35" t="str">
        <f>"(.1016)"</f>
        <v>(.1016)</v>
      </c>
      <c r="N35" t="str">
        <f>"(.09909)"</f>
        <v>(.09909)</v>
      </c>
      <c r="O35" t="str">
        <f>"(.1052)"</f>
        <v>(.1052)</v>
      </c>
    </row>
    <row r="36" spans="1:15" x14ac:dyDescent="0.2">
      <c r="C36" t="str">
        <f>".2864"</f>
        <v>.2864</v>
      </c>
      <c r="D36" t="str">
        <f>".6339"</f>
        <v>.6339</v>
      </c>
      <c r="E36" t="str">
        <f>".6706"</f>
        <v>.6706</v>
      </c>
      <c r="F36" t="str">
        <f>".1991"</f>
        <v>.1991</v>
      </c>
      <c r="G36" t="str">
        <f>".5309"</f>
        <v>.5309</v>
      </c>
      <c r="H36" t="str">
        <f>".5362"</f>
        <v>.5362</v>
      </c>
      <c r="J36" t="str">
        <f>"-.003785"</f>
        <v>-.003785</v>
      </c>
      <c r="K36" t="str">
        <f>".1655"</f>
        <v>.1655</v>
      </c>
      <c r="L36" t="str">
        <f>".315"</f>
        <v>.315</v>
      </c>
      <c r="M36" t="str">
        <f>".1892"</f>
        <v>.1892</v>
      </c>
      <c r="N36" t="str">
        <f>".6047"</f>
        <v>.6047</v>
      </c>
      <c r="O36" t="str">
        <f>".6721"</f>
        <v>.6721</v>
      </c>
    </row>
    <row r="37" spans="1:15" x14ac:dyDescent="0.2">
      <c r="C37" t="str">
        <f>".133"</f>
        <v>.133</v>
      </c>
      <c r="D37" t="str">
        <f>".09525"</f>
        <v>.09525</v>
      </c>
      <c r="E37" t="str">
        <f>".09034"</f>
        <v>.09034</v>
      </c>
      <c r="F37" t="str">
        <f>".07151"</f>
        <v>.07151</v>
      </c>
      <c r="G37" t="str">
        <f>".05473"</f>
        <v>.05473</v>
      </c>
      <c r="H37" t="str">
        <f>".05442"</f>
        <v>.05442</v>
      </c>
      <c r="J37" t="str">
        <f>".08944"</f>
        <v>.08944</v>
      </c>
      <c r="K37" t="str">
        <f>".08155"</f>
        <v>.08155</v>
      </c>
      <c r="L37" t="str">
        <f>".07388"</f>
        <v>.07388</v>
      </c>
      <c r="M37" t="str">
        <f>".06947"</f>
        <v>.06947</v>
      </c>
      <c r="N37" t="str">
        <f>".04851"</f>
        <v>.04851</v>
      </c>
      <c r="O37" t="str">
        <f>".04418"</f>
        <v>.04418</v>
      </c>
    </row>
    <row r="38" spans="1:15" x14ac:dyDescent="0.2">
      <c r="A38" t="str">
        <f>"Es_psi_q1q5"</f>
        <v>Es_psi_q1q5</v>
      </c>
      <c r="C38" t="str">
        <f>"4.357***"</f>
        <v>4.357***</v>
      </c>
      <c r="D38" t="str">
        <f>"3.347***"</f>
        <v>3.347***</v>
      </c>
      <c r="E38" t="str">
        <f>"3.429***"</f>
        <v>3.429***</v>
      </c>
      <c r="F38" t="str">
        <f>"1.806***"</f>
        <v>1.806***</v>
      </c>
      <c r="G38" t="str">
        <f>"1.163**"</f>
        <v>1.163**</v>
      </c>
      <c r="H38" t="str">
        <f>"1.163**"</f>
        <v>1.163**</v>
      </c>
      <c r="J38" t="str">
        <f>"2.421***"</f>
        <v>2.421***</v>
      </c>
      <c r="K38" t="str">
        <f>"2.041**"</f>
        <v>2.041**</v>
      </c>
      <c r="L38" t="str">
        <f>"1.89**"</f>
        <v>1.89**</v>
      </c>
      <c r="M38" t="str">
        <f>"1.882***"</f>
        <v>1.882***</v>
      </c>
      <c r="N38" t="str">
        <f>"1.262***"</f>
        <v>1.262***</v>
      </c>
      <c r="O38" t="str">
        <f>"1.247***"</f>
        <v>1.247***</v>
      </c>
    </row>
    <row r="39" spans="1:15" x14ac:dyDescent="0.2">
      <c r="A39" t="str">
        <f>""</f>
        <v/>
      </c>
      <c r="C39" t="str">
        <f>"(.7425)"</f>
        <v>(.7425)</v>
      </c>
      <c r="D39" t="str">
        <f>"(.6707)"</f>
        <v>(.6707)</v>
      </c>
      <c r="E39" t="str">
        <f>"(.6503)"</f>
        <v>(.6503)</v>
      </c>
      <c r="F39" t="str">
        <f>"(.4601)"</f>
        <v>(.4601)</v>
      </c>
      <c r="G39" t="str">
        <f>"(.5023)"</f>
        <v>(.5023)</v>
      </c>
      <c r="H39" t="str">
        <f>"(.4772)"</f>
        <v>(.4772)</v>
      </c>
      <c r="J39" t="str">
        <f>"(.6708)"</f>
        <v>(.6708)</v>
      </c>
      <c r="K39" t="str">
        <f>"(.8478)"</f>
        <v>(.8478)</v>
      </c>
      <c r="L39" t="str">
        <f>"(.783)"</f>
        <v>(.783)</v>
      </c>
      <c r="M39" t="str">
        <f>"(.4173)"</f>
        <v>(.4173)</v>
      </c>
      <c r="N39" t="str">
        <f>"(.3842)"</f>
        <v>(.3842)</v>
      </c>
      <c r="O39" t="str">
        <f>"(.3137)"</f>
        <v>(.3137)</v>
      </c>
    </row>
    <row r="40" spans="1:15" x14ac:dyDescent="0.2">
      <c r="C40" t="str">
        <f>".3308"</f>
        <v>.3308</v>
      </c>
      <c r="D40" t="str">
        <f>".7152"</f>
        <v>.7152</v>
      </c>
      <c r="E40" t="str">
        <f>".7146"</f>
        <v>.7146</v>
      </c>
      <c r="F40" t="str">
        <f>".2148"</f>
        <v>.2148</v>
      </c>
      <c r="G40" t="str">
        <f>".5261"</f>
        <v>.5261</v>
      </c>
      <c r="H40" t="str">
        <f>".508"</f>
        <v>.508</v>
      </c>
      <c r="J40" t="str">
        <f>".3168"</f>
        <v>.3168</v>
      </c>
      <c r="K40" t="str">
        <f>".367"</f>
        <v>.367</v>
      </c>
      <c r="L40" t="str">
        <f>".4591"</f>
        <v>.4591</v>
      </c>
      <c r="M40" t="str">
        <f>".253"</f>
        <v>.253</v>
      </c>
      <c r="N40" t="str">
        <f>".6532"</f>
        <v>.6532</v>
      </c>
      <c r="O40" t="str">
        <f>".6769"</f>
        <v>.6769</v>
      </c>
    </row>
    <row r="41" spans="1:15" x14ac:dyDescent="0.2">
      <c r="C41" t="str">
        <f>".1288"</f>
        <v>.1288</v>
      </c>
      <c r="D41" t="str">
        <f>".08401"</f>
        <v>.08401</v>
      </c>
      <c r="E41" t="str">
        <f>".08409"</f>
        <v>.08409</v>
      </c>
      <c r="F41" t="str">
        <f>".0708"</f>
        <v>.0708</v>
      </c>
      <c r="G41" t="str">
        <f>".055"</f>
        <v>.055</v>
      </c>
      <c r="H41" t="str">
        <f>".05605"</f>
        <v>.05605</v>
      </c>
      <c r="J41" t="str">
        <f>".07379"</f>
        <v>.07379</v>
      </c>
      <c r="K41" t="str">
        <f>".07103"</f>
        <v>.07103</v>
      </c>
      <c r="L41" t="str">
        <f>".06566"</f>
        <v>.06566</v>
      </c>
      <c r="M41" t="str">
        <f>".06668"</f>
        <v>.06668</v>
      </c>
      <c r="N41" t="str">
        <f>".04543"</f>
        <v>.04543</v>
      </c>
      <c r="O41" t="str">
        <f>".04385"</f>
        <v>.04385</v>
      </c>
    </row>
    <row r="42" spans="1:15" x14ac:dyDescent="0.2">
      <c r="A42" t="str">
        <f>"membership"</f>
        <v>membership</v>
      </c>
      <c r="C42" t="str">
        <f>".1331"</f>
        <v>.1331</v>
      </c>
      <c r="D42" t="str">
        <f>"-.03099"</f>
        <v>-.03099</v>
      </c>
      <c r="E42" t="str">
        <f>".09754"</f>
        <v>.09754</v>
      </c>
      <c r="F42" t="str">
        <f>".03592"</f>
        <v>.03592</v>
      </c>
      <c r="G42" t="str">
        <f>".2729"</f>
        <v>.2729</v>
      </c>
      <c r="H42" t="str">
        <f>".57*"</f>
        <v>.57*</v>
      </c>
      <c r="J42" t="str">
        <f>"-.4312*"</f>
        <v>-.4312*</v>
      </c>
      <c r="K42" t="str">
        <f>"-.5679*"</f>
        <v>-.5679*</v>
      </c>
      <c r="L42" t="str">
        <f>"-.2378"</f>
        <v>-.2378</v>
      </c>
      <c r="M42" t="str">
        <f>"-.03834"</f>
        <v>-.03834</v>
      </c>
      <c r="N42" t="str">
        <f>".08047"</f>
        <v>.08047</v>
      </c>
      <c r="O42" t="str">
        <f>".4205*"</f>
        <v>.4205*</v>
      </c>
    </row>
    <row r="43" spans="1:15" x14ac:dyDescent="0.2">
      <c r="A43" t="str">
        <f>""</f>
        <v/>
      </c>
      <c r="C43" t="str">
        <f>"(.4686)"</f>
        <v>(.4686)</v>
      </c>
      <c r="D43" t="str">
        <f>"(.3267)"</f>
        <v>(.3267)</v>
      </c>
      <c r="E43" t="str">
        <f>"(.4719)"</f>
        <v>(.4719)</v>
      </c>
      <c r="F43" t="str">
        <f>"(.2704)"</f>
        <v>(.2704)</v>
      </c>
      <c r="G43" t="str">
        <f>"(.2356)"</f>
        <v>(.2356)</v>
      </c>
      <c r="H43" t="str">
        <f>"(.3238)"</f>
        <v>(.3238)</v>
      </c>
      <c r="J43" t="str">
        <f>"(.2397)"</f>
        <v>(.2397)</v>
      </c>
      <c r="K43" t="str">
        <f>"(.3174)"</f>
        <v>(.3174)</v>
      </c>
      <c r="L43" t="str">
        <f>"(.3556)"</f>
        <v>(.3556)</v>
      </c>
      <c r="M43" t="str">
        <f>"(.2391)"</f>
        <v>(.2391)</v>
      </c>
      <c r="N43" t="str">
        <f>"(.1938)"</f>
        <v>(.1938)</v>
      </c>
      <c r="O43" t="str">
        <f>"(.254)"</f>
        <v>(.254)</v>
      </c>
    </row>
    <row r="44" spans="1:15" x14ac:dyDescent="0.2">
      <c r="C44" t="str">
        <f>"-.01494"</f>
        <v>-.01494</v>
      </c>
      <c r="D44" t="str">
        <f>".5395"</f>
        <v>.5395</v>
      </c>
      <c r="E44" t="str">
        <f>".5234"</f>
        <v>.5234</v>
      </c>
      <c r="F44" t="str">
        <f>"-.01681"</f>
        <v>-.01681</v>
      </c>
      <c r="G44" t="str">
        <f>".4706"</f>
        <v>.4706</v>
      </c>
      <c r="H44" t="str">
        <f>".4653"</f>
        <v>.4653</v>
      </c>
      <c r="J44" t="str">
        <f>".06762"</f>
        <v>.06762</v>
      </c>
      <c r="K44" t="str">
        <f>".2569"</f>
        <v>.2569</v>
      </c>
      <c r="L44" t="str">
        <f>".2841"</f>
        <v>.2841</v>
      </c>
      <c r="M44" t="str">
        <f>"-.01664"</f>
        <v>-.01664</v>
      </c>
      <c r="N44" t="str">
        <f>".5516"</f>
        <v>.5516</v>
      </c>
      <c r="O44" t="str">
        <f>".5965"</f>
        <v>.5965</v>
      </c>
    </row>
    <row r="45" spans="1:15" x14ac:dyDescent="0.2">
      <c r="C45" t="str">
        <f>".1586"</f>
        <v>.1586</v>
      </c>
      <c r="D45" t="str">
        <f>".1068"</f>
        <v>.1068</v>
      </c>
      <c r="E45" t="str">
        <f>".1087"</f>
        <v>.1087</v>
      </c>
      <c r="F45" t="str">
        <f>".08057"</f>
        <v>.08057</v>
      </c>
      <c r="G45" t="str">
        <f>".05814"</f>
        <v>.05814</v>
      </c>
      <c r="H45" t="str">
        <f>".05843"</f>
        <v>.05843</v>
      </c>
      <c r="J45" t="str">
        <f>".0862"</f>
        <v>.0862</v>
      </c>
      <c r="K45" t="str">
        <f>".07696"</f>
        <v>.07696</v>
      </c>
      <c r="L45" t="str">
        <f>".07553"</f>
        <v>.07553</v>
      </c>
      <c r="M45" t="str">
        <f>".07779"</f>
        <v>.07779</v>
      </c>
      <c r="N45" t="str">
        <f>".05166"</f>
        <v>.05166</v>
      </c>
      <c r="O45" t="str">
        <f>".04901"</f>
        <v>.04901</v>
      </c>
    </row>
    <row r="46" spans="1:15" x14ac:dyDescent="0.2">
      <c r="A46" t="str">
        <f>"coverage"</f>
        <v>coverage</v>
      </c>
      <c r="C46" t="str">
        <f>".08094"</f>
        <v>.08094</v>
      </c>
      <c r="D46" t="str">
        <f>"-.06585"</f>
        <v>-.06585</v>
      </c>
      <c r="E46" t="str">
        <f>"-.02005"</f>
        <v>-.02005</v>
      </c>
      <c r="F46" t="str">
        <f>".01073"</f>
        <v>.01073</v>
      </c>
      <c r="G46" t="str">
        <f>".2586"</f>
        <v>.2586</v>
      </c>
      <c r="H46" t="str">
        <f>".507"</f>
        <v>.507</v>
      </c>
      <c r="J46" t="str">
        <f>"-.4504*"</f>
        <v>-.4504*</v>
      </c>
      <c r="K46" t="str">
        <f>"-.5876*"</f>
        <v>-.5876*</v>
      </c>
      <c r="L46" t="str">
        <f>"-.3095"</f>
        <v>-.3095</v>
      </c>
      <c r="M46" t="str">
        <f>"-.06172"</f>
        <v>-.06172</v>
      </c>
      <c r="N46" t="str">
        <f>".05802"</f>
        <v>.05802</v>
      </c>
      <c r="O46" t="str">
        <f>".3275"</f>
        <v>.3275</v>
      </c>
    </row>
    <row r="47" spans="1:15" x14ac:dyDescent="0.2">
      <c r="A47" t="str">
        <f>""</f>
        <v/>
      </c>
      <c r="C47" t="str">
        <f>"(.4662)"</f>
        <v>(.4662)</v>
      </c>
      <c r="D47" t="str">
        <f>"(.323)"</f>
        <v>(.323)</v>
      </c>
      <c r="E47" t="str">
        <f>"(.4648)"</f>
        <v>(.4648)</v>
      </c>
      <c r="F47" t="str">
        <f>"(.2702)"</f>
        <v>(.2702)</v>
      </c>
      <c r="G47" t="str">
        <f>"(.2352)"</f>
        <v>(.2352)</v>
      </c>
      <c r="H47" t="str">
        <f>"(.3256)"</f>
        <v>(.3256)</v>
      </c>
      <c r="J47" t="str">
        <f>"(.2362)"</f>
        <v>(.2362)</v>
      </c>
      <c r="K47" t="str">
        <f>"(.3086)"</f>
        <v>(.3086)</v>
      </c>
      <c r="L47" t="str">
        <f>"(.3493)"</f>
        <v>(.3493)</v>
      </c>
      <c r="M47" t="str">
        <f>"(.2364)"</f>
        <v>(.2364)</v>
      </c>
      <c r="N47" t="str">
        <f>"(.1917)"</f>
        <v>(.1917)</v>
      </c>
      <c r="O47" t="str">
        <f>"(.2531)"</f>
        <v>(.2531)</v>
      </c>
    </row>
    <row r="48" spans="1:15" x14ac:dyDescent="0.2">
      <c r="C48" t="str">
        <f>"-.01657"</f>
        <v>-.01657</v>
      </c>
      <c r="D48" t="str">
        <f>".5398"</f>
        <v>.5398</v>
      </c>
      <c r="E48" t="str">
        <f>".5231"</f>
        <v>.5231</v>
      </c>
      <c r="F48" t="str">
        <f>"-.01748"</f>
        <v>-.01748</v>
      </c>
      <c r="G48" t="str">
        <f>".4681"</f>
        <v>.4681</v>
      </c>
      <c r="H48" t="str">
        <f>".4582"</f>
        <v>.4582</v>
      </c>
      <c r="J48" t="str">
        <f>".07612"</f>
        <v>.07612</v>
      </c>
      <c r="K48" t="str">
        <f>".2646"</f>
        <v>.2646</v>
      </c>
      <c r="L48" t="str">
        <f>".2888"</f>
        <v>.2888</v>
      </c>
      <c r="M48" t="str">
        <f>"-.01519"</f>
        <v>-.01519</v>
      </c>
      <c r="N48" t="str">
        <f>".5504"</f>
        <v>.5504</v>
      </c>
      <c r="O48" t="str">
        <f>".5875"</f>
        <v>.5875</v>
      </c>
    </row>
    <row r="49" spans="1:15" x14ac:dyDescent="0.2">
      <c r="C49" t="str">
        <f>".1587"</f>
        <v>.1587</v>
      </c>
      <c r="D49" t="str">
        <f>".1068"</f>
        <v>.1068</v>
      </c>
      <c r="E49" t="str">
        <f>".1087"</f>
        <v>.1087</v>
      </c>
      <c r="F49" t="str">
        <f>".0806"</f>
        <v>.0806</v>
      </c>
      <c r="G49" t="str">
        <f>".05827"</f>
        <v>.05827</v>
      </c>
      <c r="H49" t="str">
        <f>".05882"</f>
        <v>.05882</v>
      </c>
      <c r="J49" t="str">
        <f>".08581"</f>
        <v>.08581</v>
      </c>
      <c r="K49" t="str">
        <f>".07656"</f>
        <v>.07656</v>
      </c>
      <c r="L49" t="str">
        <f>".07528"</f>
        <v>.07528</v>
      </c>
      <c r="M49" t="str">
        <f>".07774"</f>
        <v>.07774</v>
      </c>
      <c r="N49" t="str">
        <f>".05173"</f>
        <v>.05173</v>
      </c>
      <c r="O49" t="str">
        <f>".04956"</f>
        <v>.04956</v>
      </c>
    </row>
    <row r="50" spans="1:15" x14ac:dyDescent="0.2">
      <c r="A50" t="str">
        <f>"lnmw"</f>
        <v>lnmw</v>
      </c>
      <c r="C50" t="str">
        <f>".7445***"</f>
        <v>.7445***</v>
      </c>
      <c r="D50" t="str">
        <f>".3628**"</f>
        <v>.3628**</v>
      </c>
      <c r="E50" t="str">
        <f>".5199***"</f>
        <v>.5199***</v>
      </c>
      <c r="F50" t="str">
        <f>".353***"</f>
        <v>.353***</v>
      </c>
      <c r="G50" t="str">
        <f>".2456***"</f>
        <v>.2456***</v>
      </c>
      <c r="H50" t="str">
        <f>".3155***"</f>
        <v>.3155***</v>
      </c>
      <c r="J50" t="str">
        <f>".07338"</f>
        <v>.07338</v>
      </c>
      <c r="K50" t="str">
        <f>"-.04706"</f>
        <v>-.04706</v>
      </c>
      <c r="L50" t="str">
        <f>"-.04993"</f>
        <v>-.04993</v>
      </c>
      <c r="M50" t="str">
        <f>".3496***"</f>
        <v>.3496***</v>
      </c>
      <c r="N50" t="str">
        <f>".2089***"</f>
        <v>.2089***</v>
      </c>
      <c r="O50" t="str">
        <f>".2508***"</f>
        <v>.2508***</v>
      </c>
    </row>
    <row r="51" spans="1:15" x14ac:dyDescent="0.2">
      <c r="A51" t="str">
        <f>""</f>
        <v/>
      </c>
      <c r="C51" t="str">
        <f>"(.1557)"</f>
        <v>(.1557)</v>
      </c>
      <c r="D51" t="str">
        <f>"(.1423)"</f>
        <v>(.1423)</v>
      </c>
      <c r="E51" t="str">
        <f>"(.1414)"</f>
        <v>(.1414)</v>
      </c>
      <c r="F51" t="str">
        <f>"(.0765)"</f>
        <v>(.0765)</v>
      </c>
      <c r="G51" t="str">
        <f>"(.06588)"</f>
        <v>(.06588)</v>
      </c>
      <c r="H51" t="str">
        <f>"(.08679)"</f>
        <v>(.08679)</v>
      </c>
      <c r="J51" t="str">
        <f>"(.1303)"</f>
        <v>(.1303)</v>
      </c>
      <c r="K51" t="str">
        <f>"(.173)"</f>
        <v>(.173)</v>
      </c>
      <c r="L51" t="str">
        <f>"(.1546)"</f>
        <v>(.1546)</v>
      </c>
      <c r="M51" t="str">
        <f>"(.07289)"</f>
        <v>(.07289)</v>
      </c>
      <c r="N51" t="str">
        <f>"(.07738)"</f>
        <v>(.07738)</v>
      </c>
      <c r="O51" t="str">
        <f>"(.08701)"</f>
        <v>(.08701)</v>
      </c>
    </row>
    <row r="52" spans="1:15" x14ac:dyDescent="0.2">
      <c r="C52" t="str">
        <f>".2637"</f>
        <v>.2637</v>
      </c>
      <c r="D52" t="str">
        <f>".5987"</f>
        <v>.5987</v>
      </c>
      <c r="E52" t="str">
        <f>".6006"</f>
        <v>.6006</v>
      </c>
      <c r="F52" t="str">
        <f>".2279"</f>
        <v>.2279</v>
      </c>
      <c r="G52" t="str">
        <f>".5492"</f>
        <v>.5492</v>
      </c>
      <c r="H52" t="str">
        <f>".5332"</f>
        <v>.5332</v>
      </c>
      <c r="J52" t="str">
        <f>"-.009047"</f>
        <v>-.009047</v>
      </c>
      <c r="K52" t="str">
        <f>".1668"</f>
        <v>.1668</v>
      </c>
      <c r="L52" t="str">
        <f>".2804"</f>
        <v>.2804</v>
      </c>
      <c r="M52" t="str">
        <f>".2407"</f>
        <v>.2407</v>
      </c>
      <c r="N52" t="str">
        <f>".6309"</f>
        <v>.6309</v>
      </c>
      <c r="O52" t="str">
        <f>".6466"</f>
        <v>.6466</v>
      </c>
    </row>
    <row r="53" spans="1:15" x14ac:dyDescent="0.2">
      <c r="C53" t="str">
        <f>".1351"</f>
        <v>.1351</v>
      </c>
      <c r="D53" t="str">
        <f>".09971"</f>
        <v>.09971</v>
      </c>
      <c r="E53" t="str">
        <f>".09948"</f>
        <v>.09948</v>
      </c>
      <c r="F53" t="str">
        <f>".07021"</f>
        <v>.07021</v>
      </c>
      <c r="G53" t="str">
        <f>".05365"</f>
        <v>.05365</v>
      </c>
      <c r="H53" t="str">
        <f>".05459"</f>
        <v>.05459</v>
      </c>
      <c r="J53" t="str">
        <f>".08967"</f>
        <v>.08967</v>
      </c>
      <c r="K53" t="str">
        <f>".08148"</f>
        <v>.08148</v>
      </c>
      <c r="L53" t="str">
        <f>".07573"</f>
        <v>.07573</v>
      </c>
      <c r="M53" t="str">
        <f>".06723"</f>
        <v>.06723</v>
      </c>
      <c r="N53" t="str">
        <f>".04687"</f>
        <v>.04687</v>
      </c>
      <c r="O53" t="str">
        <f>".04587"</f>
        <v>.04587</v>
      </c>
    </row>
    <row r="54" spans="1:15" x14ac:dyDescent="0.2">
      <c r="A54" t="str">
        <f>"lnN_c"</f>
        <v>lnN_c</v>
      </c>
      <c r="C54" t="str">
        <f>"-.05672**"</f>
        <v>-.05672**</v>
      </c>
      <c r="D54" t="str">
        <f>".09099***"</f>
        <v>.09099***</v>
      </c>
      <c r="E54" t="str">
        <f>".102***"</f>
        <v>.102***</v>
      </c>
      <c r="F54" t="str">
        <f>"-.0121"</f>
        <v>-.0121</v>
      </c>
      <c r="G54" t="str">
        <f>".05962***"</f>
        <v>.05962***</v>
      </c>
      <c r="H54" t="str">
        <f>".06412***"</f>
        <v>.06412***</v>
      </c>
      <c r="J54" t="str">
        <f>"-.02661**"</f>
        <v>-.02661**</v>
      </c>
      <c r="K54" t="str">
        <f>".006249"</f>
        <v>.006249</v>
      </c>
      <c r="L54" t="str">
        <f>".02401"</f>
        <v>.02401</v>
      </c>
      <c r="M54" t="str">
        <f>"-.02441*"</f>
        <v>-.02441*</v>
      </c>
      <c r="N54" t="str">
        <f>".04645***"</f>
        <v>.04645***</v>
      </c>
      <c r="O54" t="str">
        <f>".05199***"</f>
        <v>.05199***</v>
      </c>
    </row>
    <row r="55" spans="1:15" x14ac:dyDescent="0.2">
      <c r="A55" t="str">
        <f>""</f>
        <v/>
      </c>
      <c r="C55" t="str">
        <f>"(.02424)"</f>
        <v>(.02424)</v>
      </c>
      <c r="D55" t="str">
        <f>"(.03014)"</f>
        <v>(.03014)</v>
      </c>
      <c r="E55" t="str">
        <f>"(.03535)"</f>
        <v>(.03535)</v>
      </c>
      <c r="F55" t="str">
        <f>"(.01315)"</f>
        <v>(.01315)</v>
      </c>
      <c r="G55" t="str">
        <f>"(.01484)"</f>
        <v>(.01484)</v>
      </c>
      <c r="H55" t="str">
        <f>"(.01878)"</f>
        <v>(.01878)</v>
      </c>
      <c r="J55" t="str">
        <f>"(.01181)"</f>
        <v>(.01181)</v>
      </c>
      <c r="K55" t="str">
        <f>"(.0218)"</f>
        <v>(.0218)</v>
      </c>
      <c r="L55" t="str">
        <f>"(.02358)"</f>
        <v>(.02358)</v>
      </c>
      <c r="M55" t="str">
        <f>"(.01367)"</f>
        <v>(.01367)</v>
      </c>
      <c r="N55" t="str">
        <f>"(.01067)"</f>
        <v>(.01067)</v>
      </c>
      <c r="O55" t="str">
        <f>"(.01637)"</f>
        <v>(.01637)</v>
      </c>
    </row>
    <row r="56" spans="1:15" x14ac:dyDescent="0.2">
      <c r="C56" t="str">
        <f>".07467"</f>
        <v>.07467</v>
      </c>
      <c r="D56" t="str">
        <f>".6638"</f>
        <v>.6638</v>
      </c>
      <c r="E56" t="str">
        <f>".669"</f>
        <v>.669</v>
      </c>
      <c r="F56" t="str">
        <f>"-.001243"</f>
        <v>-.001243</v>
      </c>
      <c r="G56" t="str">
        <f>".651"</f>
        <v>.651</v>
      </c>
      <c r="H56" t="str">
        <f>".646"</f>
        <v>.646</v>
      </c>
      <c r="J56" t="str">
        <f>".04555"</f>
        <v>.04555</v>
      </c>
      <c r="K56" t="str">
        <f>".1656"</f>
        <v>.1656</v>
      </c>
      <c r="L56" t="str">
        <f>".3033"</f>
        <v>.3033</v>
      </c>
      <c r="M56" t="str">
        <f>".05353"</f>
        <v>.05353</v>
      </c>
      <c r="N56" t="str">
        <f>".6841"</f>
        <v>.6841</v>
      </c>
      <c r="O56" t="str">
        <f>".7291"</f>
        <v>.7291</v>
      </c>
    </row>
    <row r="57" spans="1:15" x14ac:dyDescent="0.2">
      <c r="C57" t="str">
        <f>".1514"</f>
        <v>.1514</v>
      </c>
      <c r="D57" t="str">
        <f>".09127"</f>
        <v>.09127</v>
      </c>
      <c r="E57" t="str">
        <f>".09057"</f>
        <v>.09057</v>
      </c>
      <c r="F57" t="str">
        <f>".07995"</f>
        <v>.07995</v>
      </c>
      <c r="G57" t="str">
        <f>".0472"</f>
        <v>.0472</v>
      </c>
      <c r="H57" t="str">
        <f>".04754"</f>
        <v>.04754</v>
      </c>
      <c r="J57" t="str">
        <f>".08721"</f>
        <v>.08721</v>
      </c>
      <c r="K57" t="str">
        <f>".08155"</f>
        <v>.08155</v>
      </c>
      <c r="L57" t="str">
        <f>".07452"</f>
        <v>.07452</v>
      </c>
      <c r="M57" t="str">
        <f>".07506"</f>
        <v>.07506</v>
      </c>
      <c r="N57" t="str">
        <f>".04337"</f>
        <v>.04337</v>
      </c>
      <c r="O57" t="str">
        <f>".04016"</f>
        <v>.04016</v>
      </c>
    </row>
    <row r="58" spans="1:15" x14ac:dyDescent="0.2">
      <c r="A58" t="str">
        <f>"b_ajc_pj_hied"</f>
        <v>b_ajc_pj_hied</v>
      </c>
      <c r="B58" t="str">
        <f>"0.826"</f>
        <v>0.826</v>
      </c>
      <c r="F58" t="str">
        <f>".441***"</f>
        <v>.441***</v>
      </c>
      <c r="G58" t="str">
        <f>".4382***"</f>
        <v>.4382***</v>
      </c>
      <c r="H58" t="str">
        <f>".4413***"</f>
        <v>.4413***</v>
      </c>
      <c r="J58" t="str">
        <f>".3185***"</f>
        <v>.3185***</v>
      </c>
      <c r="K58" t="str">
        <f>".3479***"</f>
        <v>.3479***</v>
      </c>
      <c r="L58" t="str">
        <f>".3316***"</f>
        <v>.3316***</v>
      </c>
      <c r="M58" t="str">
        <f>".4281***"</f>
        <v>.4281***</v>
      </c>
      <c r="N58" t="str">
        <f>".3722***"</f>
        <v>.3722***</v>
      </c>
      <c r="O58" t="str">
        <f>".3563***"</f>
        <v>.3563***</v>
      </c>
    </row>
    <row r="59" spans="1:15" x14ac:dyDescent="0.2">
      <c r="B59" t="str">
        <f>"0.157"</f>
        <v>0.157</v>
      </c>
      <c r="F59" t="str">
        <f>"(.03994)"</f>
        <v>(.03994)</v>
      </c>
      <c r="G59" t="str">
        <f>"(.05019)"</f>
        <v>(.05019)</v>
      </c>
      <c r="H59" t="str">
        <f>"(.05189)"</f>
        <v>(.05189)</v>
      </c>
      <c r="J59" t="str">
        <f>"(.08824)"</f>
        <v>(.08824)</v>
      </c>
      <c r="K59" t="str">
        <f>"(.1321)"</f>
        <v>(.1321)</v>
      </c>
      <c r="L59" t="str">
        <f>"(.121)"</f>
        <v>(.121)</v>
      </c>
      <c r="M59" t="str">
        <f>"(.03919)"</f>
        <v>(.03919)</v>
      </c>
      <c r="N59" t="str">
        <f>"(.04636)"</f>
        <v>(.04636)</v>
      </c>
      <c r="O59" t="str">
        <f>"(.04101)"</f>
        <v>(.04101)</v>
      </c>
    </row>
    <row r="60" spans="1:15" x14ac:dyDescent="0.2">
      <c r="F60" t="str">
        <f>".7504"</f>
        <v>.7504</v>
      </c>
      <c r="G60" t="str">
        <f>".787"</f>
        <v>.787</v>
      </c>
      <c r="H60" t="str">
        <f>".783"</f>
        <v>.783</v>
      </c>
      <c r="J60" t="str">
        <f>".3034"</f>
        <v>.3034</v>
      </c>
      <c r="K60" t="str">
        <f>".337"</f>
        <v>.337</v>
      </c>
      <c r="L60" t="str">
        <f>".4412"</f>
        <v>.4412</v>
      </c>
      <c r="M60" t="str">
        <f>".7586"</f>
        <v>.7586</v>
      </c>
      <c r="N60" t="str">
        <f>".8147"</f>
        <v>.8147</v>
      </c>
      <c r="O60" t="str">
        <f>".8235"</f>
        <v>.8235</v>
      </c>
    </row>
    <row r="61" spans="1:15" x14ac:dyDescent="0.2">
      <c r="F61" t="str">
        <f>".03992"</f>
        <v>.03992</v>
      </c>
      <c r="G61" t="str">
        <f>".03688"</f>
        <v>.03688</v>
      </c>
      <c r="H61" t="str">
        <f>".03722"</f>
        <v>.03722</v>
      </c>
      <c r="J61" t="str">
        <f>".07451"</f>
        <v>.07451</v>
      </c>
      <c r="K61" t="str">
        <f>".07269"</f>
        <v>.07269</v>
      </c>
      <c r="L61" t="str">
        <f>".06673"</f>
        <v>.06673</v>
      </c>
      <c r="M61" t="str">
        <f>".03791"</f>
        <v>.03791</v>
      </c>
      <c r="N61" t="str">
        <f>".03321"</f>
        <v>.03321</v>
      </c>
      <c r="O61" t="str">
        <f>".03241"</f>
        <v>.03241</v>
      </c>
    </row>
    <row r="62" spans="1:15" x14ac:dyDescent="0.2">
      <c r="A62" t="str">
        <f>"b_ajc_pj_loed"</f>
        <v>b_ajc_pj_loed</v>
      </c>
      <c r="C62" t="str">
        <f>".9902***"</f>
        <v>.9902***</v>
      </c>
      <c r="D62" t="str">
        <f>".5957***"</f>
        <v>.5957***</v>
      </c>
      <c r="E62" t="str">
        <f>".6812***"</f>
        <v>.6812***</v>
      </c>
      <c r="F62" t="str">
        <f>".4838***"</f>
        <v>.4838***</v>
      </c>
      <c r="G62" t="str">
        <f>".2871**"</f>
        <v>.2871**</v>
      </c>
      <c r="H62" t="str">
        <f>".3495***"</f>
        <v>.3495***</v>
      </c>
      <c r="I62" t="str">
        <f>"0.729"</f>
        <v>0.729</v>
      </c>
      <c r="M62" t="str">
        <f>".5936***"</f>
        <v>.5936***</v>
      </c>
      <c r="N62" t="str">
        <f>".3676***"</f>
        <v>.3676***</v>
      </c>
      <c r="O62" t="str">
        <f>".3871***"</f>
        <v>.3871***</v>
      </c>
    </row>
    <row r="63" spans="1:15" x14ac:dyDescent="0.2">
      <c r="C63" t="str">
        <f>"(.1729)"</f>
        <v>(.1729)</v>
      </c>
      <c r="D63" t="str">
        <f>"(.145)"</f>
        <v>(.145)</v>
      </c>
      <c r="E63" t="str">
        <f>"(.1501)"</f>
        <v>(.1501)</v>
      </c>
      <c r="F63" t="str">
        <f>"(.1076)"</f>
        <v>(.1076)</v>
      </c>
      <c r="G63" t="str">
        <f>"(.1154)"</f>
        <v>(.1154)</v>
      </c>
      <c r="H63" t="str">
        <f>"(.08073)"</f>
        <v>(.08073)</v>
      </c>
      <c r="I63" t="str">
        <f>"0.0893"</f>
        <v>0.0893</v>
      </c>
      <c r="M63" t="str">
        <f>"(.09662)"</f>
        <v>(.09662)</v>
      </c>
      <c r="N63" t="str">
        <f>"(.08429)"</f>
        <v>(.08429)</v>
      </c>
      <c r="O63" t="str">
        <f>"(.06687)"</f>
        <v>(.06687)</v>
      </c>
    </row>
    <row r="64" spans="1:15" x14ac:dyDescent="0.2">
      <c r="C64" t="str">
        <f>".3034"</f>
        <v>.3034</v>
      </c>
      <c r="D64" t="str">
        <f>".6349"</f>
        <v>.6349</v>
      </c>
      <c r="E64" t="str">
        <f>".6308"</f>
        <v>.6308</v>
      </c>
      <c r="F64" t="str">
        <f>".2797"</f>
        <v>.2797</v>
      </c>
      <c r="G64" t="str">
        <f>".5298"</f>
        <v>.5298</v>
      </c>
      <c r="H64" t="str">
        <f>".5326"</f>
        <v>.5326</v>
      </c>
      <c r="M64" t="str">
        <f>".4625"</f>
        <v>.4625</v>
      </c>
      <c r="N64" t="str">
        <f>".7004"</f>
        <v>.7004</v>
      </c>
      <c r="O64" t="str">
        <f>".7163"</f>
        <v>.7163</v>
      </c>
    </row>
    <row r="65" spans="1:15" x14ac:dyDescent="0.2">
      <c r="C65" t="str">
        <f>".1314"</f>
        <v>.1314</v>
      </c>
      <c r="D65" t="str">
        <f>".09512"</f>
        <v>.09512</v>
      </c>
      <c r="E65" t="str">
        <f>".09564"</f>
        <v>.09564</v>
      </c>
      <c r="F65" t="str">
        <f>".06781"</f>
        <v>.06781</v>
      </c>
      <c r="G65" t="str">
        <f>".05479"</f>
        <v>.05479</v>
      </c>
      <c r="H65" t="str">
        <f>".05463"</f>
        <v>.05463</v>
      </c>
      <c r="M65" t="str">
        <f>".05657"</f>
        <v>.05657</v>
      </c>
      <c r="N65" t="str">
        <f>".04223"</f>
        <v>.04223</v>
      </c>
      <c r="O65" t="str">
        <f>".04109"</f>
        <v>.04109</v>
      </c>
    </row>
    <row r="66" spans="1:15" x14ac:dyDescent="0.2">
      <c r="A66" t="str">
        <f>"b_ajc_aj_hied"</f>
        <v>b_ajc_aj_hied</v>
      </c>
      <c r="B66" t="str">
        <f>"0.804"</f>
        <v>0.804</v>
      </c>
      <c r="C66" t="str">
        <f>"1.711***"</f>
        <v>1.711***</v>
      </c>
      <c r="D66" t="str">
        <f>"1.408***"</f>
        <v>1.408***</v>
      </c>
      <c r="E66" t="str">
        <f>"1.414***"</f>
        <v>1.414***</v>
      </c>
      <c r="J66" t="str">
        <f>".6039***"</f>
        <v>.6039***</v>
      </c>
      <c r="K66" t="str">
        <f>".5388**"</f>
        <v>.5388**</v>
      </c>
      <c r="L66" t="str">
        <f>".5454**"</f>
        <v>.5454**</v>
      </c>
      <c r="M66" t="str">
        <f>".862***"</f>
        <v>.862***</v>
      </c>
      <c r="N66" t="str">
        <f>".7191***"</f>
        <v>.7191***</v>
      </c>
      <c r="O66" t="str">
        <f>".7039***"</f>
        <v>.7039***</v>
      </c>
    </row>
    <row r="67" spans="1:15" x14ac:dyDescent="0.2">
      <c r="B67" t="str">
        <f>"0.0799"</f>
        <v>0.0799</v>
      </c>
      <c r="C67" t="str">
        <f>"(.1359)"</f>
        <v>(.1359)</v>
      </c>
      <c r="D67" t="str">
        <f>"(.2076)"</f>
        <v>(.2076)</v>
      </c>
      <c r="E67" t="str">
        <f>"(.2207)"</f>
        <v>(.2207)</v>
      </c>
      <c r="J67" t="str">
        <f>"(.1865)"</f>
        <v>(.1865)</v>
      </c>
      <c r="K67" t="str">
        <f>"(.2671)"</f>
        <v>(.2671)</v>
      </c>
      <c r="L67" t="str">
        <f>"(.2162)"</f>
        <v>(.2162)</v>
      </c>
      <c r="M67" t="str">
        <f>"(.07062)"</f>
        <v>(.07062)</v>
      </c>
      <c r="N67" t="str">
        <f>"(.08424)"</f>
        <v>(.08424)</v>
      </c>
      <c r="O67" t="str">
        <f>"(.07249)"</f>
        <v>(.07249)</v>
      </c>
    </row>
    <row r="68" spans="1:15" x14ac:dyDescent="0.2">
      <c r="C68" t="str">
        <f>".7504"</f>
        <v>.7504</v>
      </c>
      <c r="D68" t="str">
        <f>".8236"</f>
        <v>.8236</v>
      </c>
      <c r="E68" t="str">
        <f>".8208"</f>
        <v>.8208</v>
      </c>
      <c r="J68" t="str">
        <f>".2797"</f>
        <v>.2797</v>
      </c>
      <c r="K68" t="str">
        <f>".2931"</f>
        <v>.2931</v>
      </c>
      <c r="L68" t="str">
        <f>".4158"</f>
        <v>.4158</v>
      </c>
      <c r="M68" t="str">
        <f>".7933"</f>
        <v>.7933</v>
      </c>
      <c r="N68" t="str">
        <f>".8576"</f>
        <v>.8576</v>
      </c>
      <c r="O68" t="str">
        <f>".8784"</f>
        <v>.8784</v>
      </c>
    </row>
    <row r="69" spans="1:15" x14ac:dyDescent="0.2">
      <c r="C69" t="str">
        <f>".07864"</f>
        <v>.07864</v>
      </c>
      <c r="D69" t="str">
        <f>".06611"</f>
        <v>.06611</v>
      </c>
      <c r="E69" t="str">
        <f>".06663"</f>
        <v>.06663</v>
      </c>
      <c r="J69" t="str">
        <f>".07576"</f>
        <v>.07576</v>
      </c>
      <c r="K69" t="str">
        <f>".07506"</f>
        <v>.07506</v>
      </c>
      <c r="L69" t="str">
        <f>".06824"</f>
        <v>.06824</v>
      </c>
      <c r="M69" t="str">
        <f>".03508"</f>
        <v>.03508</v>
      </c>
      <c r="N69" t="str">
        <f>".02912"</f>
        <v>.02912</v>
      </c>
      <c r="O69" t="str">
        <f>".0269"</f>
        <v>.0269</v>
      </c>
    </row>
    <row r="70" spans="1:15" x14ac:dyDescent="0.2">
      <c r="A70" t="str">
        <f>"b_ajc_aj_loed"</f>
        <v>b_ajc_aj_loed</v>
      </c>
      <c r="C70" t="str">
        <f>"1.782***"</f>
        <v>1.782***</v>
      </c>
      <c r="D70" t="str">
        <f>"1.583***"</f>
        <v>1.583***</v>
      </c>
      <c r="E70" t="str">
        <f>"1.651***"</f>
        <v>1.651***</v>
      </c>
      <c r="F70" t="str">
        <f>".9244***"</f>
        <v>.9244***</v>
      </c>
      <c r="G70" t="str">
        <f>".9514***"</f>
        <v>.9514***</v>
      </c>
      <c r="H70" t="str">
        <f>"1.017***"</f>
        <v>1.017***</v>
      </c>
      <c r="I70" t="str">
        <f>"0.531"</f>
        <v>0.531</v>
      </c>
      <c r="J70" t="str">
        <f>".7947***"</f>
        <v>.7947***</v>
      </c>
      <c r="K70" t="str">
        <f>".9128***"</f>
        <v>.9128***</v>
      </c>
      <c r="L70" t="str">
        <f>".873***"</f>
        <v>.873***</v>
      </c>
    </row>
    <row r="71" spans="1:15" x14ac:dyDescent="0.2">
      <c r="C71" t="str">
        <f>"(.1341)"</f>
        <v>(.1341)</v>
      </c>
      <c r="D71" t="str">
        <f>"(.1849)"</f>
        <v>(.1849)</v>
      </c>
      <c r="E71" t="str">
        <f>"(.2298)"</f>
        <v>(.2298)</v>
      </c>
      <c r="F71" t="str">
        <f>"(.07266)"</f>
        <v>(.07266)</v>
      </c>
      <c r="G71" t="str">
        <f>"(.1092)"</f>
        <v>(.1092)</v>
      </c>
      <c r="H71" t="str">
        <f>"(.115)"</f>
        <v>(.115)</v>
      </c>
      <c r="I71" t="str">
        <f>"0.0772"</f>
        <v>0.0772</v>
      </c>
      <c r="J71" t="str">
        <f>"(.1563)"</f>
        <v>(.1563)</v>
      </c>
      <c r="K71" t="str">
        <f>"(.2782)"</f>
        <v>(.2782)</v>
      </c>
      <c r="L71" t="str">
        <f>"(.2728)"</f>
        <v>(.2728)</v>
      </c>
    </row>
    <row r="72" spans="1:15" x14ac:dyDescent="0.2">
      <c r="C72" t="str">
        <f>".7586"</f>
        <v>.7586</v>
      </c>
      <c r="D72" t="str">
        <f>".8107"</f>
        <v>.8107</v>
      </c>
      <c r="E72" t="str">
        <f>".8036"</f>
        <v>.8036</v>
      </c>
      <c r="F72" t="str">
        <f>".7933"</f>
        <v>.7933</v>
      </c>
      <c r="G72" t="str">
        <f>".8243"</f>
        <v>.8243</v>
      </c>
      <c r="H72" t="str">
        <f>".8361"</f>
        <v>.8361</v>
      </c>
      <c r="J72" t="str">
        <f>".4625"</f>
        <v>.4625</v>
      </c>
      <c r="K72" t="str">
        <f>".4444"</f>
        <v>.4444</v>
      </c>
      <c r="L72" t="str">
        <f>".5221"</f>
        <v>.5221</v>
      </c>
    </row>
    <row r="73" spans="1:15" x14ac:dyDescent="0.2">
      <c r="C73" t="str">
        <f>".07734"</f>
        <v>.07734</v>
      </c>
      <c r="D73" t="str">
        <f>".06849"</f>
        <v>.06849</v>
      </c>
      <c r="E73" t="str">
        <f>".06976"</f>
        <v>.06976</v>
      </c>
      <c r="F73" t="str">
        <f>".03633"</f>
        <v>.03633</v>
      </c>
      <c r="G73" t="str">
        <f>".03349"</f>
        <v>.03349</v>
      </c>
      <c r="H73" t="str">
        <f>".03234"</f>
        <v>.03234</v>
      </c>
      <c r="J73" t="str">
        <f>".06545"</f>
        <v>.06545</v>
      </c>
      <c r="K73" t="str">
        <f>".06654"</f>
        <v>.06654</v>
      </c>
      <c r="L73" t="str">
        <f>".06171"</f>
        <v>.06171</v>
      </c>
    </row>
    <row r="75" spans="1:15" x14ac:dyDescent="0.2">
      <c r="A75" t="str">
        <f>"Division-CZ dummies"</f>
        <v>Division-CZ dummies</v>
      </c>
      <c r="C75" t="str">
        <f>"No"</f>
        <v>No</v>
      </c>
      <c r="D75" t="str">
        <f>"Yes"</f>
        <v>Yes</v>
      </c>
      <c r="E75" t="str">
        <f>"Yes"</f>
        <v>Yes</v>
      </c>
      <c r="F75" t="str">
        <f>"No"</f>
        <v>No</v>
      </c>
      <c r="G75" t="str">
        <f>"Yes"</f>
        <v>Yes</v>
      </c>
      <c r="H75" t="str">
        <f>"Yes"</f>
        <v>Yes</v>
      </c>
      <c r="J75" t="str">
        <f>"No"</f>
        <v>No</v>
      </c>
      <c r="K75" t="str">
        <f>"Yes"</f>
        <v>Yes</v>
      </c>
      <c r="L75" t="str">
        <f>"Yes"</f>
        <v>Yes</v>
      </c>
      <c r="M75" t="str">
        <f>"No"</f>
        <v>No</v>
      </c>
      <c r="N75" t="str">
        <f>"Yes"</f>
        <v>Yes</v>
      </c>
      <c r="O75" t="str">
        <f>"Yes"</f>
        <v>Yes</v>
      </c>
    </row>
    <row r="76" spans="1:15" x14ac:dyDescent="0.2">
      <c r="A76" t="str">
        <f>"Region dummies"</f>
        <v>Region dummies</v>
      </c>
      <c r="C76" t="str">
        <f>"No"</f>
        <v>No</v>
      </c>
      <c r="D76" t="str">
        <f>"No"</f>
        <v>No</v>
      </c>
      <c r="E76" t="str">
        <f>"Yes"</f>
        <v>Yes</v>
      </c>
      <c r="F76" t="str">
        <f>"No"</f>
        <v>No</v>
      </c>
      <c r="G76" t="str">
        <f>"No"</f>
        <v>No</v>
      </c>
      <c r="H76" t="str">
        <f>"Yes"</f>
        <v>Yes</v>
      </c>
      <c r="J76" t="str">
        <f>"No"</f>
        <v>No</v>
      </c>
      <c r="K76" t="str">
        <f>"No"</f>
        <v>No</v>
      </c>
      <c r="L76" t="str">
        <f>"Yes"</f>
        <v>Yes</v>
      </c>
      <c r="M76" t="str">
        <f>"No"</f>
        <v>No</v>
      </c>
      <c r="N76" t="str">
        <f>"No"</f>
        <v>No</v>
      </c>
      <c r="O76" t="str">
        <f>"Yes"</f>
        <v>Yes</v>
      </c>
    </row>
    <row r="77" spans="1:15" x14ac:dyDescent="0.2">
      <c r="A77" t="str">
        <f>"N"</f>
        <v>N</v>
      </c>
      <c r="B77" s="7">
        <v>60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</sheetData>
  <mergeCells count="7">
    <mergeCell ref="B77:O77"/>
    <mergeCell ref="F4:H4"/>
    <mergeCell ref="M4:O4"/>
    <mergeCell ref="B3:H3"/>
    <mergeCell ref="C4:E4"/>
    <mergeCell ref="J4:L4"/>
    <mergeCell ref="I3:O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4DA3-448B-49DF-8980-6EED13AE5E40}">
  <dimension ref="A1:CA64"/>
  <sheetViews>
    <sheetView zoomScale="86" zoomScaleNormal="86" workbookViewId="0">
      <pane xSplit="1" topLeftCell="B1" activePane="topRight" state="frozen"/>
      <selection pane="topRight"/>
    </sheetView>
  </sheetViews>
  <sheetFormatPr baseColWidth="10" defaultColWidth="11.5" defaultRowHeight="15" x14ac:dyDescent="0.2"/>
  <cols>
    <col min="1" max="1" width="20.83203125" bestFit="1" customWidth="1"/>
  </cols>
  <sheetData>
    <row r="1" spans="1:79" x14ac:dyDescent="0.2">
      <c r="A1" t="str">
        <f>"Output 10b - Multivariate Regressions, by Education Subgroup"</f>
        <v>Output 10b - Multivariate Regressions, by Education Subgroup</v>
      </c>
    </row>
    <row r="2" spans="1:79" s="1" customFormat="1" x14ac:dyDescent="0.2">
      <c r="A2" s="1" t="str">
        <f>""</f>
        <v/>
      </c>
      <c r="B2" s="1" t="str">
        <f>"(1)"</f>
        <v>(1)</v>
      </c>
      <c r="C2" s="1" t="str">
        <f>"(2)"</f>
        <v>(2)</v>
      </c>
      <c r="D2" s="1" t="str">
        <f>"(3)"</f>
        <v>(3)</v>
      </c>
      <c r="E2" s="1" t="str">
        <f>"(4)"</f>
        <v>(4)</v>
      </c>
      <c r="F2" s="1" t="str">
        <f>"(5)"</f>
        <v>(5)</v>
      </c>
      <c r="G2" s="1" t="str">
        <f>"(6)"</f>
        <v>(6)</v>
      </c>
      <c r="H2" s="1" t="str">
        <f>"(7)"</f>
        <v>(7)</v>
      </c>
      <c r="I2" s="1" t="str">
        <f>"(8)"</f>
        <v>(8)</v>
      </c>
      <c r="J2" s="1" t="str">
        <f>"(9)"</f>
        <v>(9)</v>
      </c>
      <c r="K2" s="1" t="str">
        <f>"(10)"</f>
        <v>(10)</v>
      </c>
      <c r="L2" s="1" t="str">
        <f>"(11)"</f>
        <v>(11)</v>
      </c>
      <c r="M2" s="1" t="str">
        <f>"(12)"</f>
        <v>(12)</v>
      </c>
      <c r="N2" s="1" t="str">
        <f>"(13)"</f>
        <v>(13)</v>
      </c>
      <c r="O2" s="1" t="str">
        <f>"(14)"</f>
        <v>(14)</v>
      </c>
      <c r="P2" s="1" t="str">
        <f>"(15)"</f>
        <v>(15)</v>
      </c>
      <c r="Q2" s="1" t="str">
        <f>"(16)"</f>
        <v>(16)</v>
      </c>
      <c r="R2" s="1" t="str">
        <f>"(17)"</f>
        <v>(17)</v>
      </c>
      <c r="S2" s="1" t="str">
        <f>"(18)"</f>
        <v>(18)</v>
      </c>
      <c r="T2" s="1" t="str">
        <f>"(19)"</f>
        <v>(19)</v>
      </c>
      <c r="U2" s="1" t="str">
        <f>"(20)"</f>
        <v>(20)</v>
      </c>
      <c r="V2" s="1" t="str">
        <f>"(21)"</f>
        <v>(21)</v>
      </c>
      <c r="W2" s="1" t="str">
        <f>"(22)"</f>
        <v>(22)</v>
      </c>
      <c r="X2" s="1" t="str">
        <f>"(23)"</f>
        <v>(23)</v>
      </c>
      <c r="Y2" s="1" t="str">
        <f>"(24)"</f>
        <v>(24)</v>
      </c>
      <c r="Z2" s="1" t="str">
        <f>"(25)"</f>
        <v>(25)</v>
      </c>
      <c r="AA2" s="1" t="str">
        <f>"(26)"</f>
        <v>(26)</v>
      </c>
      <c r="AB2" s="1" t="str">
        <f>"(27)"</f>
        <v>(27)</v>
      </c>
      <c r="AC2" s="1" t="str">
        <f>"(28)"</f>
        <v>(28)</v>
      </c>
      <c r="AD2" s="1" t="str">
        <f>"(29)"</f>
        <v>(29)</v>
      </c>
      <c r="AE2" s="1" t="str">
        <f>"(30)"</f>
        <v>(30)</v>
      </c>
      <c r="AF2" s="1" t="str">
        <f>"(31)"</f>
        <v>(31)</v>
      </c>
      <c r="AG2" s="1" t="str">
        <f>"(32)"</f>
        <v>(32)</v>
      </c>
      <c r="AH2" s="1" t="str">
        <f>"(33)"</f>
        <v>(33)</v>
      </c>
      <c r="AI2" s="1" t="str">
        <f>"(34)"</f>
        <v>(34)</v>
      </c>
      <c r="AJ2" s="1" t="str">
        <f>"(35)"</f>
        <v>(35)</v>
      </c>
      <c r="AK2" s="1" t="str">
        <f>"(36)"</f>
        <v>(36)</v>
      </c>
      <c r="AL2" s="1" t="str">
        <f>"(37)"</f>
        <v>(37)</v>
      </c>
      <c r="AM2" s="1" t="str">
        <f>"(38)"</f>
        <v>(38)</v>
      </c>
      <c r="AN2" s="1" t="str">
        <f>"(39)"</f>
        <v>(39)</v>
      </c>
      <c r="AO2" s="1" t="str">
        <f>"(40)"</f>
        <v>(40)</v>
      </c>
      <c r="AP2" s="1" t="str">
        <f>"(41)"</f>
        <v>(41)</v>
      </c>
      <c r="AQ2" s="1" t="str">
        <f>"(42)"</f>
        <v>(42)</v>
      </c>
      <c r="AR2" s="1" t="str">
        <f>"(43)"</f>
        <v>(43)</v>
      </c>
      <c r="AS2" s="1" t="str">
        <f>"(44)"</f>
        <v>(44)</v>
      </c>
      <c r="AT2" s="1" t="str">
        <f>"(45)"</f>
        <v>(45)</v>
      </c>
      <c r="AU2" s="1" t="str">
        <f>"(46)"</f>
        <v>(46)</v>
      </c>
      <c r="AV2" s="1" t="str">
        <f>"(47)"</f>
        <v>(47)</v>
      </c>
      <c r="AW2" s="1" t="str">
        <f>"(48)"</f>
        <v>(48)</v>
      </c>
      <c r="AX2" s="1" t="str">
        <f>"(49)"</f>
        <v>(49)</v>
      </c>
      <c r="AY2" s="1" t="str">
        <f>"(50)"</f>
        <v>(50)</v>
      </c>
      <c r="AZ2" s="1" t="str">
        <f>"(51)"</f>
        <v>(51)</v>
      </c>
      <c r="BA2" s="1" t="str">
        <f>"(52)"</f>
        <v>(52)</v>
      </c>
      <c r="BB2" s="1" t="str">
        <f>"(53)"</f>
        <v>(53)</v>
      </c>
      <c r="BC2" s="1" t="str">
        <f>"(54)"</f>
        <v>(54)</v>
      </c>
      <c r="BD2" s="1" t="str">
        <f>"(55)"</f>
        <v>(55)</v>
      </c>
      <c r="BE2" s="1" t="str">
        <f>"(56)"</f>
        <v>(56)</v>
      </c>
      <c r="BF2" s="1" t="str">
        <f>"(57)"</f>
        <v>(57)</v>
      </c>
      <c r="BG2" s="1" t="str">
        <f>"(58)"</f>
        <v>(58)</v>
      </c>
      <c r="BH2" s="1" t="str">
        <f>"(59)"</f>
        <v>(59)</v>
      </c>
      <c r="BI2" s="1" t="str">
        <f>"(60)"</f>
        <v>(60)</v>
      </c>
      <c r="BJ2" s="1" t="str">
        <f>"(61)"</f>
        <v>(61)</v>
      </c>
      <c r="BK2" s="1" t="str">
        <f>"(62)"</f>
        <v>(62)</v>
      </c>
      <c r="BL2" s="1" t="str">
        <f>"(63)"</f>
        <v>(63)</v>
      </c>
      <c r="BM2" s="1" t="str">
        <f>"(64)"</f>
        <v>(64)</v>
      </c>
      <c r="BN2" s="1" t="str">
        <f>"(65)"</f>
        <v>(65)</v>
      </c>
      <c r="BO2" s="1" t="str">
        <f>"(66)"</f>
        <v>(66)</v>
      </c>
      <c r="BP2" s="1" t="str">
        <f>"(67)"</f>
        <v>(67)</v>
      </c>
      <c r="BQ2" s="1" t="str">
        <f>"(68)"</f>
        <v>(68)</v>
      </c>
      <c r="BR2" s="1" t="str">
        <f>"(69)"</f>
        <v>(69)</v>
      </c>
      <c r="BS2" s="1" t="str">
        <f>"(70)"</f>
        <v>(70)</v>
      </c>
      <c r="BT2" s="1" t="str">
        <f>"(71)"</f>
        <v>(71)</v>
      </c>
      <c r="BU2" s="1" t="str">
        <f>"(72)"</f>
        <v>(72)</v>
      </c>
      <c r="BV2" s="1" t="str">
        <f>"(73)"</f>
        <v>(73)</v>
      </c>
      <c r="BW2" s="1" t="str">
        <f>"(74)"</f>
        <v>(74)</v>
      </c>
      <c r="BX2" s="1" t="str">
        <f>"(75)"</f>
        <v>(75)</v>
      </c>
      <c r="BY2" s="1" t="str">
        <f>"(76)"</f>
        <v>(76)</v>
      </c>
      <c r="BZ2" s="1" t="str">
        <f>"(77)"</f>
        <v>(77)</v>
      </c>
      <c r="CA2" s="1" t="str">
        <f>"(78)"</f>
        <v>(78)</v>
      </c>
    </row>
    <row r="3" spans="1:79" s="1" customFormat="1" x14ac:dyDescent="0.2">
      <c r="A3" s="1" t="str">
        <f>""</f>
        <v/>
      </c>
      <c r="B3" s="7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 t="s">
        <v>9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</row>
    <row r="4" spans="1:79" x14ac:dyDescent="0.2">
      <c r="A4" t="str">
        <f>""</f>
        <v/>
      </c>
      <c r="B4" s="7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 t="s">
        <v>6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</row>
    <row r="6" spans="1:79" x14ac:dyDescent="0.2">
      <c r="A6" t="str">
        <f>"alpha_c"</f>
        <v>alpha_c</v>
      </c>
      <c r="B6" t="str">
        <f>".4505*"</f>
        <v>.4505*</v>
      </c>
      <c r="C6" t="str">
        <f>".3052"</f>
        <v>.3052</v>
      </c>
      <c r="D6" t="str">
        <f>".3853*"</f>
        <v>.3853*</v>
      </c>
      <c r="E6" t="str">
        <f>""</f>
        <v/>
      </c>
      <c r="F6" t="str">
        <f>""</f>
        <v/>
      </c>
      <c r="G6" t="str">
        <f>""</f>
        <v/>
      </c>
      <c r="H6" t="str">
        <f>""</f>
        <v/>
      </c>
      <c r="I6" t="str">
        <f>""</f>
        <v/>
      </c>
      <c r="J6" t="str">
        <f>""</f>
        <v/>
      </c>
      <c r="K6" t="str">
        <f>""</f>
        <v/>
      </c>
      <c r="L6" t="str">
        <f>""</f>
        <v/>
      </c>
      <c r="M6" t="str">
        <f>""</f>
        <v/>
      </c>
      <c r="N6" t="str">
        <f>".9894***"</f>
        <v>.9894***</v>
      </c>
      <c r="O6" t="str">
        <f>".7241***"</f>
        <v>.7241***</v>
      </c>
      <c r="P6" t="str">
        <f>".7608***"</f>
        <v>.7608***</v>
      </c>
      <c r="Q6" t="str">
        <f>".9401***"</f>
        <v>.9401***</v>
      </c>
      <c r="R6" t="str">
        <f>".734***"</f>
        <v>.734***</v>
      </c>
      <c r="S6" t="str">
        <f>".8067***"</f>
        <v>.8067***</v>
      </c>
      <c r="T6" t="str">
        <f>""</f>
        <v/>
      </c>
      <c r="U6" t="str">
        <f>""</f>
        <v/>
      </c>
      <c r="V6" t="str">
        <f>""</f>
        <v/>
      </c>
      <c r="W6" t="str">
        <f>".992***"</f>
        <v>.992***</v>
      </c>
      <c r="X6" t="str">
        <f>".7567***"</f>
        <v>.7567***</v>
      </c>
      <c r="Y6" t="str">
        <f>".7717***"</f>
        <v>.7717***</v>
      </c>
      <c r="Z6" t="str">
        <f>""</f>
        <v/>
      </c>
      <c r="AA6" t="str">
        <f>""</f>
        <v/>
      </c>
      <c r="AB6" t="str">
        <f>""</f>
        <v/>
      </c>
      <c r="AC6" t="str">
        <f>""</f>
        <v/>
      </c>
      <c r="AD6" t="str">
        <f>""</f>
        <v/>
      </c>
      <c r="AE6" t="str">
        <f>""</f>
        <v/>
      </c>
      <c r="AF6" t="str">
        <f>""</f>
        <v/>
      </c>
      <c r="AG6" t="str">
        <f>""</f>
        <v/>
      </c>
      <c r="AH6" t="str">
        <f>""</f>
        <v/>
      </c>
      <c r="AI6" t="str">
        <f>""</f>
        <v/>
      </c>
      <c r="AJ6" t="str">
        <f>""</f>
        <v/>
      </c>
      <c r="AK6" t="str">
        <f>""</f>
        <v/>
      </c>
      <c r="AL6" t="str">
        <f>""</f>
        <v/>
      </c>
      <c r="AM6" t="str">
        <f>""</f>
        <v/>
      </c>
      <c r="AN6" t="str">
        <f>""</f>
        <v/>
      </c>
      <c r="AO6" t="str">
        <f>"-.06284"</f>
        <v>-.06284</v>
      </c>
      <c r="AP6" t="str">
        <f>"-.05269"</f>
        <v>-.05269</v>
      </c>
      <c r="AQ6" t="str">
        <f>".1785"</f>
        <v>.1785</v>
      </c>
      <c r="AR6" t="str">
        <f>""</f>
        <v/>
      </c>
      <c r="AS6" t="str">
        <f>""</f>
        <v/>
      </c>
      <c r="AT6" t="str">
        <f>""</f>
        <v/>
      </c>
      <c r="AU6" t="str">
        <f>""</f>
        <v/>
      </c>
      <c r="AV6" t="str">
        <f>""</f>
        <v/>
      </c>
      <c r="AW6" t="str">
        <f>""</f>
        <v/>
      </c>
      <c r="AX6" t="str">
        <f>""</f>
        <v/>
      </c>
      <c r="AY6" t="str">
        <f>""</f>
        <v/>
      </c>
      <c r="AZ6" t="str">
        <f>""</f>
        <v/>
      </c>
      <c r="BA6" t="str">
        <f>".3153*"</f>
        <v>.3153*</v>
      </c>
      <c r="BB6" t="str">
        <f>".1547"</f>
        <v>.1547</v>
      </c>
      <c r="BC6" t="str">
        <f>".1916"</f>
        <v>.1916</v>
      </c>
      <c r="BD6" t="str">
        <f>".3153**"</f>
        <v>.3153**</v>
      </c>
      <c r="BE6" t="str">
        <f>".2791"</f>
        <v>.2791</v>
      </c>
      <c r="BF6" t="str">
        <f>".366**"</f>
        <v>.366**</v>
      </c>
      <c r="BG6" t="str">
        <f>""</f>
        <v/>
      </c>
      <c r="BH6" t="str">
        <f>""</f>
        <v/>
      </c>
      <c r="BI6" t="str">
        <f>""</f>
        <v/>
      </c>
      <c r="BJ6" t="str">
        <f>".3652**"</f>
        <v>.3652**</v>
      </c>
      <c r="BK6" t="str">
        <f>".3391"</f>
        <v>.3391</v>
      </c>
      <c r="BL6" t="str">
        <f>".3494*"</f>
        <v>.3494*</v>
      </c>
      <c r="BM6" t="str">
        <f>""</f>
        <v/>
      </c>
      <c r="BN6" t="str">
        <f>""</f>
        <v/>
      </c>
      <c r="BO6" t="str">
        <f>""</f>
        <v/>
      </c>
      <c r="BP6" t="str">
        <f>""</f>
        <v/>
      </c>
      <c r="BQ6" t="str">
        <f>""</f>
        <v/>
      </c>
      <c r="BR6" t="str">
        <f>""</f>
        <v/>
      </c>
      <c r="BS6" t="str">
        <f>""</f>
        <v/>
      </c>
      <c r="BT6" t="str">
        <f>""</f>
        <v/>
      </c>
      <c r="BU6" t="str">
        <f>""</f>
        <v/>
      </c>
      <c r="BV6" t="str">
        <f>""</f>
        <v/>
      </c>
      <c r="BW6" t="str">
        <f>""</f>
        <v/>
      </c>
      <c r="BX6" t="str">
        <f>""</f>
        <v/>
      </c>
      <c r="BY6" t="str">
        <f>""</f>
        <v/>
      </c>
      <c r="BZ6" t="str">
        <f>""</f>
        <v/>
      </c>
      <c r="CA6" t="str">
        <f>""</f>
        <v/>
      </c>
    </row>
    <row r="7" spans="1:79" x14ac:dyDescent="0.2">
      <c r="A7" t="str">
        <f>""</f>
        <v/>
      </c>
      <c r="B7" t="str">
        <f>"(.2392)"</f>
        <v>(.2392)</v>
      </c>
      <c r="C7" t="str">
        <f>"(.2612)"</f>
        <v>(.2612)</v>
      </c>
      <c r="D7" t="str">
        <f>"(.2321)"</f>
        <v>(.2321)</v>
      </c>
      <c r="E7" t="str">
        <f>""</f>
        <v/>
      </c>
      <c r="F7" t="str">
        <f>""</f>
        <v/>
      </c>
      <c r="G7" t="str">
        <f>""</f>
        <v/>
      </c>
      <c r="H7" t="str">
        <f>""</f>
        <v/>
      </c>
      <c r="I7" t="str">
        <f>""</f>
        <v/>
      </c>
      <c r="J7" t="str">
        <f>""</f>
        <v/>
      </c>
      <c r="K7" t="str">
        <f>""</f>
        <v/>
      </c>
      <c r="L7" t="str">
        <f>""</f>
        <v/>
      </c>
      <c r="M7" t="str">
        <f>""</f>
        <v/>
      </c>
      <c r="N7" t="str">
        <f>"(.1798)"</f>
        <v>(.1798)</v>
      </c>
      <c r="O7" t="str">
        <f>"(.2401)"</f>
        <v>(.2401)</v>
      </c>
      <c r="P7" t="str">
        <f>"(.1426)"</f>
        <v>(.1426)</v>
      </c>
      <c r="Q7" t="str">
        <f>"(.1152)"</f>
        <v>(.1152)</v>
      </c>
      <c r="R7" t="str">
        <f>"(.2158)"</f>
        <v>(.2158)</v>
      </c>
      <c r="S7" t="str">
        <f>"(.2088)"</f>
        <v>(.2088)</v>
      </c>
      <c r="T7" t="str">
        <f>""</f>
        <v/>
      </c>
      <c r="U7" t="str">
        <f>""</f>
        <v/>
      </c>
      <c r="V7" t="str">
        <f>""</f>
        <v/>
      </c>
      <c r="W7" t="str">
        <f>"(.1241)"</f>
        <v>(.1241)</v>
      </c>
      <c r="X7" t="str">
        <f>"(.2111)"</f>
        <v>(.2111)</v>
      </c>
      <c r="Y7" t="str">
        <f>"(.1983)"</f>
        <v>(.1983)</v>
      </c>
      <c r="Z7" t="str">
        <f>""</f>
        <v/>
      </c>
      <c r="AA7" t="str">
        <f>""</f>
        <v/>
      </c>
      <c r="AB7" t="str">
        <f>""</f>
        <v/>
      </c>
      <c r="AC7" t="str">
        <f>""</f>
        <v/>
      </c>
      <c r="AD7" t="str">
        <f>""</f>
        <v/>
      </c>
      <c r="AE7" t="str">
        <f>""</f>
        <v/>
      </c>
      <c r="AF7" t="str">
        <f>""</f>
        <v/>
      </c>
      <c r="AG7" t="str">
        <f>""</f>
        <v/>
      </c>
      <c r="AH7" t="str">
        <f>""</f>
        <v/>
      </c>
      <c r="AI7" t="str">
        <f>""</f>
        <v/>
      </c>
      <c r="AJ7" t="str">
        <f>""</f>
        <v/>
      </c>
      <c r="AK7" t="str">
        <f>""</f>
        <v/>
      </c>
      <c r="AL7" t="str">
        <f>""</f>
        <v/>
      </c>
      <c r="AM7" t="str">
        <f>""</f>
        <v/>
      </c>
      <c r="AN7" t="str">
        <f>""</f>
        <v/>
      </c>
      <c r="AO7" t="str">
        <f>"(.2352)"</f>
        <v>(.2352)</v>
      </c>
      <c r="AP7" t="str">
        <f>"(.3046)"</f>
        <v>(.3046)</v>
      </c>
      <c r="AQ7" t="str">
        <f>"(.2403)"</f>
        <v>(.2403)</v>
      </c>
      <c r="AR7" t="str">
        <f>""</f>
        <v/>
      </c>
      <c r="AS7" t="str">
        <f>""</f>
        <v/>
      </c>
      <c r="AT7" t="str">
        <f>""</f>
        <v/>
      </c>
      <c r="AU7" t="str">
        <f>""</f>
        <v/>
      </c>
      <c r="AV7" t="str">
        <f>""</f>
        <v/>
      </c>
      <c r="AW7" t="str">
        <f>""</f>
        <v/>
      </c>
      <c r="AX7" t="str">
        <f>""</f>
        <v/>
      </c>
      <c r="AY7" t="str">
        <f>""</f>
        <v/>
      </c>
      <c r="AZ7" t="str">
        <f>""</f>
        <v/>
      </c>
      <c r="BA7" t="str">
        <f>"(.1692)"</f>
        <v>(.1692)</v>
      </c>
      <c r="BB7" t="str">
        <f>"(.2473)"</f>
        <v>(.2473)</v>
      </c>
      <c r="BC7" t="str">
        <f>"(.1331)"</f>
        <v>(.1331)</v>
      </c>
      <c r="BD7" t="str">
        <f>"(.1255)"</f>
        <v>(.1255)</v>
      </c>
      <c r="BE7" t="str">
        <f>"(.2086)"</f>
        <v>(.2086)</v>
      </c>
      <c r="BF7" t="str">
        <f>"(.1756)"</f>
        <v>(.1756)</v>
      </c>
      <c r="BG7" t="str">
        <f>""</f>
        <v/>
      </c>
      <c r="BH7" t="str">
        <f>""</f>
        <v/>
      </c>
      <c r="BI7" t="str">
        <f>""</f>
        <v/>
      </c>
      <c r="BJ7" t="str">
        <f>"(.1422)"</f>
        <v>(.1422)</v>
      </c>
      <c r="BK7" t="str">
        <f>"(.231)"</f>
        <v>(.231)</v>
      </c>
      <c r="BL7" t="str">
        <f>"(.1942)"</f>
        <v>(.1942)</v>
      </c>
      <c r="BM7" t="str">
        <f>""</f>
        <v/>
      </c>
      <c r="BN7" t="str">
        <f>""</f>
        <v/>
      </c>
      <c r="BO7" t="str">
        <f>""</f>
        <v/>
      </c>
      <c r="BP7" t="str">
        <f>""</f>
        <v/>
      </c>
      <c r="BQ7" t="str">
        <f>""</f>
        <v/>
      </c>
      <c r="BR7" t="str">
        <f>""</f>
        <v/>
      </c>
      <c r="BS7" t="str">
        <f>""</f>
        <v/>
      </c>
      <c r="BT7" t="str">
        <f>""</f>
        <v/>
      </c>
      <c r="BU7" t="str">
        <f>""</f>
        <v/>
      </c>
      <c r="BV7" t="str">
        <f>""</f>
        <v/>
      </c>
      <c r="BW7" t="str">
        <f>""</f>
        <v/>
      </c>
      <c r="BX7" t="str">
        <f>""</f>
        <v/>
      </c>
      <c r="BY7" t="str">
        <f>""</f>
        <v/>
      </c>
      <c r="BZ7" t="str">
        <f>""</f>
        <v/>
      </c>
      <c r="CA7" t="str">
        <f>""</f>
        <v/>
      </c>
    </row>
    <row r="8" spans="1:79" x14ac:dyDescent="0.2">
      <c r="A8" t="str">
        <f>"Ealpha_c"</f>
        <v>Ealpha_c</v>
      </c>
      <c r="B8" t="str">
        <f>"2.694***"</f>
        <v>2.694***</v>
      </c>
      <c r="C8" t="str">
        <f>"2.566***"</f>
        <v>2.566***</v>
      </c>
      <c r="D8" t="str">
        <f>"2.415***"</f>
        <v>2.415***</v>
      </c>
      <c r="E8" t="str">
        <f>""</f>
        <v/>
      </c>
      <c r="F8" t="str">
        <f>""</f>
        <v/>
      </c>
      <c r="G8" t="str">
        <f>""</f>
        <v/>
      </c>
      <c r="H8" t="str">
        <f>""</f>
        <v/>
      </c>
      <c r="I8" t="str">
        <f>""</f>
        <v/>
      </c>
      <c r="J8" t="str">
        <f>""</f>
        <v/>
      </c>
      <c r="K8" t="str">
        <f>""</f>
        <v/>
      </c>
      <c r="L8" t="str">
        <f>""</f>
        <v/>
      </c>
      <c r="M8" t="str">
        <f>""</f>
        <v/>
      </c>
      <c r="N8" t="str">
        <f>""</f>
        <v/>
      </c>
      <c r="O8" t="str">
        <f>""</f>
        <v/>
      </c>
      <c r="P8" t="str">
        <f>""</f>
        <v/>
      </c>
      <c r="Q8" t="str">
        <f>""</f>
        <v/>
      </c>
      <c r="R8" t="str">
        <f>""</f>
        <v/>
      </c>
      <c r="S8" t="str">
        <f>""</f>
        <v/>
      </c>
      <c r="T8" t="str">
        <f>""</f>
        <v/>
      </c>
      <c r="U8" t="str">
        <f>""</f>
        <v/>
      </c>
      <c r="V8" t="str">
        <f>""</f>
        <v/>
      </c>
      <c r="W8" t="str">
        <f>""</f>
        <v/>
      </c>
      <c r="X8" t="str">
        <f>""</f>
        <v/>
      </c>
      <c r="Y8" t="str">
        <f>""</f>
        <v/>
      </c>
      <c r="Z8" t="str">
        <f>"4.709***"</f>
        <v>4.709***</v>
      </c>
      <c r="AA8" t="str">
        <f>"3.625***"</f>
        <v>3.625***</v>
      </c>
      <c r="AB8" t="str">
        <f>"3.9***"</f>
        <v>3.9***</v>
      </c>
      <c r="AC8" t="str">
        <f>"3.401***"</f>
        <v>3.401***</v>
      </c>
      <c r="AD8" t="str">
        <f>"3.129**"</f>
        <v>3.129**</v>
      </c>
      <c r="AE8" t="str">
        <f>"3.325***"</f>
        <v>3.325***</v>
      </c>
      <c r="AF8" t="str">
        <f>"2.645***"</f>
        <v>2.645***</v>
      </c>
      <c r="AG8" t="str">
        <f>"2.194**"</f>
        <v>2.194**</v>
      </c>
      <c r="AH8" t="str">
        <f>"2.52**"</f>
        <v>2.52**</v>
      </c>
      <c r="AI8" t="str">
        <f>""</f>
        <v/>
      </c>
      <c r="AJ8" t="str">
        <f>""</f>
        <v/>
      </c>
      <c r="AK8" t="str">
        <f>""</f>
        <v/>
      </c>
      <c r="AL8" t="str">
        <f>"2.638***"</f>
        <v>2.638***</v>
      </c>
      <c r="AM8" t="str">
        <f>"2.284**"</f>
        <v>2.284**</v>
      </c>
      <c r="AN8" t="str">
        <f>"2.499**"</f>
        <v>2.499**</v>
      </c>
      <c r="AO8" t="str">
        <f>"1.487*"</f>
        <v>1.487*</v>
      </c>
      <c r="AP8" t="str">
        <f>".8524"</f>
        <v>.8524</v>
      </c>
      <c r="AQ8" t="str">
        <f>".2657"</f>
        <v>.2657</v>
      </c>
      <c r="AR8" t="str">
        <f>""</f>
        <v/>
      </c>
      <c r="AS8" t="str">
        <f>""</f>
        <v/>
      </c>
      <c r="AT8" t="str">
        <f>""</f>
        <v/>
      </c>
      <c r="AU8" t="str">
        <f>""</f>
        <v/>
      </c>
      <c r="AV8" t="str">
        <f>""</f>
        <v/>
      </c>
      <c r="AW8" t="str">
        <f>""</f>
        <v/>
      </c>
      <c r="AX8" t="str">
        <f>""</f>
        <v/>
      </c>
      <c r="AY8" t="str">
        <f>""</f>
        <v/>
      </c>
      <c r="AZ8" t="str">
        <f>""</f>
        <v/>
      </c>
      <c r="BA8" t="str">
        <f>""</f>
        <v/>
      </c>
      <c r="BB8" t="str">
        <f>""</f>
        <v/>
      </c>
      <c r="BC8" t="str">
        <f>""</f>
        <v/>
      </c>
      <c r="BD8" t="str">
        <f>""</f>
        <v/>
      </c>
      <c r="BE8" t="str">
        <f>""</f>
        <v/>
      </c>
      <c r="BF8" t="str">
        <f>""</f>
        <v/>
      </c>
      <c r="BG8" t="str">
        <f>""</f>
        <v/>
      </c>
      <c r="BH8" t="str">
        <f>""</f>
        <v/>
      </c>
      <c r="BI8" t="str">
        <f>""</f>
        <v/>
      </c>
      <c r="BJ8" t="str">
        <f>""</f>
        <v/>
      </c>
      <c r="BK8" t="str">
        <f>""</f>
        <v/>
      </c>
      <c r="BL8" t="str">
        <f>""</f>
        <v/>
      </c>
      <c r="BM8" t="str">
        <f>".825*"</f>
        <v>.825*</v>
      </c>
      <c r="BN8" t="str">
        <f>"-1.033"</f>
        <v>-1.033</v>
      </c>
      <c r="BO8" t="str">
        <f>"-.9943"</f>
        <v>-.9943</v>
      </c>
      <c r="BP8" t="str">
        <f>"2.482**"</f>
        <v>2.482**</v>
      </c>
      <c r="BQ8" t="str">
        <f>"1.833"</f>
        <v>1.833</v>
      </c>
      <c r="BR8" t="str">
        <f>"1.962"</f>
        <v>1.962</v>
      </c>
      <c r="BS8" t="str">
        <f>".347"</f>
        <v>.347</v>
      </c>
      <c r="BT8" t="str">
        <f>"-1.266"</f>
        <v>-1.266</v>
      </c>
      <c r="BU8" t="str">
        <f>"-1.567"</f>
        <v>-1.567</v>
      </c>
      <c r="BV8" t="str">
        <f>""</f>
        <v/>
      </c>
      <c r="BW8" t="str">
        <f>""</f>
        <v/>
      </c>
      <c r="BX8" t="str">
        <f>""</f>
        <v/>
      </c>
      <c r="BY8" t="str">
        <f>".2195"</f>
        <v>.2195</v>
      </c>
      <c r="BZ8" t="str">
        <f>"-1.202"</f>
        <v>-1.202</v>
      </c>
      <c r="CA8" t="str">
        <f>"-1.391"</f>
        <v>-1.391</v>
      </c>
    </row>
    <row r="9" spans="1:79" x14ac:dyDescent="0.2">
      <c r="A9" t="str">
        <f>""</f>
        <v/>
      </c>
      <c r="B9" t="str">
        <f>"(.8809)"</f>
        <v>(.8809)</v>
      </c>
      <c r="C9" t="str">
        <f>"(.9339)"</f>
        <v>(.9339)</v>
      </c>
      <c r="D9" t="str">
        <f>"(.8658)"</f>
        <v>(.8658)</v>
      </c>
      <c r="E9" t="str">
        <f>""</f>
        <v/>
      </c>
      <c r="F9" t="str">
        <f>""</f>
        <v/>
      </c>
      <c r="G9" t="str">
        <f>""</f>
        <v/>
      </c>
      <c r="H9" t="str">
        <f>""</f>
        <v/>
      </c>
      <c r="I9" t="str">
        <f>""</f>
        <v/>
      </c>
      <c r="J9" t="str">
        <f>""</f>
        <v/>
      </c>
      <c r="K9" t="str">
        <f>""</f>
        <v/>
      </c>
      <c r="L9" t="str">
        <f>""</f>
        <v/>
      </c>
      <c r="M9" t="str">
        <f>""</f>
        <v/>
      </c>
      <c r="N9" t="str">
        <f>""</f>
        <v/>
      </c>
      <c r="O9" t="str">
        <f>""</f>
        <v/>
      </c>
      <c r="P9" t="str">
        <f>""</f>
        <v/>
      </c>
      <c r="Q9" t="str">
        <f>""</f>
        <v/>
      </c>
      <c r="R9" t="str">
        <f>""</f>
        <v/>
      </c>
      <c r="S9" t="str">
        <f>""</f>
        <v/>
      </c>
      <c r="T9" t="str">
        <f>""</f>
        <v/>
      </c>
      <c r="U9" t="str">
        <f>""</f>
        <v/>
      </c>
      <c r="V9" t="str">
        <f>""</f>
        <v/>
      </c>
      <c r="W9" t="str">
        <f>""</f>
        <v/>
      </c>
      <c r="X9" t="str">
        <f>""</f>
        <v/>
      </c>
      <c r="Y9" t="str">
        <f>""</f>
        <v/>
      </c>
      <c r="Z9" t="str">
        <f>"(.4314)"</f>
        <v>(.4314)</v>
      </c>
      <c r="AA9" t="str">
        <f>"(.7691)"</f>
        <v>(.7691)</v>
      </c>
      <c r="AB9" t="str">
        <f>"(1.042)"</f>
        <v>(1.042)</v>
      </c>
      <c r="AC9" t="str">
        <f>"(1.126)"</f>
        <v>(1.126)</v>
      </c>
      <c r="AD9" t="str">
        <f>"(1.265)"</f>
        <v>(1.265)</v>
      </c>
      <c r="AE9" t="str">
        <f>"(1.205)"</f>
        <v>(1.205)</v>
      </c>
      <c r="AF9" t="str">
        <f>"(.8413)"</f>
        <v>(.8413)</v>
      </c>
      <c r="AG9" t="str">
        <f>"(.8945)"</f>
        <v>(.8945)</v>
      </c>
      <c r="AH9" t="str">
        <f>"(1.151)"</f>
        <v>(1.151)</v>
      </c>
      <c r="AI9" t="str">
        <f>""</f>
        <v/>
      </c>
      <c r="AJ9" t="str">
        <f>""</f>
        <v/>
      </c>
      <c r="AK9" t="str">
        <f>""</f>
        <v/>
      </c>
      <c r="AL9" t="str">
        <f>"(.8296)"</f>
        <v>(.8296)</v>
      </c>
      <c r="AM9" t="str">
        <f>"(.9324)"</f>
        <v>(.9324)</v>
      </c>
      <c r="AN9" t="str">
        <f>"(1.176)"</f>
        <v>(1.176)</v>
      </c>
      <c r="AO9" t="str">
        <f>"(.9016)"</f>
        <v>(.9016)</v>
      </c>
      <c r="AP9" t="str">
        <f>"(1.015)"</f>
        <v>(1.015)</v>
      </c>
      <c r="AQ9" t="str">
        <f>"(.8405)"</f>
        <v>(.8405)</v>
      </c>
      <c r="AR9" t="str">
        <f>""</f>
        <v/>
      </c>
      <c r="AS9" t="str">
        <f>""</f>
        <v/>
      </c>
      <c r="AT9" t="str">
        <f>""</f>
        <v/>
      </c>
      <c r="AU9" t="str">
        <f>""</f>
        <v/>
      </c>
      <c r="AV9" t="str">
        <f>""</f>
        <v/>
      </c>
      <c r="AW9" t="str">
        <f>""</f>
        <v/>
      </c>
      <c r="AX9" t="str">
        <f>""</f>
        <v/>
      </c>
      <c r="AY9" t="str">
        <f>""</f>
        <v/>
      </c>
      <c r="AZ9" t="str">
        <f>""</f>
        <v/>
      </c>
      <c r="BA9" t="str">
        <f>""</f>
        <v/>
      </c>
      <c r="BB9" t="str">
        <f>""</f>
        <v/>
      </c>
      <c r="BC9" t="str">
        <f>""</f>
        <v/>
      </c>
      <c r="BD9" t="str">
        <f>""</f>
        <v/>
      </c>
      <c r="BE9" t="str">
        <f>""</f>
        <v/>
      </c>
      <c r="BF9" t="str">
        <f>""</f>
        <v/>
      </c>
      <c r="BG9" t="str">
        <f>""</f>
        <v/>
      </c>
      <c r="BH9" t="str">
        <f>""</f>
        <v/>
      </c>
      <c r="BI9" t="str">
        <f>""</f>
        <v/>
      </c>
      <c r="BJ9" t="str">
        <f>""</f>
        <v/>
      </c>
      <c r="BK9" t="str">
        <f>""</f>
        <v/>
      </c>
      <c r="BL9" t="str">
        <f>""</f>
        <v/>
      </c>
      <c r="BM9" t="str">
        <f>"(.473)"</f>
        <v>(.473)</v>
      </c>
      <c r="BN9" t="str">
        <f>"(.7898)"</f>
        <v>(.7898)</v>
      </c>
      <c r="BO9" t="str">
        <f>"(.8057)"</f>
        <v>(.8057)</v>
      </c>
      <c r="BP9" t="str">
        <f>"(1.172)"</f>
        <v>(1.172)</v>
      </c>
      <c r="BQ9" t="str">
        <f>"(1.388)"</f>
        <v>(1.388)</v>
      </c>
      <c r="BR9" t="str">
        <f>"(1.269)"</f>
        <v>(1.269)</v>
      </c>
      <c r="BS9" t="str">
        <f>"(1.048)"</f>
        <v>(1.048)</v>
      </c>
      <c r="BT9" t="str">
        <f>"(1.011)"</f>
        <v>(1.011)</v>
      </c>
      <c r="BU9" t="str">
        <f>"(1.196)"</f>
        <v>(1.196)</v>
      </c>
      <c r="BV9" t="str">
        <f>""</f>
        <v/>
      </c>
      <c r="BW9" t="str">
        <f>""</f>
        <v/>
      </c>
      <c r="BX9" t="str">
        <f>""</f>
        <v/>
      </c>
      <c r="BY9" t="str">
        <f>"(.9168)"</f>
        <v>(.9168)</v>
      </c>
      <c r="BZ9" t="str">
        <f>"(1.042)"</f>
        <v>(1.042)</v>
      </c>
      <c r="CA9" t="str">
        <f>"(1.138)"</f>
        <v>(1.138)</v>
      </c>
    </row>
    <row r="10" spans="1:79" x14ac:dyDescent="0.2">
      <c r="A10" t="str">
        <f>"s_alpha_q1q5"</f>
        <v>s_alpha_q1q5</v>
      </c>
      <c r="B10" t="str">
        <f>""</f>
        <v/>
      </c>
      <c r="C10" t="str">
        <f>""</f>
        <v/>
      </c>
      <c r="D10" t="str">
        <f>""</f>
        <v/>
      </c>
      <c r="E10" t="str">
        <f>".8884"</f>
        <v>.8884</v>
      </c>
      <c r="F10" t="str">
        <f>".9193"</f>
        <v>.9193</v>
      </c>
      <c r="G10" t="str">
        <f>"1.17"</f>
        <v>1.17</v>
      </c>
      <c r="H10" t="str">
        <f>""</f>
        <v/>
      </c>
      <c r="I10" t="str">
        <f>""</f>
        <v/>
      </c>
      <c r="J10" t="str">
        <f>""</f>
        <v/>
      </c>
      <c r="K10" t="str">
        <f>""</f>
        <v/>
      </c>
      <c r="L10" t="str">
        <f>""</f>
        <v/>
      </c>
      <c r="M10" t="str">
        <f>""</f>
        <v/>
      </c>
      <c r="N10" t="str">
        <f>""</f>
        <v/>
      </c>
      <c r="O10" t="str">
        <f>""</f>
        <v/>
      </c>
      <c r="P10" t="str">
        <f>""</f>
        <v/>
      </c>
      <c r="Q10" t="str">
        <f>".4422"</f>
        <v>.4422</v>
      </c>
      <c r="R10" t="str">
        <f>".192"</f>
        <v>.192</v>
      </c>
      <c r="S10" t="str">
        <f>".3026"</f>
        <v>.3026</v>
      </c>
      <c r="T10" t="str">
        <f>""</f>
        <v/>
      </c>
      <c r="U10" t="str">
        <f>""</f>
        <v/>
      </c>
      <c r="V10" t="str">
        <f>""</f>
        <v/>
      </c>
      <c r="W10" t="str">
        <f>".6551"</f>
        <v>.6551</v>
      </c>
      <c r="X10" t="str">
        <f>".1437"</f>
        <v>.1437</v>
      </c>
      <c r="Y10" t="str">
        <f>"-.04357"</f>
        <v>-.04357</v>
      </c>
      <c r="Z10" t="str">
        <f>""</f>
        <v/>
      </c>
      <c r="AA10" t="str">
        <f>""</f>
        <v/>
      </c>
      <c r="AB10" t="str">
        <f>""</f>
        <v/>
      </c>
      <c r="AC10" t="str">
        <f>""</f>
        <v/>
      </c>
      <c r="AD10" t="str">
        <f>""</f>
        <v/>
      </c>
      <c r="AE10" t="str">
        <f>""</f>
        <v/>
      </c>
      <c r="AF10" t="str">
        <f>""</f>
        <v/>
      </c>
      <c r="AG10" t="str">
        <f>""</f>
        <v/>
      </c>
      <c r="AH10" t="str">
        <f>""</f>
        <v/>
      </c>
      <c r="AI10" t="str">
        <f>""</f>
        <v/>
      </c>
      <c r="AJ10" t="str">
        <f>""</f>
        <v/>
      </c>
      <c r="AK10" t="str">
        <f>""</f>
        <v/>
      </c>
      <c r="AL10" t="str">
        <f>""</f>
        <v/>
      </c>
      <c r="AM10" t="str">
        <f>""</f>
        <v/>
      </c>
      <c r="AN10" t="str">
        <f>""</f>
        <v/>
      </c>
      <c r="AO10" t="str">
        <f>""</f>
        <v/>
      </c>
      <c r="AP10" t="str">
        <f>""</f>
        <v/>
      </c>
      <c r="AQ10" t="str">
        <f>""</f>
        <v/>
      </c>
      <c r="AR10" t="str">
        <f>".06195"</f>
        <v>.06195</v>
      </c>
      <c r="AS10" t="str">
        <f>"-.01631"</f>
        <v>-.01631</v>
      </c>
      <c r="AT10" t="str">
        <f>".2961"</f>
        <v>.2961</v>
      </c>
      <c r="AU10" t="str">
        <f>""</f>
        <v/>
      </c>
      <c r="AV10" t="str">
        <f>""</f>
        <v/>
      </c>
      <c r="AW10" t="str">
        <f>""</f>
        <v/>
      </c>
      <c r="AX10" t="str">
        <f>""</f>
        <v/>
      </c>
      <c r="AY10" t="str">
        <f>""</f>
        <v/>
      </c>
      <c r="AZ10" t="str">
        <f>""</f>
        <v/>
      </c>
      <c r="BA10" t="str">
        <f>""</f>
        <v/>
      </c>
      <c r="BB10" t="str">
        <f>""</f>
        <v/>
      </c>
      <c r="BC10" t="str">
        <f>""</f>
        <v/>
      </c>
      <c r="BD10" t="str">
        <f>"-.4436"</f>
        <v>-.4436</v>
      </c>
      <c r="BE10" t="str">
        <f>"-.8217"</f>
        <v>-.8217</v>
      </c>
      <c r="BF10" t="str">
        <f>"-.6746"</f>
        <v>-.6746</v>
      </c>
      <c r="BG10" t="str">
        <f>""</f>
        <v/>
      </c>
      <c r="BH10" t="str">
        <f>""</f>
        <v/>
      </c>
      <c r="BI10" t="str">
        <f>""</f>
        <v/>
      </c>
      <c r="BJ10" t="str">
        <f>"-.2878"</f>
        <v>-.2878</v>
      </c>
      <c r="BK10" t="str">
        <f>"-.6592"</f>
        <v>-.6592</v>
      </c>
      <c r="BL10" t="str">
        <f>"-.8587"</f>
        <v>-.8587</v>
      </c>
      <c r="BM10" t="str">
        <f>""</f>
        <v/>
      </c>
      <c r="BN10" t="str">
        <f>""</f>
        <v/>
      </c>
      <c r="BO10" t="str">
        <f>""</f>
        <v/>
      </c>
      <c r="BP10" t="str">
        <f>""</f>
        <v/>
      </c>
      <c r="BQ10" t="str">
        <f>""</f>
        <v/>
      </c>
      <c r="BR10" t="str">
        <f>""</f>
        <v/>
      </c>
      <c r="BS10" t="str">
        <f>""</f>
        <v/>
      </c>
      <c r="BT10" t="str">
        <f>""</f>
        <v/>
      </c>
      <c r="BU10" t="str">
        <f>""</f>
        <v/>
      </c>
      <c r="BV10" t="str">
        <f>""</f>
        <v/>
      </c>
      <c r="BW10" t="str">
        <f>""</f>
        <v/>
      </c>
      <c r="BX10" t="str">
        <f>""</f>
        <v/>
      </c>
      <c r="BY10" t="str">
        <f>""</f>
        <v/>
      </c>
      <c r="BZ10" t="str">
        <f>""</f>
        <v/>
      </c>
      <c r="CA10" t="str">
        <f>""</f>
        <v/>
      </c>
    </row>
    <row r="11" spans="1:79" x14ac:dyDescent="0.2">
      <c r="A11" t="str">
        <f>""</f>
        <v/>
      </c>
      <c r="B11" t="str">
        <f>""</f>
        <v/>
      </c>
      <c r="C11" t="str">
        <f>""</f>
        <v/>
      </c>
      <c r="D11" t="str">
        <f>""</f>
        <v/>
      </c>
      <c r="E11" t="str">
        <f>"(.6355)"</f>
        <v>(.6355)</v>
      </c>
      <c r="F11" t="str">
        <f>"(.7779)"</f>
        <v>(.7779)</v>
      </c>
      <c r="G11" t="str">
        <f>"(.7919)"</f>
        <v>(.7919)</v>
      </c>
      <c r="H11" t="str">
        <f>""</f>
        <v/>
      </c>
      <c r="I11" t="str">
        <f>""</f>
        <v/>
      </c>
      <c r="J11" t="str">
        <f>""</f>
        <v/>
      </c>
      <c r="K11" t="str">
        <f>""</f>
        <v/>
      </c>
      <c r="L11" t="str">
        <f>""</f>
        <v/>
      </c>
      <c r="M11" t="str">
        <f>""</f>
        <v/>
      </c>
      <c r="N11" t="str">
        <f>""</f>
        <v/>
      </c>
      <c r="O11" t="str">
        <f>""</f>
        <v/>
      </c>
      <c r="P11" t="str">
        <f>""</f>
        <v/>
      </c>
      <c r="Q11" t="str">
        <f>"(.5396)"</f>
        <v>(.5396)</v>
      </c>
      <c r="R11" t="str">
        <f>"(.5855)"</f>
        <v>(.5855)</v>
      </c>
      <c r="S11" t="str">
        <f>"(.6383)"</f>
        <v>(.6383)</v>
      </c>
      <c r="T11" t="str">
        <f>""</f>
        <v/>
      </c>
      <c r="U11" t="str">
        <f>""</f>
        <v/>
      </c>
      <c r="V11" t="str">
        <f>""</f>
        <v/>
      </c>
      <c r="W11" t="str">
        <f>"(.5524)"</f>
        <v>(.5524)</v>
      </c>
      <c r="X11" t="str">
        <f>"(.6661)"</f>
        <v>(.6661)</v>
      </c>
      <c r="Y11" t="str">
        <f>"(.6481)"</f>
        <v>(.6481)</v>
      </c>
      <c r="Z11" t="str">
        <f>""</f>
        <v/>
      </c>
      <c r="AA11" t="str">
        <f>""</f>
        <v/>
      </c>
      <c r="AB11" t="str">
        <f>""</f>
        <v/>
      </c>
      <c r="AC11" t="str">
        <f>""</f>
        <v/>
      </c>
      <c r="AD11" t="str">
        <f>""</f>
        <v/>
      </c>
      <c r="AE11" t="str">
        <f>""</f>
        <v/>
      </c>
      <c r="AF11" t="str">
        <f>""</f>
        <v/>
      </c>
      <c r="AG11" t="str">
        <f>""</f>
        <v/>
      </c>
      <c r="AH11" t="str">
        <f>""</f>
        <v/>
      </c>
      <c r="AI11" t="str">
        <f>""</f>
        <v/>
      </c>
      <c r="AJ11" t="str">
        <f>""</f>
        <v/>
      </c>
      <c r="AK11" t="str">
        <f>""</f>
        <v/>
      </c>
      <c r="AL11" t="str">
        <f>""</f>
        <v/>
      </c>
      <c r="AM11" t="str">
        <f>""</f>
        <v/>
      </c>
      <c r="AN11" t="str">
        <f>""</f>
        <v/>
      </c>
      <c r="AO11" t="str">
        <f>""</f>
        <v/>
      </c>
      <c r="AP11" t="str">
        <f>""</f>
        <v/>
      </c>
      <c r="AQ11" t="str">
        <f>""</f>
        <v/>
      </c>
      <c r="AR11" t="str">
        <f>"(.6419)"</f>
        <v>(.6419)</v>
      </c>
      <c r="AS11" t="str">
        <f>"(.8492)"</f>
        <v>(.8492)</v>
      </c>
      <c r="AT11" t="str">
        <f>"(.6784)"</f>
        <v>(.6784)</v>
      </c>
      <c r="AU11" t="str">
        <f>""</f>
        <v/>
      </c>
      <c r="AV11" t="str">
        <f>""</f>
        <v/>
      </c>
      <c r="AW11" t="str">
        <f>""</f>
        <v/>
      </c>
      <c r="AX11" t="str">
        <f>""</f>
        <v/>
      </c>
      <c r="AY11" t="str">
        <f>""</f>
        <v/>
      </c>
      <c r="AZ11" t="str">
        <f>""</f>
        <v/>
      </c>
      <c r="BA11" t="str">
        <f>""</f>
        <v/>
      </c>
      <c r="BB11" t="str">
        <f>""</f>
        <v/>
      </c>
      <c r="BC11" t="str">
        <f>""</f>
        <v/>
      </c>
      <c r="BD11" t="str">
        <f>"(.489)"</f>
        <v>(.489)</v>
      </c>
      <c r="BE11" t="str">
        <f>"(.5594)"</f>
        <v>(.5594)</v>
      </c>
      <c r="BF11" t="str">
        <f>"(.4518)"</f>
        <v>(.4518)</v>
      </c>
      <c r="BG11" t="str">
        <f>""</f>
        <v/>
      </c>
      <c r="BH11" t="str">
        <f>""</f>
        <v/>
      </c>
      <c r="BI11" t="str">
        <f>""</f>
        <v/>
      </c>
      <c r="BJ11" t="str">
        <f>"(.517)"</f>
        <v>(.517)</v>
      </c>
      <c r="BK11" t="str">
        <f>"(.601)"</f>
        <v>(.601)</v>
      </c>
      <c r="BL11" t="str">
        <f>"(.6291)"</f>
        <v>(.6291)</v>
      </c>
      <c r="BM11" t="str">
        <f>""</f>
        <v/>
      </c>
      <c r="BN11" t="str">
        <f>""</f>
        <v/>
      </c>
      <c r="BO11" t="str">
        <f>""</f>
        <v/>
      </c>
      <c r="BP11" t="str">
        <f>""</f>
        <v/>
      </c>
      <c r="BQ11" t="str">
        <f>""</f>
        <v/>
      </c>
      <c r="BR11" t="str">
        <f>""</f>
        <v/>
      </c>
      <c r="BS11" t="str">
        <f>""</f>
        <v/>
      </c>
      <c r="BT11" t="str">
        <f>""</f>
        <v/>
      </c>
      <c r="BU11" t="str">
        <f>""</f>
        <v/>
      </c>
      <c r="BV11" t="str">
        <f>""</f>
        <v/>
      </c>
      <c r="BW11" t="str">
        <f>""</f>
        <v/>
      </c>
      <c r="BX11" t="str">
        <f>""</f>
        <v/>
      </c>
      <c r="BY11" t="str">
        <f>""</f>
        <v/>
      </c>
      <c r="BZ11" t="str">
        <f>""</f>
        <v/>
      </c>
      <c r="CA11" t="str">
        <f>""</f>
        <v/>
      </c>
    </row>
    <row r="12" spans="1:79" x14ac:dyDescent="0.2">
      <c r="A12" t="str">
        <f>"Es_alpha_q1q5"</f>
        <v>Es_alpha_q1q5</v>
      </c>
      <c r="B12" t="str">
        <f>""</f>
        <v/>
      </c>
      <c r="C12" t="str">
        <f>""</f>
        <v/>
      </c>
      <c r="D12" t="str">
        <f>""</f>
        <v/>
      </c>
      <c r="E12" t="str">
        <f>"11.37***"</f>
        <v>11.37***</v>
      </c>
      <c r="F12" t="str">
        <f>"7.302"</f>
        <v>7.302</v>
      </c>
      <c r="G12" t="str">
        <f>"7.464*"</f>
        <v>7.464*</v>
      </c>
      <c r="H12" t="str">
        <f>""</f>
        <v/>
      </c>
      <c r="I12" t="str">
        <f>""</f>
        <v/>
      </c>
      <c r="J12" t="str">
        <f>""</f>
        <v/>
      </c>
      <c r="K12" t="str">
        <f>""</f>
        <v/>
      </c>
      <c r="L12" t="str">
        <f>""</f>
        <v/>
      </c>
      <c r="M12" t="str">
        <f>""</f>
        <v/>
      </c>
      <c r="N12" t="str">
        <f>""</f>
        <v/>
      </c>
      <c r="O12" t="str">
        <f>""</f>
        <v/>
      </c>
      <c r="P12" t="str">
        <f>""</f>
        <v/>
      </c>
      <c r="Q12" t="str">
        <f>""</f>
        <v/>
      </c>
      <c r="R12" t="str">
        <f>""</f>
        <v/>
      </c>
      <c r="S12" t="str">
        <f>""</f>
        <v/>
      </c>
      <c r="T12" t="str">
        <f>""</f>
        <v/>
      </c>
      <c r="U12" t="str">
        <f>""</f>
        <v/>
      </c>
      <c r="V12" t="str">
        <f>""</f>
        <v/>
      </c>
      <c r="W12" t="str">
        <f>""</f>
        <v/>
      </c>
      <c r="X12" t="str">
        <f>""</f>
        <v/>
      </c>
      <c r="Y12" t="str">
        <f>""</f>
        <v/>
      </c>
      <c r="Z12" t="str">
        <f>""</f>
        <v/>
      </c>
      <c r="AA12" t="str">
        <f>""</f>
        <v/>
      </c>
      <c r="AB12" t="str">
        <f>""</f>
        <v/>
      </c>
      <c r="AC12" t="str">
        <f>"3.886"</f>
        <v>3.886</v>
      </c>
      <c r="AD12" t="str">
        <f>"2.28"</f>
        <v>2.28</v>
      </c>
      <c r="AE12" t="str">
        <f>"1.955"</f>
        <v>1.955</v>
      </c>
      <c r="AF12" t="str">
        <f>".2952"</f>
        <v>.2952</v>
      </c>
      <c r="AG12" t="str">
        <f>".7179"</f>
        <v>.7179</v>
      </c>
      <c r="AH12" t="str">
        <f>"1.055"</f>
        <v>1.055</v>
      </c>
      <c r="AI12" t="str">
        <f>""</f>
        <v/>
      </c>
      <c r="AJ12" t="str">
        <f>""</f>
        <v/>
      </c>
      <c r="AK12" t="str">
        <f>""</f>
        <v/>
      </c>
      <c r="AL12" t="str">
        <f>".2871"</f>
        <v>.2871</v>
      </c>
      <c r="AM12" t="str">
        <f>".7333"</f>
        <v>.7333</v>
      </c>
      <c r="AN12" t="str">
        <f>".8627"</f>
        <v>.8627</v>
      </c>
      <c r="AO12" t="str">
        <f>""</f>
        <v/>
      </c>
      <c r="AP12" t="str">
        <f>""</f>
        <v/>
      </c>
      <c r="AQ12" t="str">
        <f>""</f>
        <v/>
      </c>
      <c r="AR12" t="str">
        <f>"2.049"</f>
        <v>2.049</v>
      </c>
      <c r="AS12" t="str">
        <f>"-.9133"</f>
        <v>-.9133</v>
      </c>
      <c r="AT12" t="str">
        <f>"-.7987"</f>
        <v>-.7987</v>
      </c>
      <c r="AU12" t="str">
        <f>""</f>
        <v/>
      </c>
      <c r="AV12" t="str">
        <f>""</f>
        <v/>
      </c>
      <c r="AW12" t="str">
        <f>""</f>
        <v/>
      </c>
      <c r="AX12" t="str">
        <f>""</f>
        <v/>
      </c>
      <c r="AY12" t="str">
        <f>""</f>
        <v/>
      </c>
      <c r="AZ12" t="str">
        <f>""</f>
        <v/>
      </c>
      <c r="BA12" t="str">
        <f>""</f>
        <v/>
      </c>
      <c r="BB12" t="str">
        <f>""</f>
        <v/>
      </c>
      <c r="BC12" t="str">
        <f>""</f>
        <v/>
      </c>
      <c r="BD12" t="str">
        <f>""</f>
        <v/>
      </c>
      <c r="BE12" t="str">
        <f>""</f>
        <v/>
      </c>
      <c r="BF12" t="str">
        <f>""</f>
        <v/>
      </c>
      <c r="BG12" t="str">
        <f>""</f>
        <v/>
      </c>
      <c r="BH12" t="str">
        <f>""</f>
        <v/>
      </c>
      <c r="BI12" t="str">
        <f>""</f>
        <v/>
      </c>
      <c r="BJ12" t="str">
        <f>""</f>
        <v/>
      </c>
      <c r="BK12" t="str">
        <f>""</f>
        <v/>
      </c>
      <c r="BL12" t="str">
        <f>""</f>
        <v/>
      </c>
      <c r="BM12" t="str">
        <f>""</f>
        <v/>
      </c>
      <c r="BN12" t="str">
        <f>""</f>
        <v/>
      </c>
      <c r="BO12" t="str">
        <f>""</f>
        <v/>
      </c>
      <c r="BP12" t="str">
        <f>"-4.633"</f>
        <v>-4.633</v>
      </c>
      <c r="BQ12" t="str">
        <f>"-5.301"</f>
        <v>-5.301</v>
      </c>
      <c r="BR12" t="str">
        <f>"-4.959"</f>
        <v>-4.959</v>
      </c>
      <c r="BS12" t="str">
        <f>"-4.878*"</f>
        <v>-4.878*</v>
      </c>
      <c r="BT12" t="str">
        <f>"-4.302"</f>
        <v>-4.302</v>
      </c>
      <c r="BU12" t="str">
        <f>"-2.551"</f>
        <v>-2.551</v>
      </c>
      <c r="BV12" t="str">
        <f>""</f>
        <v/>
      </c>
      <c r="BW12" t="str">
        <f>""</f>
        <v/>
      </c>
      <c r="BX12" t="str">
        <f>""</f>
        <v/>
      </c>
      <c r="BY12" t="str">
        <f>"-4.848**"</f>
        <v>-4.848**</v>
      </c>
      <c r="BZ12" t="str">
        <f>"-3.856"</f>
        <v>-3.856</v>
      </c>
      <c r="CA12" t="str">
        <f>"-2.599"</f>
        <v>-2.599</v>
      </c>
    </row>
    <row r="13" spans="1:79" x14ac:dyDescent="0.2">
      <c r="A13" t="str">
        <f>""</f>
        <v/>
      </c>
      <c r="B13" t="str">
        <f>""</f>
        <v/>
      </c>
      <c r="C13" t="str">
        <f>""</f>
        <v/>
      </c>
      <c r="D13" t="str">
        <f>""</f>
        <v/>
      </c>
      <c r="E13" t="str">
        <f>"(1.963)"</f>
        <v>(1.963)</v>
      </c>
      <c r="F13" t="str">
        <f>"(4.48)"</f>
        <v>(4.48)</v>
      </c>
      <c r="G13" t="str">
        <f>"(4.23)"</f>
        <v>(4.23)</v>
      </c>
      <c r="H13" t="str">
        <f>""</f>
        <v/>
      </c>
      <c r="I13" t="str">
        <f>""</f>
        <v/>
      </c>
      <c r="J13" t="str">
        <f>""</f>
        <v/>
      </c>
      <c r="K13" t="str">
        <f>""</f>
        <v/>
      </c>
      <c r="L13" t="str">
        <f>""</f>
        <v/>
      </c>
      <c r="M13" t="str">
        <f>""</f>
        <v/>
      </c>
      <c r="N13" t="str">
        <f>""</f>
        <v/>
      </c>
      <c r="O13" t="str">
        <f>""</f>
        <v/>
      </c>
      <c r="P13" t="str">
        <f>""</f>
        <v/>
      </c>
      <c r="Q13" t="str">
        <f>""</f>
        <v/>
      </c>
      <c r="R13" t="str">
        <f>""</f>
        <v/>
      </c>
      <c r="S13" t="str">
        <f>""</f>
        <v/>
      </c>
      <c r="T13" t="str">
        <f>""</f>
        <v/>
      </c>
      <c r="U13" t="str">
        <f>""</f>
        <v/>
      </c>
      <c r="V13" t="str">
        <f>""</f>
        <v/>
      </c>
      <c r="W13" t="str">
        <f>""</f>
        <v/>
      </c>
      <c r="X13" t="str">
        <f>""</f>
        <v/>
      </c>
      <c r="Y13" t="str">
        <f>""</f>
        <v/>
      </c>
      <c r="Z13" t="str">
        <f>""</f>
        <v/>
      </c>
      <c r="AA13" t="str">
        <f>""</f>
        <v/>
      </c>
      <c r="AB13" t="str">
        <f>""</f>
        <v/>
      </c>
      <c r="AC13" t="str">
        <f>"(3.473)"</f>
        <v>(3.473)</v>
      </c>
      <c r="AD13" t="str">
        <f>"(4.518)"</f>
        <v>(4.518)</v>
      </c>
      <c r="AE13" t="str">
        <f>"(4.422)"</f>
        <v>(4.422)</v>
      </c>
      <c r="AF13" t="str">
        <f>"(2.981)"</f>
        <v>(2.981)</v>
      </c>
      <c r="AG13" t="str">
        <f>"(3.631)"</f>
        <v>(3.631)</v>
      </c>
      <c r="AH13" t="str">
        <f>"(3.314)"</f>
        <v>(3.314)</v>
      </c>
      <c r="AI13" t="str">
        <f>""</f>
        <v/>
      </c>
      <c r="AJ13" t="str">
        <f>""</f>
        <v/>
      </c>
      <c r="AK13" t="str">
        <f>""</f>
        <v/>
      </c>
      <c r="AL13" t="str">
        <f>"(2.973)"</f>
        <v>(2.973)</v>
      </c>
      <c r="AM13" t="str">
        <f>"(3.63)"</f>
        <v>(3.63)</v>
      </c>
      <c r="AN13" t="str">
        <f>"(3.543)"</f>
        <v>(3.543)</v>
      </c>
      <c r="AO13" t="str">
        <f>""</f>
        <v/>
      </c>
      <c r="AP13" t="str">
        <f>""</f>
        <v/>
      </c>
      <c r="AQ13" t="str">
        <f>""</f>
        <v/>
      </c>
      <c r="AR13" t="str">
        <f>"(2.064)"</f>
        <v>(2.064)</v>
      </c>
      <c r="AS13" t="str">
        <f>"(4.269)"</f>
        <v>(4.269)</v>
      </c>
      <c r="AT13" t="str">
        <f>"(3.595)"</f>
        <v>(3.595)</v>
      </c>
      <c r="AU13" t="str">
        <f>""</f>
        <v/>
      </c>
      <c r="AV13" t="str">
        <f>""</f>
        <v/>
      </c>
      <c r="AW13" t="str">
        <f>""</f>
        <v/>
      </c>
      <c r="AX13" t="str">
        <f>""</f>
        <v/>
      </c>
      <c r="AY13" t="str">
        <f>""</f>
        <v/>
      </c>
      <c r="AZ13" t="str">
        <f>""</f>
        <v/>
      </c>
      <c r="BA13" t="str">
        <f>""</f>
        <v/>
      </c>
      <c r="BB13" t="str">
        <f>""</f>
        <v/>
      </c>
      <c r="BC13" t="str">
        <f>""</f>
        <v/>
      </c>
      <c r="BD13" t="str">
        <f>""</f>
        <v/>
      </c>
      <c r="BE13" t="str">
        <f>""</f>
        <v/>
      </c>
      <c r="BF13" t="str">
        <f>""</f>
        <v/>
      </c>
      <c r="BG13" t="str">
        <f>""</f>
        <v/>
      </c>
      <c r="BH13" t="str">
        <f>""</f>
        <v/>
      </c>
      <c r="BI13" t="str">
        <f>""</f>
        <v/>
      </c>
      <c r="BJ13" t="str">
        <f>""</f>
        <v/>
      </c>
      <c r="BK13" t="str">
        <f>""</f>
        <v/>
      </c>
      <c r="BL13" t="str">
        <f>""</f>
        <v/>
      </c>
      <c r="BM13" t="str">
        <f>""</f>
        <v/>
      </c>
      <c r="BN13" t="str">
        <f>""</f>
        <v/>
      </c>
      <c r="BO13" t="str">
        <f>""</f>
        <v/>
      </c>
      <c r="BP13" t="str">
        <f>"(3.536)"</f>
        <v>(3.536)</v>
      </c>
      <c r="BQ13" t="str">
        <f>"(4.888)"</f>
        <v>(4.888)</v>
      </c>
      <c r="BR13" t="str">
        <f>"(4.441)"</f>
        <v>(4.441)</v>
      </c>
      <c r="BS13" t="str">
        <f>"(2.803)"</f>
        <v>(2.803)</v>
      </c>
      <c r="BT13" t="str">
        <f>"(2.958)"</f>
        <v>(2.958)</v>
      </c>
      <c r="BU13" t="str">
        <f>"(2.708)"</f>
        <v>(2.708)</v>
      </c>
      <c r="BV13" t="str">
        <f>""</f>
        <v/>
      </c>
      <c r="BW13" t="str">
        <f>""</f>
        <v/>
      </c>
      <c r="BX13" t="str">
        <f>""</f>
        <v/>
      </c>
      <c r="BY13" t="str">
        <f>"(2.446)"</f>
        <v>(2.446)</v>
      </c>
      <c r="BZ13" t="str">
        <f>"(2.719)"</f>
        <v>(2.719)</v>
      </c>
      <c r="CA13" t="str">
        <f>"(2.751)"</f>
        <v>(2.751)</v>
      </c>
    </row>
    <row r="14" spans="1:79" x14ac:dyDescent="0.2">
      <c r="A14" t="str">
        <f>"psi_c"</f>
        <v>psi_c</v>
      </c>
      <c r="B14" t="str">
        <f>""</f>
        <v/>
      </c>
      <c r="C14" t="str">
        <f>""</f>
        <v/>
      </c>
      <c r="D14" t="str">
        <f>""</f>
        <v/>
      </c>
      <c r="E14" t="str">
        <f>""</f>
        <v/>
      </c>
      <c r="F14" t="str">
        <f>""</f>
        <v/>
      </c>
      <c r="G14" t="str">
        <f>""</f>
        <v/>
      </c>
      <c r="H14" t="str">
        <f>"1.642***"</f>
        <v>1.642***</v>
      </c>
      <c r="I14" t="str">
        <f>".5574*"</f>
        <v>.5574*</v>
      </c>
      <c r="J14" t="str">
        <f>".7327"</f>
        <v>.7327</v>
      </c>
      <c r="K14" t="str">
        <f>""</f>
        <v/>
      </c>
      <c r="L14" t="str">
        <f>""</f>
        <v/>
      </c>
      <c r="M14" t="str">
        <f>""</f>
        <v/>
      </c>
      <c r="N14" t="str">
        <f>".109"</f>
        <v>.109</v>
      </c>
      <c r="O14" t="str">
        <f>".2508"</f>
        <v>.2508</v>
      </c>
      <c r="P14" t="str">
        <f>".7351**"</f>
        <v>.7351**</v>
      </c>
      <c r="Q14" t="str">
        <f>""</f>
        <v/>
      </c>
      <c r="R14" t="str">
        <f>""</f>
        <v/>
      </c>
      <c r="S14" t="str">
        <f>""</f>
        <v/>
      </c>
      <c r="T14" t="str">
        <f>"-1.024"</f>
        <v>-1.024</v>
      </c>
      <c r="U14" t="str">
        <f>"-1.234"</f>
        <v>-1.234</v>
      </c>
      <c r="V14" t="str">
        <f>"-1.131"</f>
        <v>-1.131</v>
      </c>
      <c r="W14" t="str">
        <f>"1.321"</f>
        <v>1.321</v>
      </c>
      <c r="X14" t="str">
        <f>".7722"</f>
        <v>.7722</v>
      </c>
      <c r="Y14" t="str">
        <f>".7704"</f>
        <v>.7704</v>
      </c>
      <c r="Z14" t="str">
        <f>""</f>
        <v/>
      </c>
      <c r="AA14" t="str">
        <f>""</f>
        <v/>
      </c>
      <c r="AB14" t="str">
        <f>""</f>
        <v/>
      </c>
      <c r="AC14" t="str">
        <f>""</f>
        <v/>
      </c>
      <c r="AD14" t="str">
        <f>""</f>
        <v/>
      </c>
      <c r="AE14" t="str">
        <f>""</f>
        <v/>
      </c>
      <c r="AF14" t="str">
        <f>""</f>
        <v/>
      </c>
      <c r="AG14" t="str">
        <f>""</f>
        <v/>
      </c>
      <c r="AH14" t="str">
        <f>""</f>
        <v/>
      </c>
      <c r="AI14" t="str">
        <f>""</f>
        <v/>
      </c>
      <c r="AJ14" t="str">
        <f>""</f>
        <v/>
      </c>
      <c r="AK14" t="str">
        <f>""</f>
        <v/>
      </c>
      <c r="AL14" t="str">
        <f>""</f>
        <v/>
      </c>
      <c r="AM14" t="str">
        <f>""</f>
        <v/>
      </c>
      <c r="AN14" t="str">
        <f>""</f>
        <v/>
      </c>
      <c r="AO14" t="str">
        <f>""</f>
        <v/>
      </c>
      <c r="AP14" t="str">
        <f>""</f>
        <v/>
      </c>
      <c r="AQ14" t="str">
        <f>""</f>
        <v/>
      </c>
      <c r="AR14" t="str">
        <f>""</f>
        <v/>
      </c>
      <c r="AS14" t="str">
        <f>""</f>
        <v/>
      </c>
      <c r="AT14" t="str">
        <f>""</f>
        <v/>
      </c>
      <c r="AU14" t="str">
        <f>"-.1889"</f>
        <v>-.1889</v>
      </c>
      <c r="AV14" t="str">
        <f>"-.6191**"</f>
        <v>-.6191**</v>
      </c>
      <c r="AW14" t="str">
        <f>"-.2791"</f>
        <v>-.2791</v>
      </c>
      <c r="AX14" t="str">
        <f>""</f>
        <v/>
      </c>
      <c r="AY14" t="str">
        <f>""</f>
        <v/>
      </c>
      <c r="AZ14" t="str">
        <f>""</f>
        <v/>
      </c>
      <c r="BA14" t="str">
        <f>"-.3768"</f>
        <v>-.3768</v>
      </c>
      <c r="BB14" t="str">
        <f>"-.2527"</f>
        <v>-.2527</v>
      </c>
      <c r="BC14" t="str">
        <f>".2763"</f>
        <v>.2763</v>
      </c>
      <c r="BD14" t="str">
        <f>""</f>
        <v/>
      </c>
      <c r="BE14" t="str">
        <f>""</f>
        <v/>
      </c>
      <c r="BF14" t="str">
        <f>""</f>
        <v/>
      </c>
      <c r="BG14" t="str">
        <f>"-.7413"</f>
        <v>-.7413</v>
      </c>
      <c r="BH14" t="str">
        <f>"-.06948"</f>
        <v>-.06948</v>
      </c>
      <c r="BI14" t="str">
        <f>".02947"</f>
        <v>.02947</v>
      </c>
      <c r="BJ14" t="str">
        <f>"-.1483"</f>
        <v>-.1483</v>
      </c>
      <c r="BK14" t="str">
        <f>".4202"</f>
        <v>.4202</v>
      </c>
      <c r="BL14" t="str">
        <f>".4499"</f>
        <v>.4499</v>
      </c>
      <c r="BM14" t="str">
        <f>""</f>
        <v/>
      </c>
      <c r="BN14" t="str">
        <f>""</f>
        <v/>
      </c>
      <c r="BO14" t="str">
        <f>""</f>
        <v/>
      </c>
      <c r="BP14" t="str">
        <f>""</f>
        <v/>
      </c>
      <c r="BQ14" t="str">
        <f>""</f>
        <v/>
      </c>
      <c r="BR14" t="str">
        <f>""</f>
        <v/>
      </c>
      <c r="BS14" t="str">
        <f>""</f>
        <v/>
      </c>
      <c r="BT14" t="str">
        <f>""</f>
        <v/>
      </c>
      <c r="BU14" t="str">
        <f>""</f>
        <v/>
      </c>
      <c r="BV14" t="str">
        <f>""</f>
        <v/>
      </c>
      <c r="BW14" t="str">
        <f>""</f>
        <v/>
      </c>
      <c r="BX14" t="str">
        <f>""</f>
        <v/>
      </c>
      <c r="BY14" t="str">
        <f>""</f>
        <v/>
      </c>
      <c r="BZ14" t="str">
        <f>""</f>
        <v/>
      </c>
      <c r="CA14" t="str">
        <f>""</f>
        <v/>
      </c>
    </row>
    <row r="15" spans="1:79" x14ac:dyDescent="0.2">
      <c r="A15" t="str">
        <f>""</f>
        <v/>
      </c>
      <c r="B15" t="str">
        <f>""</f>
        <v/>
      </c>
      <c r="C15" t="str">
        <f>""</f>
        <v/>
      </c>
      <c r="D15" t="str">
        <f>""</f>
        <v/>
      </c>
      <c r="E15" t="str">
        <f>""</f>
        <v/>
      </c>
      <c r="F15" t="str">
        <f>""</f>
        <v/>
      </c>
      <c r="G15" t="str">
        <f>""</f>
        <v/>
      </c>
      <c r="H15" t="str">
        <f>"(.4907)"</f>
        <v>(.4907)</v>
      </c>
      <c r="I15" t="str">
        <f>"(.3079)"</f>
        <v>(.3079)</v>
      </c>
      <c r="J15" t="str">
        <f>"(.4684)"</f>
        <v>(.4684)</v>
      </c>
      <c r="K15" t="str">
        <f>""</f>
        <v/>
      </c>
      <c r="L15" t="str">
        <f>""</f>
        <v/>
      </c>
      <c r="M15" t="str">
        <f>""</f>
        <v/>
      </c>
      <c r="N15" t="str">
        <f>"(.3739)"</f>
        <v>(.3739)</v>
      </c>
      <c r="O15" t="str">
        <f>"(.3578)"</f>
        <v>(.3578)</v>
      </c>
      <c r="P15" t="str">
        <f>"(.3595)"</f>
        <v>(.3595)</v>
      </c>
      <c r="Q15" t="str">
        <f>""</f>
        <v/>
      </c>
      <c r="R15" t="str">
        <f>""</f>
        <v/>
      </c>
      <c r="S15" t="str">
        <f>""</f>
        <v/>
      </c>
      <c r="T15" t="str">
        <f>"(1.357)"</f>
        <v>(1.357)</v>
      </c>
      <c r="U15" t="str">
        <f>"(.9831)"</f>
        <v>(.9831)</v>
      </c>
      <c r="V15" t="str">
        <f>"(.9404)"</f>
        <v>(.9404)</v>
      </c>
      <c r="W15" t="str">
        <f>"(1.158)"</f>
        <v>(1.158)</v>
      </c>
      <c r="X15" t="str">
        <f>"(1.246)"</f>
        <v>(1.246)</v>
      </c>
      <c r="Y15" t="str">
        <f>"(.9224)"</f>
        <v>(.9224)</v>
      </c>
      <c r="Z15" t="str">
        <f>""</f>
        <v/>
      </c>
      <c r="AA15" t="str">
        <f>""</f>
        <v/>
      </c>
      <c r="AB15" t="str">
        <f>""</f>
        <v/>
      </c>
      <c r="AC15" t="str">
        <f>""</f>
        <v/>
      </c>
      <c r="AD15" t="str">
        <f>""</f>
        <v/>
      </c>
      <c r="AE15" t="str">
        <f>""</f>
        <v/>
      </c>
      <c r="AF15" t="str">
        <f>""</f>
        <v/>
      </c>
      <c r="AG15" t="str">
        <f>""</f>
        <v/>
      </c>
      <c r="AH15" t="str">
        <f>""</f>
        <v/>
      </c>
      <c r="AI15" t="str">
        <f>""</f>
        <v/>
      </c>
      <c r="AJ15" t="str">
        <f>""</f>
        <v/>
      </c>
      <c r="AK15" t="str">
        <f>""</f>
        <v/>
      </c>
      <c r="AL15" t="str">
        <f>""</f>
        <v/>
      </c>
      <c r="AM15" t="str">
        <f>""</f>
        <v/>
      </c>
      <c r="AN15" t="str">
        <f>""</f>
        <v/>
      </c>
      <c r="AO15" t="str">
        <f>""</f>
        <v/>
      </c>
      <c r="AP15" t="str">
        <f>""</f>
        <v/>
      </c>
      <c r="AQ15" t="str">
        <f>""</f>
        <v/>
      </c>
      <c r="AR15" t="str">
        <f>""</f>
        <v/>
      </c>
      <c r="AS15" t="str">
        <f>""</f>
        <v/>
      </c>
      <c r="AT15" t="str">
        <f>""</f>
        <v/>
      </c>
      <c r="AU15" t="str">
        <f>"(.2506)"</f>
        <v>(.2506)</v>
      </c>
      <c r="AV15" t="str">
        <f>"(.304)"</f>
        <v>(.304)</v>
      </c>
      <c r="AW15" t="str">
        <f>"(.2946)"</f>
        <v>(.2946)</v>
      </c>
      <c r="AX15" t="str">
        <f>""</f>
        <v/>
      </c>
      <c r="AY15" t="str">
        <f>""</f>
        <v/>
      </c>
      <c r="AZ15" t="str">
        <f>""</f>
        <v/>
      </c>
      <c r="BA15" t="str">
        <f>"(.3324)"</f>
        <v>(.3324)</v>
      </c>
      <c r="BB15" t="str">
        <f>"(.3856)"</f>
        <v>(.3856)</v>
      </c>
      <c r="BC15" t="str">
        <f>"(.4047)"</f>
        <v>(.4047)</v>
      </c>
      <c r="BD15" t="str">
        <f>""</f>
        <v/>
      </c>
      <c r="BE15" t="str">
        <f>""</f>
        <v/>
      </c>
      <c r="BF15" t="str">
        <f>""</f>
        <v/>
      </c>
      <c r="BG15" t="str">
        <f>"(1.026)"</f>
        <v>(1.026)</v>
      </c>
      <c r="BH15" t="str">
        <f>"(1.263)"</f>
        <v>(1.263)</v>
      </c>
      <c r="BI15" t="str">
        <f>"(.6757)"</f>
        <v>(.6757)</v>
      </c>
      <c r="BJ15" t="str">
        <f>"(1.123)"</f>
        <v>(1.123)</v>
      </c>
      <c r="BK15" t="str">
        <f>"(1.309)"</f>
        <v>(1.309)</v>
      </c>
      <c r="BL15" t="str">
        <f>"(.9089)"</f>
        <v>(.9089)</v>
      </c>
      <c r="BM15" t="str">
        <f>""</f>
        <v/>
      </c>
      <c r="BN15" t="str">
        <f>""</f>
        <v/>
      </c>
      <c r="BO15" t="str">
        <f>""</f>
        <v/>
      </c>
      <c r="BP15" t="str">
        <f>""</f>
        <v/>
      </c>
      <c r="BQ15" t="str">
        <f>""</f>
        <v/>
      </c>
      <c r="BR15" t="str">
        <f>""</f>
        <v/>
      </c>
      <c r="BS15" t="str">
        <f>""</f>
        <v/>
      </c>
      <c r="BT15" t="str">
        <f>""</f>
        <v/>
      </c>
      <c r="BU15" t="str">
        <f>""</f>
        <v/>
      </c>
      <c r="BV15" t="str">
        <f>""</f>
        <v/>
      </c>
      <c r="BW15" t="str">
        <f>""</f>
        <v/>
      </c>
      <c r="BX15" t="str">
        <f>""</f>
        <v/>
      </c>
      <c r="BY15" t="str">
        <f>""</f>
        <v/>
      </c>
      <c r="BZ15" t="str">
        <f>""</f>
        <v/>
      </c>
      <c r="CA15" t="str">
        <f>""</f>
        <v/>
      </c>
    </row>
    <row r="16" spans="1:79" x14ac:dyDescent="0.2">
      <c r="A16" t="str">
        <f>"Epsi_c"</f>
        <v>Epsi_c</v>
      </c>
      <c r="B16" t="str">
        <f>""</f>
        <v/>
      </c>
      <c r="C16" t="str">
        <f>""</f>
        <v/>
      </c>
      <c r="D16" t="str">
        <f>""</f>
        <v/>
      </c>
      <c r="E16" t="str">
        <f>""</f>
        <v/>
      </c>
      <c r="F16" t="str">
        <f>""</f>
        <v/>
      </c>
      <c r="G16" t="str">
        <f>""</f>
        <v/>
      </c>
      <c r="H16" t="str">
        <f>"1.652"</f>
        <v>1.652</v>
      </c>
      <c r="I16" t="str">
        <f>"3.949***"</f>
        <v>3.949***</v>
      </c>
      <c r="J16" t="str">
        <f>"3.894**"</f>
        <v>3.894**</v>
      </c>
      <c r="K16" t="str">
        <f>""</f>
        <v/>
      </c>
      <c r="L16" t="str">
        <f>""</f>
        <v/>
      </c>
      <c r="M16" t="str">
        <f>""</f>
        <v/>
      </c>
      <c r="N16" t="str">
        <f>""</f>
        <v/>
      </c>
      <c r="O16" t="str">
        <f>""</f>
        <v/>
      </c>
      <c r="P16" t="str">
        <f>""</f>
        <v/>
      </c>
      <c r="Q16" t="str">
        <f>""</f>
        <v/>
      </c>
      <c r="R16" t="str">
        <f>""</f>
        <v/>
      </c>
      <c r="S16" t="str">
        <f>""</f>
        <v/>
      </c>
      <c r="T16" t="str">
        <f>""</f>
        <v/>
      </c>
      <c r="U16" t="str">
        <f>""</f>
        <v/>
      </c>
      <c r="V16" t="str">
        <f>""</f>
        <v/>
      </c>
      <c r="W16" t="str">
        <f>""</f>
        <v/>
      </c>
      <c r="X16" t="str">
        <f>""</f>
        <v/>
      </c>
      <c r="Y16" t="str">
        <f>""</f>
        <v/>
      </c>
      <c r="Z16" t="str">
        <f>"-1.712"</f>
        <v>-1.712</v>
      </c>
      <c r="AA16" t="str">
        <f>".01418"</f>
        <v>.01418</v>
      </c>
      <c r="AB16" t="str">
        <f>"-.4099"</f>
        <v>-.4099</v>
      </c>
      <c r="AC16" t="str">
        <f>""</f>
        <v/>
      </c>
      <c r="AD16" t="str">
        <f>""</f>
        <v/>
      </c>
      <c r="AE16" t="str">
        <f>""</f>
        <v/>
      </c>
      <c r="AF16" t="str">
        <f>"-12.13***"</f>
        <v>-12.13***</v>
      </c>
      <c r="AG16" t="str">
        <f>"-7.252**"</f>
        <v>-7.252**</v>
      </c>
      <c r="AH16" t="str">
        <f>"-5.592"</f>
        <v>-5.592</v>
      </c>
      <c r="AI16" t="str">
        <f>""</f>
        <v/>
      </c>
      <c r="AJ16" t="str">
        <f>""</f>
        <v/>
      </c>
      <c r="AK16" t="str">
        <f>""</f>
        <v/>
      </c>
      <c r="AL16" t="str">
        <f>"-12.43***"</f>
        <v>-12.43***</v>
      </c>
      <c r="AM16" t="str">
        <f>"-5.664"</f>
        <v>-5.664</v>
      </c>
      <c r="AN16" t="str">
        <f>"-5.245"</f>
        <v>-5.245</v>
      </c>
      <c r="AO16" t="str">
        <f>""</f>
        <v/>
      </c>
      <c r="AP16" t="str">
        <f>""</f>
        <v/>
      </c>
      <c r="AQ16" t="str">
        <f>""</f>
        <v/>
      </c>
      <c r="AR16" t="str">
        <f>""</f>
        <v/>
      </c>
      <c r="AS16" t="str">
        <f>""</f>
        <v/>
      </c>
      <c r="AT16" t="str">
        <f>""</f>
        <v/>
      </c>
      <c r="AU16" t="str">
        <f>"3.898***"</f>
        <v>3.898***</v>
      </c>
      <c r="AV16" t="str">
        <f>"4.739***"</f>
        <v>4.739***</v>
      </c>
      <c r="AW16" t="str">
        <f>"4.201**"</f>
        <v>4.201**</v>
      </c>
      <c r="AX16" t="str">
        <f>""</f>
        <v/>
      </c>
      <c r="AY16" t="str">
        <f>""</f>
        <v/>
      </c>
      <c r="AZ16" t="str">
        <f>""</f>
        <v/>
      </c>
      <c r="BA16" t="str">
        <f>""</f>
        <v/>
      </c>
      <c r="BB16" t="str">
        <f>""</f>
        <v/>
      </c>
      <c r="BC16" t="str">
        <f>""</f>
        <v/>
      </c>
      <c r="BD16" t="str">
        <f>""</f>
        <v/>
      </c>
      <c r="BE16" t="str">
        <f>""</f>
        <v/>
      </c>
      <c r="BF16" t="str">
        <f>""</f>
        <v/>
      </c>
      <c r="BG16" t="str">
        <f>""</f>
        <v/>
      </c>
      <c r="BH16" t="str">
        <f>""</f>
        <v/>
      </c>
      <c r="BI16" t="str">
        <f>""</f>
        <v/>
      </c>
      <c r="BJ16" t="str">
        <f>""</f>
        <v/>
      </c>
      <c r="BK16" t="str">
        <f>""</f>
        <v/>
      </c>
      <c r="BL16" t="str">
        <f>""</f>
        <v/>
      </c>
      <c r="BM16" t="str">
        <f>"2.657*"</f>
        <v>2.657*</v>
      </c>
      <c r="BN16" t="str">
        <f>"5.089**"</f>
        <v>5.089**</v>
      </c>
      <c r="BO16" t="str">
        <f>"5.116***"</f>
        <v>5.116***</v>
      </c>
      <c r="BP16" t="str">
        <f>""</f>
        <v/>
      </c>
      <c r="BQ16" t="str">
        <f>""</f>
        <v/>
      </c>
      <c r="BR16" t="str">
        <f>""</f>
        <v/>
      </c>
      <c r="BS16" t="str">
        <f>"-9.315***"</f>
        <v>-9.315***</v>
      </c>
      <c r="BT16" t="str">
        <f>"-5.641"</f>
        <v>-5.641</v>
      </c>
      <c r="BU16" t="str">
        <f>"-2.956"</f>
        <v>-2.956</v>
      </c>
      <c r="BV16" t="str">
        <f>""</f>
        <v/>
      </c>
      <c r="BW16" t="str">
        <f>""</f>
        <v/>
      </c>
      <c r="BX16" t="str">
        <f>""</f>
        <v/>
      </c>
      <c r="BY16" t="str">
        <f>"-12.79***"</f>
        <v>-12.79***</v>
      </c>
      <c r="BZ16" t="str">
        <f>"-6.689"</f>
        <v>-6.689</v>
      </c>
      <c r="CA16" t="str">
        <f>"-4.181"</f>
        <v>-4.181</v>
      </c>
    </row>
    <row r="17" spans="1:79" x14ac:dyDescent="0.2">
      <c r="A17" t="str">
        <f>""</f>
        <v/>
      </c>
      <c r="B17" t="str">
        <f>""</f>
        <v/>
      </c>
      <c r="C17" t="str">
        <f>""</f>
        <v/>
      </c>
      <c r="D17" t="str">
        <f>""</f>
        <v/>
      </c>
      <c r="E17" t="str">
        <f>""</f>
        <v/>
      </c>
      <c r="F17" t="str">
        <f>""</f>
        <v/>
      </c>
      <c r="G17" t="str">
        <f>""</f>
        <v/>
      </c>
      <c r="H17" t="str">
        <f>"(2.241)"</f>
        <v>(2.241)</v>
      </c>
      <c r="I17" t="str">
        <f>"(1.452)"</f>
        <v>(1.452)</v>
      </c>
      <c r="J17" t="str">
        <f>"(1.585)"</f>
        <v>(1.585)</v>
      </c>
      <c r="K17" t="str">
        <f>""</f>
        <v/>
      </c>
      <c r="L17" t="str">
        <f>""</f>
        <v/>
      </c>
      <c r="M17" t="str">
        <f>""</f>
        <v/>
      </c>
      <c r="N17" t="str">
        <f>""</f>
        <v/>
      </c>
      <c r="O17" t="str">
        <f>""</f>
        <v/>
      </c>
      <c r="P17" t="str">
        <f>""</f>
        <v/>
      </c>
      <c r="Q17" t="str">
        <f>""</f>
        <v/>
      </c>
      <c r="R17" t="str">
        <f>""</f>
        <v/>
      </c>
      <c r="S17" t="str">
        <f>""</f>
        <v/>
      </c>
      <c r="T17" t="str">
        <f>""</f>
        <v/>
      </c>
      <c r="U17" t="str">
        <f>""</f>
        <v/>
      </c>
      <c r="V17" t="str">
        <f>""</f>
        <v/>
      </c>
      <c r="W17" t="str">
        <f>""</f>
        <v/>
      </c>
      <c r="X17" t="str">
        <f>""</f>
        <v/>
      </c>
      <c r="Y17" t="str">
        <f>""</f>
        <v/>
      </c>
      <c r="Z17" t="str">
        <f>"(1.573)"</f>
        <v>(1.573)</v>
      </c>
      <c r="AA17" t="str">
        <f>"(2.164)"</f>
        <v>(2.164)</v>
      </c>
      <c r="AB17" t="str">
        <f>"(2.798)"</f>
        <v>(2.798)</v>
      </c>
      <c r="AC17" t="str">
        <f>""</f>
        <v/>
      </c>
      <c r="AD17" t="str">
        <f>""</f>
        <v/>
      </c>
      <c r="AE17" t="str">
        <f>""</f>
        <v/>
      </c>
      <c r="AF17" t="str">
        <f>"(3.475)"</f>
        <v>(3.475)</v>
      </c>
      <c r="AG17" t="str">
        <f>"(3.699)"</f>
        <v>(3.699)</v>
      </c>
      <c r="AH17" t="str">
        <f>"(3.901)"</f>
        <v>(3.901)</v>
      </c>
      <c r="AI17" t="str">
        <f>""</f>
        <v/>
      </c>
      <c r="AJ17" t="str">
        <f>""</f>
        <v/>
      </c>
      <c r="AK17" t="str">
        <f>""</f>
        <v/>
      </c>
      <c r="AL17" t="str">
        <f>"(4.799)"</f>
        <v>(4.799)</v>
      </c>
      <c r="AM17" t="str">
        <f>"(5.156)"</f>
        <v>(5.156)</v>
      </c>
      <c r="AN17" t="str">
        <f>"(4.277)"</f>
        <v>(4.277)</v>
      </c>
      <c r="AO17" t="str">
        <f>""</f>
        <v/>
      </c>
      <c r="AP17" t="str">
        <f>""</f>
        <v/>
      </c>
      <c r="AQ17" t="str">
        <f>""</f>
        <v/>
      </c>
      <c r="AR17" t="str">
        <f>""</f>
        <v/>
      </c>
      <c r="AS17" t="str">
        <f>""</f>
        <v/>
      </c>
      <c r="AT17" t="str">
        <f>""</f>
        <v/>
      </c>
      <c r="AU17" t="str">
        <f>"(1.491)"</f>
        <v>(1.491)</v>
      </c>
      <c r="AV17" t="str">
        <f>"(1.728)"</f>
        <v>(1.728)</v>
      </c>
      <c r="AW17" t="str">
        <f>"(1.635)"</f>
        <v>(1.635)</v>
      </c>
      <c r="AX17" t="str">
        <f>""</f>
        <v/>
      </c>
      <c r="AY17" t="str">
        <f>""</f>
        <v/>
      </c>
      <c r="AZ17" t="str">
        <f>""</f>
        <v/>
      </c>
      <c r="BA17" t="str">
        <f>""</f>
        <v/>
      </c>
      <c r="BB17" t="str">
        <f>""</f>
        <v/>
      </c>
      <c r="BC17" t="str">
        <f>""</f>
        <v/>
      </c>
      <c r="BD17" t="str">
        <f>""</f>
        <v/>
      </c>
      <c r="BE17" t="str">
        <f>""</f>
        <v/>
      </c>
      <c r="BF17" t="str">
        <f>""</f>
        <v/>
      </c>
      <c r="BG17" t="str">
        <f>""</f>
        <v/>
      </c>
      <c r="BH17" t="str">
        <f>""</f>
        <v/>
      </c>
      <c r="BI17" t="str">
        <f>""</f>
        <v/>
      </c>
      <c r="BJ17" t="str">
        <f>""</f>
        <v/>
      </c>
      <c r="BK17" t="str">
        <f>""</f>
        <v/>
      </c>
      <c r="BL17" t="str">
        <f>""</f>
        <v/>
      </c>
      <c r="BM17" t="str">
        <f>"(1.582)"</f>
        <v>(1.582)</v>
      </c>
      <c r="BN17" t="str">
        <f>"(2.001)"</f>
        <v>(2.001)</v>
      </c>
      <c r="BO17" t="str">
        <f>"(1.933)"</f>
        <v>(1.933)</v>
      </c>
      <c r="BP17" t="str">
        <f>""</f>
        <v/>
      </c>
      <c r="BQ17" t="str">
        <f>""</f>
        <v/>
      </c>
      <c r="BR17" t="str">
        <f>""</f>
        <v/>
      </c>
      <c r="BS17" t="str">
        <f>"(3.464)"</f>
        <v>(3.464)</v>
      </c>
      <c r="BT17" t="str">
        <f>"(3.794)"</f>
        <v>(3.794)</v>
      </c>
      <c r="BU17" t="str">
        <f>"(3.653)"</f>
        <v>(3.653)</v>
      </c>
      <c r="BV17" t="str">
        <f>""</f>
        <v/>
      </c>
      <c r="BW17" t="str">
        <f>""</f>
        <v/>
      </c>
      <c r="BX17" t="str">
        <f>""</f>
        <v/>
      </c>
      <c r="BY17" t="str">
        <f>"(4.486)"</f>
        <v>(4.486)</v>
      </c>
      <c r="BZ17" t="str">
        <f>"(4.709)"</f>
        <v>(4.709)</v>
      </c>
      <c r="CA17" t="str">
        <f>"(4.251)"</f>
        <v>(4.251)</v>
      </c>
    </row>
    <row r="18" spans="1:79" x14ac:dyDescent="0.2">
      <c r="A18" t="str">
        <f>"s_psi_q1q5"</f>
        <v>s_psi_q1q5</v>
      </c>
      <c r="B18" t="str">
        <f>""</f>
        <v/>
      </c>
      <c r="C18" t="str">
        <f>""</f>
        <v/>
      </c>
      <c r="D18" t="str">
        <f>""</f>
        <v/>
      </c>
      <c r="E18" t="str">
        <f>""</f>
        <v/>
      </c>
      <c r="F18" t="str">
        <f>""</f>
        <v/>
      </c>
      <c r="G18" t="str">
        <f>""</f>
        <v/>
      </c>
      <c r="H18" t="str">
        <f>""</f>
        <v/>
      </c>
      <c r="I18" t="str">
        <f>""</f>
        <v/>
      </c>
      <c r="J18" t="str">
        <f>""</f>
        <v/>
      </c>
      <c r="K18" t="str">
        <f>".6219***"</f>
        <v>.6219***</v>
      </c>
      <c r="L18" t="str">
        <f>".2974**"</f>
        <v>.2974**</v>
      </c>
      <c r="M18" t="str">
        <f>".4269**"</f>
        <v>.4269**</v>
      </c>
      <c r="N18" t="str">
        <f>""</f>
        <v/>
      </c>
      <c r="O18" t="str">
        <f>""</f>
        <v/>
      </c>
      <c r="P18" t="str">
        <f>""</f>
        <v/>
      </c>
      <c r="Q18" t="str">
        <f>""</f>
        <v/>
      </c>
      <c r="R18" t="str">
        <f>""</f>
        <v/>
      </c>
      <c r="S18" t="str">
        <f>""</f>
        <v/>
      </c>
      <c r="T18" t="str">
        <f>"1.425**"</f>
        <v>1.425**</v>
      </c>
      <c r="U18" t="str">
        <f>"1.103**"</f>
        <v>1.103**</v>
      </c>
      <c r="V18" t="str">
        <f>"1.311***"</f>
        <v>1.311***</v>
      </c>
      <c r="W18" t="str">
        <f>"-.7378"</f>
        <v>-.7378</v>
      </c>
      <c r="X18" t="str">
        <f>"-.2984"</f>
        <v>-.2984</v>
      </c>
      <c r="Y18" t="str">
        <f>"-.01631"</f>
        <v>-.01631</v>
      </c>
      <c r="Z18" t="str">
        <f>""</f>
        <v/>
      </c>
      <c r="AA18" t="str">
        <f>""</f>
        <v/>
      </c>
      <c r="AB18" t="str">
        <f>""</f>
        <v/>
      </c>
      <c r="AC18" t="str">
        <f>""</f>
        <v/>
      </c>
      <c r="AD18" t="str">
        <f>""</f>
        <v/>
      </c>
      <c r="AE18" t="str">
        <f>""</f>
        <v/>
      </c>
      <c r="AF18" t="str">
        <f>""</f>
        <v/>
      </c>
      <c r="AG18" t="str">
        <f>""</f>
        <v/>
      </c>
      <c r="AH18" t="str">
        <f>""</f>
        <v/>
      </c>
      <c r="AI18" t="str">
        <f>""</f>
        <v/>
      </c>
      <c r="AJ18" t="str">
        <f>""</f>
        <v/>
      </c>
      <c r="AK18" t="str">
        <f>""</f>
        <v/>
      </c>
      <c r="AL18" t="str">
        <f>""</f>
        <v/>
      </c>
      <c r="AM18" t="str">
        <f>""</f>
        <v/>
      </c>
      <c r="AN18" t="str">
        <f>""</f>
        <v/>
      </c>
      <c r="AO18" t="str">
        <f>""</f>
        <v/>
      </c>
      <c r="AP18" t="str">
        <f>""</f>
        <v/>
      </c>
      <c r="AQ18" t="str">
        <f>""</f>
        <v/>
      </c>
      <c r="AR18" t="str">
        <f>""</f>
        <v/>
      </c>
      <c r="AS18" t="str">
        <f>""</f>
        <v/>
      </c>
      <c r="AT18" t="str">
        <f>""</f>
        <v/>
      </c>
      <c r="AU18" t="str">
        <f>""</f>
        <v/>
      </c>
      <c r="AV18" t="str">
        <f>""</f>
        <v/>
      </c>
      <c r="AW18" t="str">
        <f>""</f>
        <v/>
      </c>
      <c r="AX18" t="str">
        <f>"-.1733"</f>
        <v>-.1733</v>
      </c>
      <c r="AY18" t="str">
        <f>"-.2721**"</f>
        <v>-.2721**</v>
      </c>
      <c r="AZ18" t="str">
        <f>"-.07583"</f>
        <v>-.07583</v>
      </c>
      <c r="BA18" t="str">
        <f>""</f>
        <v/>
      </c>
      <c r="BB18" t="str">
        <f>""</f>
        <v/>
      </c>
      <c r="BC18" t="str">
        <f>""</f>
        <v/>
      </c>
      <c r="BD18" t="str">
        <f>""</f>
        <v/>
      </c>
      <c r="BE18" t="str">
        <f>""</f>
        <v/>
      </c>
      <c r="BF18" t="str">
        <f>""</f>
        <v/>
      </c>
      <c r="BG18" t="str">
        <f>".4559"</f>
        <v>.4559</v>
      </c>
      <c r="BH18" t="str">
        <f>"-.01191"</f>
        <v>-.01191</v>
      </c>
      <c r="BI18" t="str">
        <f>".2147"</f>
        <v>.2147</v>
      </c>
      <c r="BJ18" t="str">
        <f>"-.1053"</f>
        <v>-.1053</v>
      </c>
      <c r="BK18" t="str">
        <f>"-.3173"</f>
        <v>-.3173</v>
      </c>
      <c r="BL18" t="str">
        <f>"-.0262"</f>
        <v>-.0262</v>
      </c>
      <c r="BM18" t="str">
        <f>""</f>
        <v/>
      </c>
      <c r="BN18" t="str">
        <f>""</f>
        <v/>
      </c>
      <c r="BO18" t="str">
        <f>""</f>
        <v/>
      </c>
      <c r="BP18" t="str">
        <f>""</f>
        <v/>
      </c>
      <c r="BQ18" t="str">
        <f>""</f>
        <v/>
      </c>
      <c r="BR18" t="str">
        <f>""</f>
        <v/>
      </c>
      <c r="BS18" t="str">
        <f>""</f>
        <v/>
      </c>
      <c r="BT18" t="str">
        <f>""</f>
        <v/>
      </c>
      <c r="BU18" t="str">
        <f>""</f>
        <v/>
      </c>
      <c r="BV18" t="str">
        <f>""</f>
        <v/>
      </c>
      <c r="BW18" t="str">
        <f>""</f>
        <v/>
      </c>
      <c r="BX18" t="str">
        <f>""</f>
        <v/>
      </c>
      <c r="BY18" t="str">
        <f>""</f>
        <v/>
      </c>
      <c r="BZ18" t="str">
        <f>""</f>
        <v/>
      </c>
      <c r="CA18" t="str">
        <f>""</f>
        <v/>
      </c>
    </row>
    <row r="19" spans="1:79" x14ac:dyDescent="0.2">
      <c r="A19" t="str">
        <f>""</f>
        <v/>
      </c>
      <c r="B19" t="str">
        <f>""</f>
        <v/>
      </c>
      <c r="C19" t="str">
        <f>""</f>
        <v/>
      </c>
      <c r="D19" t="str">
        <f>""</f>
        <v/>
      </c>
      <c r="E19" t="str">
        <f>""</f>
        <v/>
      </c>
      <c r="F19" t="str">
        <f>""</f>
        <v/>
      </c>
      <c r="G19" t="str">
        <f>""</f>
        <v/>
      </c>
      <c r="H19" t="str">
        <f>""</f>
        <v/>
      </c>
      <c r="I19" t="str">
        <f>""</f>
        <v/>
      </c>
      <c r="J19" t="str">
        <f>""</f>
        <v/>
      </c>
      <c r="K19" t="str">
        <f>"(.1999)"</f>
        <v>(.1999)</v>
      </c>
      <c r="L19" t="str">
        <f>"(.1302)"</f>
        <v>(.1302)</v>
      </c>
      <c r="M19" t="str">
        <f>"(.1964)"</f>
        <v>(.1964)</v>
      </c>
      <c r="N19" t="str">
        <f>""</f>
        <v/>
      </c>
      <c r="O19" t="str">
        <f>""</f>
        <v/>
      </c>
      <c r="P19" t="str">
        <f>""</f>
        <v/>
      </c>
      <c r="Q19" t="str">
        <f>""</f>
        <v/>
      </c>
      <c r="R19" t="str">
        <f>""</f>
        <v/>
      </c>
      <c r="S19" t="str">
        <f>""</f>
        <v/>
      </c>
      <c r="T19" t="str">
        <f>"(.6027)"</f>
        <v>(.6027)</v>
      </c>
      <c r="U19" t="str">
        <f>"(.453)"</f>
        <v>(.453)</v>
      </c>
      <c r="V19" t="str">
        <f>"(.4737)"</f>
        <v>(.4737)</v>
      </c>
      <c r="W19" t="str">
        <f>"(.5467)"</f>
        <v>(.5467)</v>
      </c>
      <c r="X19" t="str">
        <f>"(.5915)"</f>
        <v>(.5915)</v>
      </c>
      <c r="Y19" t="str">
        <f>"(.4998)"</f>
        <v>(.4998)</v>
      </c>
      <c r="Z19" t="str">
        <f>""</f>
        <v/>
      </c>
      <c r="AA19" t="str">
        <f>""</f>
        <v/>
      </c>
      <c r="AB19" t="str">
        <f>""</f>
        <v/>
      </c>
      <c r="AC19" t="str">
        <f>""</f>
        <v/>
      </c>
      <c r="AD19" t="str">
        <f>""</f>
        <v/>
      </c>
      <c r="AE19" t="str">
        <f>""</f>
        <v/>
      </c>
      <c r="AF19" t="str">
        <f>""</f>
        <v/>
      </c>
      <c r="AG19" t="str">
        <f>""</f>
        <v/>
      </c>
      <c r="AH19" t="str">
        <f>""</f>
        <v/>
      </c>
      <c r="AI19" t="str">
        <f>""</f>
        <v/>
      </c>
      <c r="AJ19" t="str">
        <f>""</f>
        <v/>
      </c>
      <c r="AK19" t="str">
        <f>""</f>
        <v/>
      </c>
      <c r="AL19" t="str">
        <f>""</f>
        <v/>
      </c>
      <c r="AM19" t="str">
        <f>""</f>
        <v/>
      </c>
      <c r="AN19" t="str">
        <f>""</f>
        <v/>
      </c>
      <c r="AO19" t="str">
        <f>""</f>
        <v/>
      </c>
      <c r="AP19" t="str">
        <f>""</f>
        <v/>
      </c>
      <c r="AQ19" t="str">
        <f>""</f>
        <v/>
      </c>
      <c r="AR19" t="str">
        <f>""</f>
        <v/>
      </c>
      <c r="AS19" t="str">
        <f>""</f>
        <v/>
      </c>
      <c r="AT19" t="str">
        <f>""</f>
        <v/>
      </c>
      <c r="AU19" t="str">
        <f>""</f>
        <v/>
      </c>
      <c r="AV19" t="str">
        <f>""</f>
        <v/>
      </c>
      <c r="AW19" t="str">
        <f>""</f>
        <v/>
      </c>
      <c r="AX19" t="str">
        <f>"(.117)"</f>
        <v>(.117)</v>
      </c>
      <c r="AY19" t="str">
        <f>"(.1373)"</f>
        <v>(.1373)</v>
      </c>
      <c r="AZ19" t="str">
        <f>"(.1611)"</f>
        <v>(.1611)</v>
      </c>
      <c r="BA19" t="str">
        <f>""</f>
        <v/>
      </c>
      <c r="BB19" t="str">
        <f>""</f>
        <v/>
      </c>
      <c r="BC19" t="str">
        <f>""</f>
        <v/>
      </c>
      <c r="BD19" t="str">
        <f>""</f>
        <v/>
      </c>
      <c r="BE19" t="str">
        <f>""</f>
        <v/>
      </c>
      <c r="BF19" t="str">
        <f>""</f>
        <v/>
      </c>
      <c r="BG19" t="str">
        <f>"(.5056)"</f>
        <v>(.5056)</v>
      </c>
      <c r="BH19" t="str">
        <f>"(.5914)"</f>
        <v>(.5914)</v>
      </c>
      <c r="BI19" t="str">
        <f>"(.336)"</f>
        <v>(.336)</v>
      </c>
      <c r="BJ19" t="str">
        <f>"(.5171)"</f>
        <v>(.5171)</v>
      </c>
      <c r="BK19" t="str">
        <f>"(.5779)"</f>
        <v>(.5779)</v>
      </c>
      <c r="BL19" t="str">
        <f>"(.5353)"</f>
        <v>(.5353)</v>
      </c>
      <c r="BM19" t="str">
        <f>""</f>
        <v/>
      </c>
      <c r="BN19" t="str">
        <f>""</f>
        <v/>
      </c>
      <c r="BO19" t="str">
        <f>""</f>
        <v/>
      </c>
      <c r="BP19" t="str">
        <f>""</f>
        <v/>
      </c>
      <c r="BQ19" t="str">
        <f>""</f>
        <v/>
      </c>
      <c r="BR19" t="str">
        <f>""</f>
        <v/>
      </c>
      <c r="BS19" t="str">
        <f>""</f>
        <v/>
      </c>
      <c r="BT19" t="str">
        <f>""</f>
        <v/>
      </c>
      <c r="BU19" t="str">
        <f>""</f>
        <v/>
      </c>
      <c r="BV19" t="str">
        <f>""</f>
        <v/>
      </c>
      <c r="BW19" t="str">
        <f>""</f>
        <v/>
      </c>
      <c r="BX19" t="str">
        <f>""</f>
        <v/>
      </c>
      <c r="BY19" t="str">
        <f>""</f>
        <v/>
      </c>
      <c r="BZ19" t="str">
        <f>""</f>
        <v/>
      </c>
      <c r="CA19" t="str">
        <f>""</f>
        <v/>
      </c>
    </row>
    <row r="20" spans="1:79" x14ac:dyDescent="0.2">
      <c r="A20" t="str">
        <f>"Es_psi_q1q5"</f>
        <v>Es_psi_q1q5</v>
      </c>
      <c r="B20" t="str">
        <f>""</f>
        <v/>
      </c>
      <c r="C20" t="str">
        <f>""</f>
        <v/>
      </c>
      <c r="D20" t="str">
        <f>""</f>
        <v/>
      </c>
      <c r="E20" t="str">
        <f>""</f>
        <v/>
      </c>
      <c r="F20" t="str">
        <f>""</f>
        <v/>
      </c>
      <c r="G20" t="str">
        <f>""</f>
        <v/>
      </c>
      <c r="H20" t="str">
        <f>""</f>
        <v/>
      </c>
      <c r="I20" t="str">
        <f>""</f>
        <v/>
      </c>
      <c r="J20" t="str">
        <f>""</f>
        <v/>
      </c>
      <c r="K20" t="str">
        <f>"3.171***"</f>
        <v>3.171***</v>
      </c>
      <c r="L20" t="str">
        <f>"2.815***"</f>
        <v>2.815***</v>
      </c>
      <c r="M20" t="str">
        <f>"2.542***"</f>
        <v>2.542***</v>
      </c>
      <c r="N20" t="str">
        <f>""</f>
        <v/>
      </c>
      <c r="O20" t="str">
        <f>""</f>
        <v/>
      </c>
      <c r="P20" t="str">
        <f>""</f>
        <v/>
      </c>
      <c r="Q20" t="str">
        <f>""</f>
        <v/>
      </c>
      <c r="R20" t="str">
        <f>""</f>
        <v/>
      </c>
      <c r="S20" t="str">
        <f>""</f>
        <v/>
      </c>
      <c r="T20" t="str">
        <f>""</f>
        <v/>
      </c>
      <c r="U20" t="str">
        <f>""</f>
        <v/>
      </c>
      <c r="V20" t="str">
        <f>""</f>
        <v/>
      </c>
      <c r="W20" t="str">
        <f>""</f>
        <v/>
      </c>
      <c r="X20" t="str">
        <f>""</f>
        <v/>
      </c>
      <c r="Y20" t="str">
        <f>""</f>
        <v/>
      </c>
      <c r="Z20" t="str">
        <f>""</f>
        <v/>
      </c>
      <c r="AA20" t="str">
        <f>""</f>
        <v/>
      </c>
      <c r="AB20" t="str">
        <f>""</f>
        <v/>
      </c>
      <c r="AC20" t="str">
        <f>""</f>
        <v/>
      </c>
      <c r="AD20" t="str">
        <f>""</f>
        <v/>
      </c>
      <c r="AE20" t="str">
        <f>""</f>
        <v/>
      </c>
      <c r="AF20" t="str">
        <f>"7.406***"</f>
        <v>7.406***</v>
      </c>
      <c r="AG20" t="str">
        <f>"5.113**"</f>
        <v>5.113**</v>
      </c>
      <c r="AH20" t="str">
        <f>"3.877"</f>
        <v>3.877</v>
      </c>
      <c r="AI20" t="str">
        <f>""</f>
        <v/>
      </c>
      <c r="AJ20" t="str">
        <f>""</f>
        <v/>
      </c>
      <c r="AK20" t="str">
        <f>""</f>
        <v/>
      </c>
      <c r="AL20" t="str">
        <f>"7.544**"</f>
        <v>7.544**</v>
      </c>
      <c r="AM20" t="str">
        <f>"4.04"</f>
        <v>4.04</v>
      </c>
      <c r="AN20" t="str">
        <f>"3.659"</f>
        <v>3.659</v>
      </c>
      <c r="AO20" t="str">
        <f>""</f>
        <v/>
      </c>
      <c r="AP20" t="str">
        <f>""</f>
        <v/>
      </c>
      <c r="AQ20" t="str">
        <f>""</f>
        <v/>
      </c>
      <c r="AR20" t="str">
        <f>""</f>
        <v/>
      </c>
      <c r="AS20" t="str">
        <f>""</f>
        <v/>
      </c>
      <c r="AT20" t="str">
        <f>""</f>
        <v/>
      </c>
      <c r="AU20" t="str">
        <f>""</f>
        <v/>
      </c>
      <c r="AV20" t="str">
        <f>""</f>
        <v/>
      </c>
      <c r="AW20" t="str">
        <f>""</f>
        <v/>
      </c>
      <c r="AX20" t="str">
        <f>"2.751***"</f>
        <v>2.751***</v>
      </c>
      <c r="AY20" t="str">
        <f>"2.527***"</f>
        <v>2.527***</v>
      </c>
      <c r="AZ20" t="str">
        <f>"2.048**"</f>
        <v>2.048**</v>
      </c>
      <c r="BA20" t="str">
        <f>""</f>
        <v/>
      </c>
      <c r="BB20" t="str">
        <f>""</f>
        <v/>
      </c>
      <c r="BC20" t="str">
        <f>""</f>
        <v/>
      </c>
      <c r="BD20" t="str">
        <f>""</f>
        <v/>
      </c>
      <c r="BE20" t="str">
        <f>""</f>
        <v/>
      </c>
      <c r="BF20" t="str">
        <f>""</f>
        <v/>
      </c>
      <c r="BG20" t="str">
        <f>""</f>
        <v/>
      </c>
      <c r="BH20" t="str">
        <f>""</f>
        <v/>
      </c>
      <c r="BI20" t="str">
        <f>""</f>
        <v/>
      </c>
      <c r="BJ20" t="str">
        <f>""</f>
        <v/>
      </c>
      <c r="BK20" t="str">
        <f>""</f>
        <v/>
      </c>
      <c r="BL20" t="str">
        <f>""</f>
        <v/>
      </c>
      <c r="BM20" t="str">
        <f>""</f>
        <v/>
      </c>
      <c r="BN20" t="str">
        <f>""</f>
        <v/>
      </c>
      <c r="BO20" t="str">
        <f>""</f>
        <v/>
      </c>
      <c r="BP20" t="str">
        <f>""</f>
        <v/>
      </c>
      <c r="BQ20" t="str">
        <f>""</f>
        <v/>
      </c>
      <c r="BR20" t="str">
        <f>""</f>
        <v/>
      </c>
      <c r="BS20" t="str">
        <f>"7.489***"</f>
        <v>7.489***</v>
      </c>
      <c r="BT20" t="str">
        <f>"6.58***"</f>
        <v>6.58***</v>
      </c>
      <c r="BU20" t="str">
        <f>"5.195**"</f>
        <v>5.195**</v>
      </c>
      <c r="BV20" t="str">
        <f>""</f>
        <v/>
      </c>
      <c r="BW20" t="str">
        <f>""</f>
        <v/>
      </c>
      <c r="BX20" t="str">
        <f>""</f>
        <v/>
      </c>
      <c r="BY20" t="str">
        <f>"9.323***"</f>
        <v>9.323***</v>
      </c>
      <c r="BZ20" t="str">
        <f>"6.932**"</f>
        <v>6.932**</v>
      </c>
      <c r="CA20" t="str">
        <f>"5.782**"</f>
        <v>5.782**</v>
      </c>
    </row>
    <row r="21" spans="1:79" x14ac:dyDescent="0.2">
      <c r="A21" t="str">
        <f>""</f>
        <v/>
      </c>
      <c r="B21" t="str">
        <f>""</f>
        <v/>
      </c>
      <c r="C21" t="str">
        <f>""</f>
        <v/>
      </c>
      <c r="D21" t="str">
        <f>""</f>
        <v/>
      </c>
      <c r="E21" t="str">
        <f>""</f>
        <v/>
      </c>
      <c r="F21" t="str">
        <f>""</f>
        <v/>
      </c>
      <c r="G21" t="str">
        <f>""</f>
        <v/>
      </c>
      <c r="H21" t="str">
        <f>""</f>
        <v/>
      </c>
      <c r="I21" t="str">
        <f>""</f>
        <v/>
      </c>
      <c r="J21" t="str">
        <f>""</f>
        <v/>
      </c>
      <c r="K21" t="str">
        <f>"(.8857)"</f>
        <v>(.8857)</v>
      </c>
      <c r="L21" t="str">
        <f>"(.6857)"</f>
        <v>(.6857)</v>
      </c>
      <c r="M21" t="str">
        <f>"(.7762)"</f>
        <v>(.7762)</v>
      </c>
      <c r="N21" t="str">
        <f>""</f>
        <v/>
      </c>
      <c r="O21" t="str">
        <f>""</f>
        <v/>
      </c>
      <c r="P21" t="str">
        <f>""</f>
        <v/>
      </c>
      <c r="Q21" t="str">
        <f>""</f>
        <v/>
      </c>
      <c r="R21" t="str">
        <f>""</f>
        <v/>
      </c>
      <c r="S21" t="str">
        <f>""</f>
        <v/>
      </c>
      <c r="T21" t="str">
        <f>""</f>
        <v/>
      </c>
      <c r="U21" t="str">
        <f>""</f>
        <v/>
      </c>
      <c r="V21" t="str">
        <f>""</f>
        <v/>
      </c>
      <c r="W21" t="str">
        <f>""</f>
        <v/>
      </c>
      <c r="X21" t="str">
        <f>""</f>
        <v/>
      </c>
      <c r="Y21" t="str">
        <f>""</f>
        <v/>
      </c>
      <c r="Z21" t="str">
        <f>""</f>
        <v/>
      </c>
      <c r="AA21" t="str">
        <f>""</f>
        <v/>
      </c>
      <c r="AB21" t="str">
        <f>""</f>
        <v/>
      </c>
      <c r="AC21" t="str">
        <f>""</f>
        <v/>
      </c>
      <c r="AD21" t="str">
        <f>""</f>
        <v/>
      </c>
      <c r="AE21" t="str">
        <f>""</f>
        <v/>
      </c>
      <c r="AF21" t="str">
        <f>"(2.314)"</f>
        <v>(2.314)</v>
      </c>
      <c r="AG21" t="str">
        <f>"(2.469)"</f>
        <v>(2.469)</v>
      </c>
      <c r="AH21" t="str">
        <f>"(3.04)"</f>
        <v>(3.04)</v>
      </c>
      <c r="AI21" t="str">
        <f>""</f>
        <v/>
      </c>
      <c r="AJ21" t="str">
        <f>""</f>
        <v/>
      </c>
      <c r="AK21" t="str">
        <f>""</f>
        <v/>
      </c>
      <c r="AL21" t="str">
        <f>"(3.127)"</f>
        <v>(3.127)</v>
      </c>
      <c r="AM21" t="str">
        <f>"(3.421)"</f>
        <v>(3.421)</v>
      </c>
      <c r="AN21" t="str">
        <f>"(3.26)"</f>
        <v>(3.26)</v>
      </c>
      <c r="AO21" t="str">
        <f>""</f>
        <v/>
      </c>
      <c r="AP21" t="str">
        <f>""</f>
        <v/>
      </c>
      <c r="AQ21" t="str">
        <f>""</f>
        <v/>
      </c>
      <c r="AR21" t="str">
        <f>""</f>
        <v/>
      </c>
      <c r="AS21" t="str">
        <f>""</f>
        <v/>
      </c>
      <c r="AT21" t="str">
        <f>""</f>
        <v/>
      </c>
      <c r="AU21" t="str">
        <f>""</f>
        <v/>
      </c>
      <c r="AV21" t="str">
        <f>""</f>
        <v/>
      </c>
      <c r="AW21" t="str">
        <f>""</f>
        <v/>
      </c>
      <c r="AX21" t="str">
        <f>"(.7072)"</f>
        <v>(.7072)</v>
      </c>
      <c r="AY21" t="str">
        <f>"(.8643)"</f>
        <v>(.8643)</v>
      </c>
      <c r="AZ21" t="str">
        <f>"(.8206)"</f>
        <v>(.8206)</v>
      </c>
      <c r="BA21" t="str">
        <f>""</f>
        <v/>
      </c>
      <c r="BB21" t="str">
        <f>""</f>
        <v/>
      </c>
      <c r="BC21" t="str">
        <f>""</f>
        <v/>
      </c>
      <c r="BD21" t="str">
        <f>""</f>
        <v/>
      </c>
      <c r="BE21" t="str">
        <f>""</f>
        <v/>
      </c>
      <c r="BF21" t="str">
        <f>""</f>
        <v/>
      </c>
      <c r="BG21" t="str">
        <f>""</f>
        <v/>
      </c>
      <c r="BH21" t="str">
        <f>""</f>
        <v/>
      </c>
      <c r="BI21" t="str">
        <f>""</f>
        <v/>
      </c>
      <c r="BJ21" t="str">
        <f>""</f>
        <v/>
      </c>
      <c r="BK21" t="str">
        <f>""</f>
        <v/>
      </c>
      <c r="BL21" t="str">
        <f>""</f>
        <v/>
      </c>
      <c r="BM21" t="str">
        <f>""</f>
        <v/>
      </c>
      <c r="BN21" t="str">
        <f>""</f>
        <v/>
      </c>
      <c r="BO21" t="str">
        <f>""</f>
        <v/>
      </c>
      <c r="BP21" t="str">
        <f>""</f>
        <v/>
      </c>
      <c r="BQ21" t="str">
        <f>""</f>
        <v/>
      </c>
      <c r="BR21" t="str">
        <f>""</f>
        <v/>
      </c>
      <c r="BS21" t="str">
        <f>"(2.321)"</f>
        <v>(2.321)</v>
      </c>
      <c r="BT21" t="str">
        <f>"(2.449)"</f>
        <v>(2.449)</v>
      </c>
      <c r="BU21" t="str">
        <f>"(2.323)"</f>
        <v>(2.323)</v>
      </c>
      <c r="BV21" t="str">
        <f>""</f>
        <v/>
      </c>
      <c r="BW21" t="str">
        <f>""</f>
        <v/>
      </c>
      <c r="BX21" t="str">
        <f>""</f>
        <v/>
      </c>
      <c r="BY21" t="str">
        <f>"(2.859)"</f>
        <v>(2.859)</v>
      </c>
      <c r="BZ21" t="str">
        <f>"(2.971)"</f>
        <v>(2.971)</v>
      </c>
      <c r="CA21" t="str">
        <f>"(2.645)"</f>
        <v>(2.645)</v>
      </c>
    </row>
    <row r="22" spans="1:79" x14ac:dyDescent="0.2">
      <c r="A22" t="str">
        <f>"lnmw"</f>
        <v>lnmw</v>
      </c>
      <c r="B22" t="str">
        <f>""</f>
        <v/>
      </c>
      <c r="C22" t="str">
        <f>""</f>
        <v/>
      </c>
      <c r="D22" t="str">
        <f>""</f>
        <v/>
      </c>
      <c r="E22" t="str">
        <f>""</f>
        <v/>
      </c>
      <c r="F22" t="str">
        <f>""</f>
        <v/>
      </c>
      <c r="G22" t="str">
        <f>""</f>
        <v/>
      </c>
      <c r="H22" t="str">
        <f>""</f>
        <v/>
      </c>
      <c r="I22" t="str">
        <f>""</f>
        <v/>
      </c>
      <c r="J22" t="str">
        <f>""</f>
        <v/>
      </c>
      <c r="K22" t="str">
        <f>""</f>
        <v/>
      </c>
      <c r="L22" t="str">
        <f>""</f>
        <v/>
      </c>
      <c r="M22" t="str">
        <f>""</f>
        <v/>
      </c>
      <c r="N22" t="str">
        <f>""</f>
        <v/>
      </c>
      <c r="O22" t="str">
        <f>""</f>
        <v/>
      </c>
      <c r="P22" t="str">
        <f>""</f>
        <v/>
      </c>
      <c r="Q22" t="str">
        <f>""</f>
        <v/>
      </c>
      <c r="R22" t="str">
        <f>""</f>
        <v/>
      </c>
      <c r="S22" t="str">
        <f>""</f>
        <v/>
      </c>
      <c r="T22" t="str">
        <f>""</f>
        <v/>
      </c>
      <c r="U22" t="str">
        <f>""</f>
        <v/>
      </c>
      <c r="V22" t="str">
        <f>""</f>
        <v/>
      </c>
      <c r="W22" t="str">
        <f>""</f>
        <v/>
      </c>
      <c r="X22" t="str">
        <f>""</f>
        <v/>
      </c>
      <c r="Y22" t="str">
        <f>""</f>
        <v/>
      </c>
      <c r="Z22" t="str">
        <f>""</f>
        <v/>
      </c>
      <c r="AA22" t="str">
        <f>""</f>
        <v/>
      </c>
      <c r="AB22" t="str">
        <f>""</f>
        <v/>
      </c>
      <c r="AC22" t="str">
        <f>""</f>
        <v/>
      </c>
      <c r="AD22" t="str">
        <f>""</f>
        <v/>
      </c>
      <c r="AE22" t="str">
        <f>""</f>
        <v/>
      </c>
      <c r="AF22" t="str">
        <f>""</f>
        <v/>
      </c>
      <c r="AG22" t="str">
        <f>""</f>
        <v/>
      </c>
      <c r="AH22" t="str">
        <f>""</f>
        <v/>
      </c>
      <c r="AI22" t="str">
        <f>"1.019***"</f>
        <v>1.019***</v>
      </c>
      <c r="AJ22" t="str">
        <f>".5596***"</f>
        <v>.5596***</v>
      </c>
      <c r="AK22" t="str">
        <f>".7286***"</f>
        <v>.7286***</v>
      </c>
      <c r="AL22" t="str">
        <f>"-.007345"</f>
        <v>-.007345</v>
      </c>
      <c r="AM22" t="str">
        <f>".1014"</f>
        <v>.1014</v>
      </c>
      <c r="AN22" t="str">
        <f>".05882"</f>
        <v>.05882</v>
      </c>
      <c r="AO22" t="str">
        <f>""</f>
        <v/>
      </c>
      <c r="AP22" t="str">
        <f>""</f>
        <v/>
      </c>
      <c r="AQ22" t="str">
        <f>""</f>
        <v/>
      </c>
      <c r="AR22" t="str">
        <f>""</f>
        <v/>
      </c>
      <c r="AS22" t="str">
        <f>""</f>
        <v/>
      </c>
      <c r="AT22" t="str">
        <f>""</f>
        <v/>
      </c>
      <c r="AU22" t="str">
        <f>""</f>
        <v/>
      </c>
      <c r="AV22" t="str">
        <f>""</f>
        <v/>
      </c>
      <c r="AW22" t="str">
        <f>""</f>
        <v/>
      </c>
      <c r="AX22" t="str">
        <f>""</f>
        <v/>
      </c>
      <c r="AY22" t="str">
        <f>""</f>
        <v/>
      </c>
      <c r="AZ22" t="str">
        <f>""</f>
        <v/>
      </c>
      <c r="BA22" t="str">
        <f>""</f>
        <v/>
      </c>
      <c r="BB22" t="str">
        <f>""</f>
        <v/>
      </c>
      <c r="BC22" t="str">
        <f>""</f>
        <v/>
      </c>
      <c r="BD22" t="str">
        <f>""</f>
        <v/>
      </c>
      <c r="BE22" t="str">
        <f>""</f>
        <v/>
      </c>
      <c r="BF22" t="str">
        <f>""</f>
        <v/>
      </c>
      <c r="BG22" t="str">
        <f>""</f>
        <v/>
      </c>
      <c r="BH22" t="str">
        <f>""</f>
        <v/>
      </c>
      <c r="BI22" t="str">
        <f>""</f>
        <v/>
      </c>
      <c r="BJ22" t="str">
        <f>""</f>
        <v/>
      </c>
      <c r="BK22" t="str">
        <f>""</f>
        <v/>
      </c>
      <c r="BL22" t="str">
        <f>""</f>
        <v/>
      </c>
      <c r="BM22" t="str">
        <f>""</f>
        <v/>
      </c>
      <c r="BN22" t="str">
        <f>""</f>
        <v/>
      </c>
      <c r="BO22" t="str">
        <f>""</f>
        <v/>
      </c>
      <c r="BP22" t="str">
        <f>""</f>
        <v/>
      </c>
      <c r="BQ22" t="str">
        <f>""</f>
        <v/>
      </c>
      <c r="BR22" t="str">
        <f>""</f>
        <v/>
      </c>
      <c r="BS22" t="str">
        <f>""</f>
        <v/>
      </c>
      <c r="BT22" t="str">
        <f>""</f>
        <v/>
      </c>
      <c r="BU22" t="str">
        <f>""</f>
        <v/>
      </c>
      <c r="BV22" t="str">
        <f>".2901***"</f>
        <v>.2901***</v>
      </c>
      <c r="BW22" t="str">
        <f>".1546"</f>
        <v>.1546</v>
      </c>
      <c r="BX22" t="str">
        <f>".01117"</f>
        <v>.01117</v>
      </c>
      <c r="BY22" t="str">
        <f>"-.1347"</f>
        <v>-.1347</v>
      </c>
      <c r="BZ22" t="str">
        <f>"-.03136"</f>
        <v>-.03136</v>
      </c>
      <c r="CA22" t="str">
        <f>"-.09727"</f>
        <v>-.09727</v>
      </c>
    </row>
    <row r="23" spans="1:79" x14ac:dyDescent="0.2">
      <c r="A23" t="str">
        <f>""</f>
        <v/>
      </c>
      <c r="B23" t="str">
        <f>""</f>
        <v/>
      </c>
      <c r="C23" t="str">
        <f>""</f>
        <v/>
      </c>
      <c r="D23" t="str">
        <f>""</f>
        <v/>
      </c>
      <c r="E23" t="str">
        <f>""</f>
        <v/>
      </c>
      <c r="F23" t="str">
        <f>""</f>
        <v/>
      </c>
      <c r="G23" t="str">
        <f>""</f>
        <v/>
      </c>
      <c r="H23" t="str">
        <f>""</f>
        <v/>
      </c>
      <c r="I23" t="str">
        <f>""</f>
        <v/>
      </c>
      <c r="J23" t="str">
        <f>""</f>
        <v/>
      </c>
      <c r="K23" t="str">
        <f>""</f>
        <v/>
      </c>
      <c r="L23" t="str">
        <f>""</f>
        <v/>
      </c>
      <c r="M23" t="str">
        <f>""</f>
        <v/>
      </c>
      <c r="N23" t="str">
        <f>""</f>
        <v/>
      </c>
      <c r="O23" t="str">
        <f>""</f>
        <v/>
      </c>
      <c r="P23" t="str">
        <f>""</f>
        <v/>
      </c>
      <c r="Q23" t="str">
        <f>""</f>
        <v/>
      </c>
      <c r="R23" t="str">
        <f>""</f>
        <v/>
      </c>
      <c r="S23" t="str">
        <f>""</f>
        <v/>
      </c>
      <c r="T23" t="str">
        <f>""</f>
        <v/>
      </c>
      <c r="U23" t="str">
        <f>""</f>
        <v/>
      </c>
      <c r="V23" t="str">
        <f>""</f>
        <v/>
      </c>
      <c r="W23" t="str">
        <f>""</f>
        <v/>
      </c>
      <c r="X23" t="str">
        <f>""</f>
        <v/>
      </c>
      <c r="Y23" t="str">
        <f>""</f>
        <v/>
      </c>
      <c r="Z23" t="str">
        <f>""</f>
        <v/>
      </c>
      <c r="AA23" t="str">
        <f>""</f>
        <v/>
      </c>
      <c r="AB23" t="str">
        <f>""</f>
        <v/>
      </c>
      <c r="AC23" t="str">
        <f>""</f>
        <v/>
      </c>
      <c r="AD23" t="str">
        <f>""</f>
        <v/>
      </c>
      <c r="AE23" t="str">
        <f>""</f>
        <v/>
      </c>
      <c r="AF23" t="str">
        <f>""</f>
        <v/>
      </c>
      <c r="AG23" t="str">
        <f>""</f>
        <v/>
      </c>
      <c r="AH23" t="str">
        <f>""</f>
        <v/>
      </c>
      <c r="AI23" t="str">
        <f>"(.1635)"</f>
        <v>(.1635)</v>
      </c>
      <c r="AJ23" t="str">
        <f>"(.1594)"</f>
        <v>(.1594)</v>
      </c>
      <c r="AK23" t="str">
        <f>"(.1839)"</f>
        <v>(.1839)</v>
      </c>
      <c r="AL23" t="str">
        <f>"(.1788)"</f>
        <v>(.1788)</v>
      </c>
      <c r="AM23" t="str">
        <f>"(.1934)"</f>
        <v>(.1934)</v>
      </c>
      <c r="AN23" t="str">
        <f>"(.2463)"</f>
        <v>(.2463)</v>
      </c>
      <c r="AO23" t="str">
        <f>""</f>
        <v/>
      </c>
      <c r="AP23" t="str">
        <f>""</f>
        <v/>
      </c>
      <c r="AQ23" t="str">
        <f>""</f>
        <v/>
      </c>
      <c r="AR23" t="str">
        <f>""</f>
        <v/>
      </c>
      <c r="AS23" t="str">
        <f>""</f>
        <v/>
      </c>
      <c r="AT23" t="str">
        <f>""</f>
        <v/>
      </c>
      <c r="AU23" t="str">
        <f>""</f>
        <v/>
      </c>
      <c r="AV23" t="str">
        <f>""</f>
        <v/>
      </c>
      <c r="AW23" t="str">
        <f>""</f>
        <v/>
      </c>
      <c r="AX23" t="str">
        <f>""</f>
        <v/>
      </c>
      <c r="AY23" t="str">
        <f>""</f>
        <v/>
      </c>
      <c r="AZ23" t="str">
        <f>""</f>
        <v/>
      </c>
      <c r="BA23" t="str">
        <f>""</f>
        <v/>
      </c>
      <c r="BB23" t="str">
        <f>""</f>
        <v/>
      </c>
      <c r="BC23" t="str">
        <f>""</f>
        <v/>
      </c>
      <c r="BD23" t="str">
        <f>""</f>
        <v/>
      </c>
      <c r="BE23" t="str">
        <f>""</f>
        <v/>
      </c>
      <c r="BF23" t="str">
        <f>""</f>
        <v/>
      </c>
      <c r="BG23" t="str">
        <f>""</f>
        <v/>
      </c>
      <c r="BH23" t="str">
        <f>""</f>
        <v/>
      </c>
      <c r="BI23" t="str">
        <f>""</f>
        <v/>
      </c>
      <c r="BJ23" t="str">
        <f>""</f>
        <v/>
      </c>
      <c r="BK23" t="str">
        <f>""</f>
        <v/>
      </c>
      <c r="BL23" t="str">
        <f>""</f>
        <v/>
      </c>
      <c r="BM23" t="str">
        <f>""</f>
        <v/>
      </c>
      <c r="BN23" t="str">
        <f>""</f>
        <v/>
      </c>
      <c r="BO23" t="str">
        <f>""</f>
        <v/>
      </c>
      <c r="BP23" t="str">
        <f>""</f>
        <v/>
      </c>
      <c r="BQ23" t="str">
        <f>""</f>
        <v/>
      </c>
      <c r="BR23" t="str">
        <f>""</f>
        <v/>
      </c>
      <c r="BS23" t="str">
        <f>""</f>
        <v/>
      </c>
      <c r="BT23" t="str">
        <f>""</f>
        <v/>
      </c>
      <c r="BU23" t="str">
        <f>""</f>
        <v/>
      </c>
      <c r="BV23" t="str">
        <f>"(.1104)"</f>
        <v>(.1104)</v>
      </c>
      <c r="BW23" t="str">
        <f>"(.1543)"</f>
        <v>(.1543)</v>
      </c>
      <c r="BX23" t="str">
        <f>"(.1735)"</f>
        <v>(.1735)</v>
      </c>
      <c r="BY23" t="str">
        <f>"(.1704)"</f>
        <v>(.1704)</v>
      </c>
      <c r="BZ23" t="str">
        <f>"(.1764)"</f>
        <v>(.1764)</v>
      </c>
      <c r="CA23" t="str">
        <f>"(.217)"</f>
        <v>(.217)</v>
      </c>
    </row>
    <row r="24" spans="1:79" x14ac:dyDescent="0.2">
      <c r="A24" t="str">
        <f>"coverage"</f>
        <v>coverage</v>
      </c>
      <c r="B24" t="str">
        <f>""</f>
        <v/>
      </c>
      <c r="C24" t="str">
        <f>""</f>
        <v/>
      </c>
      <c r="D24" t="str">
        <f>""</f>
        <v/>
      </c>
      <c r="E24" t="str">
        <f>""</f>
        <v/>
      </c>
      <c r="F24" t="str">
        <f>""</f>
        <v/>
      </c>
      <c r="G24" t="str">
        <f>""</f>
        <v/>
      </c>
      <c r="H24" t="str">
        <f>""</f>
        <v/>
      </c>
      <c r="I24" t="str">
        <f>""</f>
        <v/>
      </c>
      <c r="J24" t="str">
        <f>""</f>
        <v/>
      </c>
      <c r="K24" t="str">
        <f>""</f>
        <v/>
      </c>
      <c r="L24" t="str">
        <f>""</f>
        <v/>
      </c>
      <c r="M24" t="str">
        <f>""</f>
        <v/>
      </c>
      <c r="N24" t="str">
        <f>""</f>
        <v/>
      </c>
      <c r="O24" t="str">
        <f>""</f>
        <v/>
      </c>
      <c r="P24" t="str">
        <f>""</f>
        <v/>
      </c>
      <c r="Q24" t="str">
        <f>""</f>
        <v/>
      </c>
      <c r="R24" t="str">
        <f>""</f>
        <v/>
      </c>
      <c r="S24" t="str">
        <f>""</f>
        <v/>
      </c>
      <c r="T24" t="str">
        <f>""</f>
        <v/>
      </c>
      <c r="U24" t="str">
        <f>""</f>
        <v/>
      </c>
      <c r="V24" t="str">
        <f>""</f>
        <v/>
      </c>
      <c r="W24" t="str">
        <f>""</f>
        <v/>
      </c>
      <c r="X24" t="str">
        <f>""</f>
        <v/>
      </c>
      <c r="Y24" t="str">
        <f>""</f>
        <v/>
      </c>
      <c r="Z24" t="str">
        <f>""</f>
        <v/>
      </c>
      <c r="AA24" t="str">
        <f>""</f>
        <v/>
      </c>
      <c r="AB24" t="str">
        <f>""</f>
        <v/>
      </c>
      <c r="AC24" t="str">
        <f>""</f>
        <v/>
      </c>
      <c r="AD24" t="str">
        <f>""</f>
        <v/>
      </c>
      <c r="AE24" t="str">
        <f>""</f>
        <v/>
      </c>
      <c r="AF24" t="str">
        <f>""</f>
        <v/>
      </c>
      <c r="AG24" t="str">
        <f>""</f>
        <v/>
      </c>
      <c r="AH24" t="str">
        <f>""</f>
        <v/>
      </c>
      <c r="AI24" t="str">
        <f>"-.9384**"</f>
        <v>-.9384**</v>
      </c>
      <c r="AJ24" t="str">
        <f>"-.7604"</f>
        <v>-.7604</v>
      </c>
      <c r="AK24" t="str">
        <f>"-1.114**"</f>
        <v>-1.114**</v>
      </c>
      <c r="AL24" t="str">
        <f>"-.04782"</f>
        <v>-.04782</v>
      </c>
      <c r="AM24" t="str">
        <f>"-.2376"</f>
        <v>-.2376</v>
      </c>
      <c r="AN24" t="str">
        <f>"-.1419"</f>
        <v>-.1419</v>
      </c>
      <c r="AO24" t="str">
        <f>""</f>
        <v/>
      </c>
      <c r="AP24" t="str">
        <f>""</f>
        <v/>
      </c>
      <c r="AQ24" t="str">
        <f>""</f>
        <v/>
      </c>
      <c r="AR24" t="str">
        <f>""</f>
        <v/>
      </c>
      <c r="AS24" t="str">
        <f>""</f>
        <v/>
      </c>
      <c r="AT24" t="str">
        <f>""</f>
        <v/>
      </c>
      <c r="AU24" t="str">
        <f>""</f>
        <v/>
      </c>
      <c r="AV24" t="str">
        <f>""</f>
        <v/>
      </c>
      <c r="AW24" t="str">
        <f>""</f>
        <v/>
      </c>
      <c r="AX24" t="str">
        <f>""</f>
        <v/>
      </c>
      <c r="AY24" t="str">
        <f>""</f>
        <v/>
      </c>
      <c r="AZ24" t="str">
        <f>""</f>
        <v/>
      </c>
      <c r="BA24" t="str">
        <f>""</f>
        <v/>
      </c>
      <c r="BB24" t="str">
        <f>""</f>
        <v/>
      </c>
      <c r="BC24" t="str">
        <f>""</f>
        <v/>
      </c>
      <c r="BD24" t="str">
        <f>""</f>
        <v/>
      </c>
      <c r="BE24" t="str">
        <f>""</f>
        <v/>
      </c>
      <c r="BF24" t="str">
        <f>""</f>
        <v/>
      </c>
      <c r="BG24" t="str">
        <f>""</f>
        <v/>
      </c>
      <c r="BH24" t="str">
        <f>""</f>
        <v/>
      </c>
      <c r="BI24" t="str">
        <f>""</f>
        <v/>
      </c>
      <c r="BJ24" t="str">
        <f>""</f>
        <v/>
      </c>
      <c r="BK24" t="str">
        <f>""</f>
        <v/>
      </c>
      <c r="BL24" t="str">
        <f>""</f>
        <v/>
      </c>
      <c r="BM24" t="str">
        <f>""</f>
        <v/>
      </c>
      <c r="BN24" t="str">
        <f>""</f>
        <v/>
      </c>
      <c r="BO24" t="str">
        <f>""</f>
        <v/>
      </c>
      <c r="BP24" t="str">
        <f>""</f>
        <v/>
      </c>
      <c r="BQ24" t="str">
        <f>""</f>
        <v/>
      </c>
      <c r="BR24" t="str">
        <f>""</f>
        <v/>
      </c>
      <c r="BS24" t="str">
        <f>""</f>
        <v/>
      </c>
      <c r="BT24" t="str">
        <f>""</f>
        <v/>
      </c>
      <c r="BU24" t="str">
        <f>""</f>
        <v/>
      </c>
      <c r="BV24" t="str">
        <f>"-.7406***"</f>
        <v>-.7406***</v>
      </c>
      <c r="BW24" t="str">
        <f>"-.7795***"</f>
        <v>-.7795***</v>
      </c>
      <c r="BX24" t="str">
        <f>"-.3263"</f>
        <v>-.3263</v>
      </c>
      <c r="BY24" t="str">
        <f>"-.3059"</f>
        <v>-.3059</v>
      </c>
      <c r="BZ24" t="str">
        <f>"-.3873"</f>
        <v>-.3873</v>
      </c>
      <c r="CA24" t="str">
        <f>".04948"</f>
        <v>.04948</v>
      </c>
    </row>
    <row r="25" spans="1:79" x14ac:dyDescent="0.2">
      <c r="A25" t="str">
        <f>""</f>
        <v/>
      </c>
      <c r="B25" t="str">
        <f>""</f>
        <v/>
      </c>
      <c r="C25" t="str">
        <f>""</f>
        <v/>
      </c>
      <c r="D25" t="str">
        <f>""</f>
        <v/>
      </c>
      <c r="E25" t="str">
        <f>""</f>
        <v/>
      </c>
      <c r="F25" t="str">
        <f>""</f>
        <v/>
      </c>
      <c r="G25" t="str">
        <f>""</f>
        <v/>
      </c>
      <c r="H25" t="str">
        <f>""</f>
        <v/>
      </c>
      <c r="I25" t="str">
        <f>""</f>
        <v/>
      </c>
      <c r="J25" t="str">
        <f>""</f>
        <v/>
      </c>
      <c r="K25" t="str">
        <f>""</f>
        <v/>
      </c>
      <c r="L25" t="str">
        <f>""</f>
        <v/>
      </c>
      <c r="M25" t="str">
        <f>""</f>
        <v/>
      </c>
      <c r="N25" t="str">
        <f>""</f>
        <v/>
      </c>
      <c r="O25" t="str">
        <f>""</f>
        <v/>
      </c>
      <c r="P25" t="str">
        <f>""</f>
        <v/>
      </c>
      <c r="Q25" t="str">
        <f>""</f>
        <v/>
      </c>
      <c r="R25" t="str">
        <f>""</f>
        <v/>
      </c>
      <c r="S25" t="str">
        <f>""</f>
        <v/>
      </c>
      <c r="T25" t="str">
        <f>""</f>
        <v/>
      </c>
      <c r="U25" t="str">
        <f>""</f>
        <v/>
      </c>
      <c r="V25" t="str">
        <f>""</f>
        <v/>
      </c>
      <c r="W25" t="str">
        <f>""</f>
        <v/>
      </c>
      <c r="X25" t="str">
        <f>""</f>
        <v/>
      </c>
      <c r="Y25" t="str">
        <f>""</f>
        <v/>
      </c>
      <c r="Z25" t="str">
        <f>""</f>
        <v/>
      </c>
      <c r="AA25" t="str">
        <f>""</f>
        <v/>
      </c>
      <c r="AB25" t="str">
        <f>""</f>
        <v/>
      </c>
      <c r="AC25" t="str">
        <f>""</f>
        <v/>
      </c>
      <c r="AD25" t="str">
        <f>""</f>
        <v/>
      </c>
      <c r="AE25" t="str">
        <f>""</f>
        <v/>
      </c>
      <c r="AF25" t="str">
        <f>""</f>
        <v/>
      </c>
      <c r="AG25" t="str">
        <f>""</f>
        <v/>
      </c>
      <c r="AH25" t="str">
        <f>""</f>
        <v/>
      </c>
      <c r="AI25" t="str">
        <f>"(.3989)"</f>
        <v>(.3989)</v>
      </c>
      <c r="AJ25" t="str">
        <f>"(.4727)"</f>
        <v>(.4727)</v>
      </c>
      <c r="AK25" t="str">
        <f>"(.5242)"</f>
        <v>(.5242)</v>
      </c>
      <c r="AL25" t="str">
        <f>"(.2269)"</f>
        <v>(.2269)</v>
      </c>
      <c r="AM25" t="str">
        <f>"(.3192)"</f>
        <v>(.3192)</v>
      </c>
      <c r="AN25" t="str">
        <f>"(.4533)"</f>
        <v>(.4533)</v>
      </c>
      <c r="AO25" t="str">
        <f>""</f>
        <v/>
      </c>
      <c r="AP25" t="str">
        <f>""</f>
        <v/>
      </c>
      <c r="AQ25" t="str">
        <f>""</f>
        <v/>
      </c>
      <c r="AR25" t="str">
        <f>""</f>
        <v/>
      </c>
      <c r="AS25" t="str">
        <f>""</f>
        <v/>
      </c>
      <c r="AT25" t="str">
        <f>""</f>
        <v/>
      </c>
      <c r="AU25" t="str">
        <f>""</f>
        <v/>
      </c>
      <c r="AV25" t="str">
        <f>""</f>
        <v/>
      </c>
      <c r="AW25" t="str">
        <f>""</f>
        <v/>
      </c>
      <c r="AX25" t="str">
        <f>""</f>
        <v/>
      </c>
      <c r="AY25" t="str">
        <f>""</f>
        <v/>
      </c>
      <c r="AZ25" t="str">
        <f>""</f>
        <v/>
      </c>
      <c r="BA25" t="str">
        <f>""</f>
        <v/>
      </c>
      <c r="BB25" t="str">
        <f>""</f>
        <v/>
      </c>
      <c r="BC25" t="str">
        <f>""</f>
        <v/>
      </c>
      <c r="BD25" t="str">
        <f>""</f>
        <v/>
      </c>
      <c r="BE25" t="str">
        <f>""</f>
        <v/>
      </c>
      <c r="BF25" t="str">
        <f>""</f>
        <v/>
      </c>
      <c r="BG25" t="str">
        <f>""</f>
        <v/>
      </c>
      <c r="BH25" t="str">
        <f>""</f>
        <v/>
      </c>
      <c r="BI25" t="str">
        <f>""</f>
        <v/>
      </c>
      <c r="BJ25" t="str">
        <f>""</f>
        <v/>
      </c>
      <c r="BK25" t="str">
        <f>""</f>
        <v/>
      </c>
      <c r="BL25" t="str">
        <f>""</f>
        <v/>
      </c>
      <c r="BM25" t="str">
        <f>""</f>
        <v/>
      </c>
      <c r="BN25" t="str">
        <f>""</f>
        <v/>
      </c>
      <c r="BO25" t="str">
        <f>""</f>
        <v/>
      </c>
      <c r="BP25" t="str">
        <f>""</f>
        <v/>
      </c>
      <c r="BQ25" t="str">
        <f>""</f>
        <v/>
      </c>
      <c r="BR25" t="str">
        <f>""</f>
        <v/>
      </c>
      <c r="BS25" t="str">
        <f>""</f>
        <v/>
      </c>
      <c r="BT25" t="str">
        <f>""</f>
        <v/>
      </c>
      <c r="BU25" t="str">
        <f>""</f>
        <v/>
      </c>
      <c r="BV25" t="str">
        <f>"(.2143)"</f>
        <v>(.2143)</v>
      </c>
      <c r="BW25" t="str">
        <f>"(.2969)"</f>
        <v>(.2969)</v>
      </c>
      <c r="BX25" t="str">
        <f>"(.3774)"</f>
        <v>(.3774)</v>
      </c>
      <c r="BY25" t="str">
        <f>"(.1898)"</f>
        <v>(.1898)</v>
      </c>
      <c r="BZ25" t="str">
        <f>"(.2438)"</f>
        <v>(.2438)</v>
      </c>
      <c r="CA25" t="str">
        <f>"(.3325)"</f>
        <v>(.3325)</v>
      </c>
    </row>
    <row r="27" spans="1:79" x14ac:dyDescent="0.2">
      <c r="A27" t="str">
        <f>"Division-CZ dummies"</f>
        <v>Division-CZ dummies</v>
      </c>
      <c r="B27" t="str">
        <f>"No"</f>
        <v>No</v>
      </c>
      <c r="C27" t="str">
        <f>"Yes"</f>
        <v>Yes</v>
      </c>
      <c r="D27" t="str">
        <f>"Yes"</f>
        <v>Yes</v>
      </c>
      <c r="E27" t="str">
        <f>"No"</f>
        <v>No</v>
      </c>
      <c r="F27" t="str">
        <f>"Yes"</f>
        <v>Yes</v>
      </c>
      <c r="G27" t="str">
        <f>"Yes"</f>
        <v>Yes</v>
      </c>
      <c r="H27" t="str">
        <f>"No"</f>
        <v>No</v>
      </c>
      <c r="I27" t="str">
        <f>"Yes"</f>
        <v>Yes</v>
      </c>
      <c r="J27" t="str">
        <f>"Yes"</f>
        <v>Yes</v>
      </c>
      <c r="K27" t="str">
        <f>"No"</f>
        <v>No</v>
      </c>
      <c r="L27" t="str">
        <f>"Yes"</f>
        <v>Yes</v>
      </c>
      <c r="M27" t="str">
        <f>"Yes"</f>
        <v>Yes</v>
      </c>
      <c r="N27" t="str">
        <f>"No"</f>
        <v>No</v>
      </c>
      <c r="O27" t="str">
        <f>"Yes"</f>
        <v>Yes</v>
      </c>
      <c r="P27" t="str">
        <f>"Yes"</f>
        <v>Yes</v>
      </c>
      <c r="Q27" t="str">
        <f>"No"</f>
        <v>No</v>
      </c>
      <c r="R27" t="str">
        <f>"Yes"</f>
        <v>Yes</v>
      </c>
      <c r="S27" t="str">
        <f>"Yes"</f>
        <v>Yes</v>
      </c>
      <c r="T27" t="str">
        <f>"No"</f>
        <v>No</v>
      </c>
      <c r="U27" t="str">
        <f>"Yes"</f>
        <v>Yes</v>
      </c>
      <c r="V27" t="str">
        <f>"Yes"</f>
        <v>Yes</v>
      </c>
      <c r="W27" t="str">
        <f>"No"</f>
        <v>No</v>
      </c>
      <c r="X27" t="str">
        <f>"Yes"</f>
        <v>Yes</v>
      </c>
      <c r="Y27" t="str">
        <f>"Yes"</f>
        <v>Yes</v>
      </c>
      <c r="Z27" t="str">
        <f>"No"</f>
        <v>No</v>
      </c>
      <c r="AA27" t="str">
        <f>"Yes"</f>
        <v>Yes</v>
      </c>
      <c r="AB27" t="str">
        <f>"Yes"</f>
        <v>Yes</v>
      </c>
      <c r="AC27" t="str">
        <f>"No"</f>
        <v>No</v>
      </c>
      <c r="AD27" t="str">
        <f>"Yes"</f>
        <v>Yes</v>
      </c>
      <c r="AE27" t="str">
        <f>"Yes"</f>
        <v>Yes</v>
      </c>
      <c r="AF27" t="str">
        <f>"No"</f>
        <v>No</v>
      </c>
      <c r="AG27" t="str">
        <f>"Yes"</f>
        <v>Yes</v>
      </c>
      <c r="AH27" t="str">
        <f>"Yes"</f>
        <v>Yes</v>
      </c>
      <c r="AI27" t="str">
        <f>"No"</f>
        <v>No</v>
      </c>
      <c r="AJ27" t="str">
        <f>"Yes"</f>
        <v>Yes</v>
      </c>
      <c r="AK27" t="str">
        <f>"Yes"</f>
        <v>Yes</v>
      </c>
      <c r="AL27" t="str">
        <f>"No"</f>
        <v>No</v>
      </c>
      <c r="AM27" t="str">
        <f>"Yes"</f>
        <v>Yes</v>
      </c>
      <c r="AN27" t="str">
        <f>"Yes"</f>
        <v>Yes</v>
      </c>
      <c r="AO27" t="str">
        <f>"No"</f>
        <v>No</v>
      </c>
      <c r="AP27" t="str">
        <f>"Yes"</f>
        <v>Yes</v>
      </c>
      <c r="AQ27" t="str">
        <f>"Yes"</f>
        <v>Yes</v>
      </c>
      <c r="AR27" t="str">
        <f>"No"</f>
        <v>No</v>
      </c>
      <c r="AS27" t="str">
        <f>"Yes"</f>
        <v>Yes</v>
      </c>
      <c r="AT27" t="str">
        <f>"Yes"</f>
        <v>Yes</v>
      </c>
      <c r="AU27" t="str">
        <f>"No"</f>
        <v>No</v>
      </c>
      <c r="AV27" t="str">
        <f>"Yes"</f>
        <v>Yes</v>
      </c>
      <c r="AW27" t="str">
        <f>"Yes"</f>
        <v>Yes</v>
      </c>
      <c r="AX27" t="str">
        <f>"No"</f>
        <v>No</v>
      </c>
      <c r="AY27" t="str">
        <f>"Yes"</f>
        <v>Yes</v>
      </c>
      <c r="AZ27" t="str">
        <f>"Yes"</f>
        <v>Yes</v>
      </c>
      <c r="BA27" t="str">
        <f>"No"</f>
        <v>No</v>
      </c>
      <c r="BB27" t="str">
        <f>"Yes"</f>
        <v>Yes</v>
      </c>
      <c r="BC27" t="str">
        <f>"Yes"</f>
        <v>Yes</v>
      </c>
      <c r="BD27" t="str">
        <f>"No"</f>
        <v>No</v>
      </c>
      <c r="BE27" t="str">
        <f>"Yes"</f>
        <v>Yes</v>
      </c>
      <c r="BF27" t="str">
        <f>"Yes"</f>
        <v>Yes</v>
      </c>
      <c r="BG27" t="str">
        <f>"No"</f>
        <v>No</v>
      </c>
      <c r="BH27" t="str">
        <f>"Yes"</f>
        <v>Yes</v>
      </c>
      <c r="BI27" t="str">
        <f>"Yes"</f>
        <v>Yes</v>
      </c>
      <c r="BJ27" t="str">
        <f>"No"</f>
        <v>No</v>
      </c>
      <c r="BK27" t="str">
        <f>"Yes"</f>
        <v>Yes</v>
      </c>
      <c r="BL27" t="str">
        <f>"Yes"</f>
        <v>Yes</v>
      </c>
      <c r="BM27" t="str">
        <f>"No"</f>
        <v>No</v>
      </c>
      <c r="BN27" t="str">
        <f>"Yes"</f>
        <v>Yes</v>
      </c>
      <c r="BO27" t="str">
        <f>"Yes"</f>
        <v>Yes</v>
      </c>
      <c r="BP27" t="str">
        <f>"No"</f>
        <v>No</v>
      </c>
      <c r="BQ27" t="str">
        <f>"Yes"</f>
        <v>Yes</v>
      </c>
      <c r="BR27" t="str">
        <f>"Yes"</f>
        <v>Yes</v>
      </c>
      <c r="BS27" t="str">
        <f>"No"</f>
        <v>No</v>
      </c>
      <c r="BT27" t="str">
        <f>"Yes"</f>
        <v>Yes</v>
      </c>
      <c r="BU27" t="str">
        <f>"Yes"</f>
        <v>Yes</v>
      </c>
      <c r="BV27" t="str">
        <f>"No"</f>
        <v>No</v>
      </c>
      <c r="BW27" t="str">
        <f>"Yes"</f>
        <v>Yes</v>
      </c>
      <c r="BX27" t="str">
        <f>"Yes"</f>
        <v>Yes</v>
      </c>
      <c r="BY27" t="str">
        <f>"No"</f>
        <v>No</v>
      </c>
      <c r="BZ27" t="str">
        <f>"Yes"</f>
        <v>Yes</v>
      </c>
      <c r="CA27" t="str">
        <f>"Yes"</f>
        <v>Yes</v>
      </c>
    </row>
    <row r="28" spans="1:79" x14ac:dyDescent="0.2">
      <c r="A28" t="str">
        <f>"Region dummies"</f>
        <v>Region dummies</v>
      </c>
      <c r="B28" t="str">
        <f>"No"</f>
        <v>No</v>
      </c>
      <c r="C28" t="str">
        <f>"No"</f>
        <v>No</v>
      </c>
      <c r="D28" t="str">
        <f>"Yes"</f>
        <v>Yes</v>
      </c>
      <c r="E28" t="str">
        <f>"No"</f>
        <v>No</v>
      </c>
      <c r="F28" t="str">
        <f>"No"</f>
        <v>No</v>
      </c>
      <c r="G28" t="str">
        <f>"Yes"</f>
        <v>Yes</v>
      </c>
      <c r="H28" t="str">
        <f>"No"</f>
        <v>No</v>
      </c>
      <c r="I28" t="str">
        <f>"No"</f>
        <v>No</v>
      </c>
      <c r="J28" t="str">
        <f>"Yes"</f>
        <v>Yes</v>
      </c>
      <c r="K28" t="str">
        <f>"No"</f>
        <v>No</v>
      </c>
      <c r="L28" t="str">
        <f>"No"</f>
        <v>No</v>
      </c>
      <c r="M28" t="str">
        <f>"Yes"</f>
        <v>Yes</v>
      </c>
      <c r="N28" t="str">
        <f>"No"</f>
        <v>No</v>
      </c>
      <c r="O28" t="str">
        <f>"No"</f>
        <v>No</v>
      </c>
      <c r="P28" t="str">
        <f>"Yes"</f>
        <v>Yes</v>
      </c>
      <c r="Q28" t="str">
        <f>"No"</f>
        <v>No</v>
      </c>
      <c r="R28" t="str">
        <f>"No"</f>
        <v>No</v>
      </c>
      <c r="S28" t="str">
        <f>"Yes"</f>
        <v>Yes</v>
      </c>
      <c r="T28" t="str">
        <f>"No"</f>
        <v>No</v>
      </c>
      <c r="U28" t="str">
        <f>"No"</f>
        <v>No</v>
      </c>
      <c r="V28" t="str">
        <f>"Yes"</f>
        <v>Yes</v>
      </c>
      <c r="W28" t="str">
        <f>"No"</f>
        <v>No</v>
      </c>
      <c r="X28" t="str">
        <f>"No"</f>
        <v>No</v>
      </c>
      <c r="Y28" t="str">
        <f>"Yes"</f>
        <v>Yes</v>
      </c>
      <c r="Z28" t="str">
        <f>"No"</f>
        <v>No</v>
      </c>
      <c r="AA28" t="str">
        <f>"No"</f>
        <v>No</v>
      </c>
      <c r="AB28" t="str">
        <f>"Yes"</f>
        <v>Yes</v>
      </c>
      <c r="AC28" t="str">
        <f>"No"</f>
        <v>No</v>
      </c>
      <c r="AD28" t="str">
        <f>"No"</f>
        <v>No</v>
      </c>
      <c r="AE28" t="str">
        <f>"Yes"</f>
        <v>Yes</v>
      </c>
      <c r="AF28" t="str">
        <f>"No"</f>
        <v>No</v>
      </c>
      <c r="AG28" t="str">
        <f>"No"</f>
        <v>No</v>
      </c>
      <c r="AH28" t="str">
        <f>"Yes"</f>
        <v>Yes</v>
      </c>
      <c r="AI28" t="str">
        <f>"No"</f>
        <v>No</v>
      </c>
      <c r="AJ28" t="str">
        <f>"No"</f>
        <v>No</v>
      </c>
      <c r="AK28" t="str">
        <f>"Yes"</f>
        <v>Yes</v>
      </c>
      <c r="AL28" t="str">
        <f>"No"</f>
        <v>No</v>
      </c>
      <c r="AM28" t="str">
        <f>"No"</f>
        <v>No</v>
      </c>
      <c r="AN28" t="str">
        <f>"Yes"</f>
        <v>Yes</v>
      </c>
      <c r="AO28" t="str">
        <f>"No"</f>
        <v>No</v>
      </c>
      <c r="AP28" t="str">
        <f>"No"</f>
        <v>No</v>
      </c>
      <c r="AQ28" t="str">
        <f>"Yes"</f>
        <v>Yes</v>
      </c>
      <c r="AR28" t="str">
        <f>"No"</f>
        <v>No</v>
      </c>
      <c r="AS28" t="str">
        <f>"No"</f>
        <v>No</v>
      </c>
      <c r="AT28" t="str">
        <f>"Yes"</f>
        <v>Yes</v>
      </c>
      <c r="AU28" t="str">
        <f>"No"</f>
        <v>No</v>
      </c>
      <c r="AV28" t="str">
        <f>"No"</f>
        <v>No</v>
      </c>
      <c r="AW28" t="str">
        <f>"Yes"</f>
        <v>Yes</v>
      </c>
      <c r="AX28" t="str">
        <f>"No"</f>
        <v>No</v>
      </c>
      <c r="AY28" t="str">
        <f>"No"</f>
        <v>No</v>
      </c>
      <c r="AZ28" t="str">
        <f>"Yes"</f>
        <v>Yes</v>
      </c>
      <c r="BA28" t="str">
        <f>"No"</f>
        <v>No</v>
      </c>
      <c r="BB28" t="str">
        <f>"No"</f>
        <v>No</v>
      </c>
      <c r="BC28" t="str">
        <f>"Yes"</f>
        <v>Yes</v>
      </c>
      <c r="BD28" t="str">
        <f>"No"</f>
        <v>No</v>
      </c>
      <c r="BE28" t="str">
        <f>"No"</f>
        <v>No</v>
      </c>
      <c r="BF28" t="str">
        <f>"Yes"</f>
        <v>Yes</v>
      </c>
      <c r="BG28" t="str">
        <f>"No"</f>
        <v>No</v>
      </c>
      <c r="BH28" t="str">
        <f>"No"</f>
        <v>No</v>
      </c>
      <c r="BI28" t="str">
        <f>"Yes"</f>
        <v>Yes</v>
      </c>
      <c r="BJ28" t="str">
        <f>"No"</f>
        <v>No</v>
      </c>
      <c r="BK28" t="str">
        <f>"No"</f>
        <v>No</v>
      </c>
      <c r="BL28" t="str">
        <f>"Yes"</f>
        <v>Yes</v>
      </c>
      <c r="BM28" t="str">
        <f>"No"</f>
        <v>No</v>
      </c>
      <c r="BN28" t="str">
        <f>"No"</f>
        <v>No</v>
      </c>
      <c r="BO28" t="str">
        <f>"Yes"</f>
        <v>Yes</v>
      </c>
      <c r="BP28" t="str">
        <f>"No"</f>
        <v>No</v>
      </c>
      <c r="BQ28" t="str">
        <f>"No"</f>
        <v>No</v>
      </c>
      <c r="BR28" t="str">
        <f>"Yes"</f>
        <v>Yes</v>
      </c>
      <c r="BS28" t="str">
        <f>"No"</f>
        <v>No</v>
      </c>
      <c r="BT28" t="str">
        <f>"No"</f>
        <v>No</v>
      </c>
      <c r="BU28" t="str">
        <f>"Yes"</f>
        <v>Yes</v>
      </c>
      <c r="BV28" t="str">
        <f>"No"</f>
        <v>No</v>
      </c>
      <c r="BW28" t="str">
        <f>"No"</f>
        <v>No</v>
      </c>
      <c r="BX28" t="str">
        <f>"Yes"</f>
        <v>Yes</v>
      </c>
      <c r="BY28" t="str">
        <f>"No"</f>
        <v>No</v>
      </c>
      <c r="BZ28" t="str">
        <f>"No"</f>
        <v>No</v>
      </c>
      <c r="CA28" t="str">
        <f>"Yes"</f>
        <v>Yes</v>
      </c>
    </row>
    <row r="29" spans="1:79" x14ac:dyDescent="0.2">
      <c r="A29" t="str">
        <f>"N"</f>
        <v>N</v>
      </c>
      <c r="B29" s="7" t="str">
        <f t="shared" ref="B29:AO29" si="0">"60"</f>
        <v>60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 t="str">
        <f t="shared" si="0"/>
        <v>60</v>
      </c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</row>
    <row r="30" spans="1:79" x14ac:dyDescent="0.2">
      <c r="A30" t="str">
        <f>"r2_a"</f>
        <v>r2_a</v>
      </c>
      <c r="B30" t="str">
        <f>".7607"</f>
        <v>.7607</v>
      </c>
      <c r="C30" t="str">
        <f>".7852"</f>
        <v>.7852</v>
      </c>
      <c r="D30" t="str">
        <f>".7936"</f>
        <v>.7936</v>
      </c>
      <c r="E30" t="str">
        <f>".6448"</f>
        <v>.6448</v>
      </c>
      <c r="F30" t="str">
        <f>".7073"</f>
        <v>.7073</v>
      </c>
      <c r="G30" t="str">
        <f>".7104"</f>
        <v>.7104</v>
      </c>
      <c r="H30" t="str">
        <f>".2298"</f>
        <v>.2298</v>
      </c>
      <c r="I30" t="str">
        <f>".6571"</f>
        <v>.6571</v>
      </c>
      <c r="J30" t="str">
        <f>".6659"</f>
        <v>.6659</v>
      </c>
      <c r="K30" t="str">
        <f>".424"</f>
        <v>.424</v>
      </c>
      <c r="L30" t="str">
        <f>".7325"</f>
        <v>.7325</v>
      </c>
      <c r="M30" t="str">
        <f>".7376"</f>
        <v>.7376</v>
      </c>
      <c r="N30" t="str">
        <f>".7058"</f>
        <v>.7058</v>
      </c>
      <c r="O30" t="str">
        <f>".7446"</f>
        <v>.7446</v>
      </c>
      <c r="P30" t="str">
        <f>".785"</f>
        <v>.785</v>
      </c>
      <c r="Q30" t="str">
        <f>".7093"</f>
        <v>.7093</v>
      </c>
      <c r="R30" t="str">
        <f>".7417"</f>
        <v>.7417</v>
      </c>
      <c r="S30" t="str">
        <f>".7608"</f>
        <v>.7608</v>
      </c>
      <c r="T30" t="str">
        <f>".2813"</f>
        <v>.2813</v>
      </c>
      <c r="U30" t="str">
        <f>".6366"</f>
        <v>.6366</v>
      </c>
      <c r="V30" t="str">
        <f>".6723"</f>
        <v>.6723</v>
      </c>
      <c r="W30" t="str">
        <f>".7113"</f>
        <v>.7113</v>
      </c>
      <c r="X30" t="str">
        <f>".7351"</f>
        <v>.7351</v>
      </c>
      <c r="Y30" t="str">
        <f>".7748"</f>
        <v>.7748</v>
      </c>
      <c r="Z30" t="str">
        <f>".744"</f>
        <v>.744</v>
      </c>
      <c r="AA30" t="str">
        <f>".7733"</f>
        <v>.7733</v>
      </c>
      <c r="AB30" t="str">
        <f>".7788"</f>
        <v>.7788</v>
      </c>
      <c r="AC30" t="str">
        <f>".747"</f>
        <v>.747</v>
      </c>
      <c r="AD30" t="str">
        <f>".7776"</f>
        <v>.7776</v>
      </c>
      <c r="AE30" t="str">
        <f>".7814"</f>
        <v>.7814</v>
      </c>
      <c r="AF30" t="str">
        <f>".7877"</f>
        <v>.7877</v>
      </c>
      <c r="AG30" t="str">
        <f>".7911"</f>
        <v>.7911</v>
      </c>
      <c r="AH30" t="str">
        <f>".7797"</f>
        <v>.7797</v>
      </c>
      <c r="AI30" t="str">
        <f>".3447"</f>
        <v>.3447</v>
      </c>
      <c r="AJ30" t="str">
        <f>".6278"</f>
        <v>.6278</v>
      </c>
      <c r="AK30" t="str">
        <f>".6241"</f>
        <v>.6241</v>
      </c>
      <c r="AL30" t="str">
        <f>".78"</f>
        <v>.78</v>
      </c>
      <c r="AM30" t="str">
        <f>".7846"</f>
        <v>.7846</v>
      </c>
      <c r="AN30" t="str">
        <f>".7693"</f>
        <v>.7693</v>
      </c>
      <c r="AO30" t="str">
        <f>".1534"</f>
        <v>.1534</v>
      </c>
      <c r="AP30" t="str">
        <f>".1728"</f>
        <v>.1728</v>
      </c>
      <c r="AQ30" t="str">
        <f>".3178"</f>
        <v>.3178</v>
      </c>
      <c r="AR30" t="str">
        <f>".02049"</f>
        <v>.02049</v>
      </c>
      <c r="AS30" t="str">
        <f>".1508"</f>
        <v>.1508</v>
      </c>
      <c r="AT30" t="str">
        <f>".267"</f>
        <v>.267</v>
      </c>
      <c r="AU30" t="str">
        <f>".1842"</f>
        <v>.1842</v>
      </c>
      <c r="AV30" t="str">
        <f>".4097"</f>
        <v>.4097</v>
      </c>
      <c r="AW30" t="str">
        <f>".4657"</f>
        <v>.4657</v>
      </c>
      <c r="AX30" t="str">
        <f>".3299"</f>
        <v>.3299</v>
      </c>
      <c r="AY30" t="str">
        <f>".4144"</f>
        <v>.4144</v>
      </c>
      <c r="AZ30" t="str">
        <f>".4497"</f>
        <v>.4497</v>
      </c>
      <c r="BA30" t="str">
        <f>".1247"</f>
        <v>.1247</v>
      </c>
      <c r="BB30" t="str">
        <f>".1686"</f>
        <v>.1686</v>
      </c>
      <c r="BC30" t="str">
        <f>".3278"</f>
        <v>.3278</v>
      </c>
      <c r="BD30" t="str">
        <f>".1137"</f>
        <v>.1137</v>
      </c>
      <c r="BE30" t="str">
        <f>".1892"</f>
        <v>.1892</v>
      </c>
      <c r="BF30" t="str">
        <f>".3375"</f>
        <v>.3375</v>
      </c>
      <c r="BG30" t="str">
        <f>"-.009193"</f>
        <v>-.009193</v>
      </c>
      <c r="BH30" t="str">
        <f>".1478"</f>
        <v>.1478</v>
      </c>
      <c r="BI30" t="str">
        <f>".2995"</f>
        <v>.2995</v>
      </c>
      <c r="BJ30" t="str">
        <f>".09972"</f>
        <v>.09972</v>
      </c>
      <c r="BK30" t="str">
        <f>".1629"</f>
        <v>.1629</v>
      </c>
      <c r="BL30" t="str">
        <f>".3294"</f>
        <v>.3294</v>
      </c>
      <c r="BM30" t="str">
        <f>".2435"</f>
        <v>.2435</v>
      </c>
      <c r="BN30" t="str">
        <f>".3759"</f>
        <v>.3759</v>
      </c>
      <c r="BO30" t="str">
        <f>".4837"</f>
        <v>.4837</v>
      </c>
      <c r="BP30" t="str">
        <f>".2191"</f>
        <v>.2191</v>
      </c>
      <c r="BQ30" t="str">
        <f>".2434"</f>
        <v>.2434</v>
      </c>
      <c r="BR30" t="str">
        <f>".3669"</f>
        <v>.3669</v>
      </c>
      <c r="BS30" t="str">
        <f>".3787"</f>
        <v>.3787</v>
      </c>
      <c r="BT30" t="str">
        <f>".4666"</f>
        <v>.4666</v>
      </c>
      <c r="BU30" t="str">
        <f>".5098"</f>
        <v>.5098</v>
      </c>
      <c r="BV30" t="str">
        <f>".1552"</f>
        <v>.1552</v>
      </c>
      <c r="BW30" t="str">
        <f>".2721"</f>
        <v>.2721</v>
      </c>
      <c r="BX30" t="str">
        <f>".2727"</f>
        <v>.2727</v>
      </c>
      <c r="BY30" t="str">
        <f>".447"</f>
        <v>.447</v>
      </c>
      <c r="BZ30" t="str">
        <f>".497"</f>
        <v>.497</v>
      </c>
      <c r="CA30" t="str">
        <f>".4895"</f>
        <v>.4895</v>
      </c>
    </row>
    <row r="31" spans="1:79" x14ac:dyDescent="0.2">
      <c r="A31" t="str">
        <f>"rmse"</f>
        <v>rmse</v>
      </c>
      <c r="B31" t="str">
        <f>".077"</f>
        <v>.077</v>
      </c>
      <c r="C31" t="str">
        <f>".07295"</f>
        <v>.07295</v>
      </c>
      <c r="D31" t="str">
        <f>".07152"</f>
        <v>.07152</v>
      </c>
      <c r="E31" t="str">
        <f>".09382"</f>
        <v>.09382</v>
      </c>
      <c r="F31" t="str">
        <f>".08517"</f>
        <v>.08517</v>
      </c>
      <c r="G31" t="str">
        <f>".0847"</f>
        <v>.0847</v>
      </c>
      <c r="H31" t="str">
        <f>".1381"</f>
        <v>.1381</v>
      </c>
      <c r="I31" t="str">
        <f>".09218"</f>
        <v>.09218</v>
      </c>
      <c r="J31" t="str">
        <f>".09098"</f>
        <v>.09098</v>
      </c>
      <c r="K31" t="str">
        <f>".1195"</f>
        <v>.1195</v>
      </c>
      <c r="L31" t="str">
        <f>".08141"</f>
        <v>.08141</v>
      </c>
      <c r="M31" t="str">
        <f>".08064"</f>
        <v>.08064</v>
      </c>
      <c r="N31" t="str">
        <f>".08538"</f>
        <v>.08538</v>
      </c>
      <c r="O31" t="str">
        <f>".07955"</f>
        <v>.07955</v>
      </c>
      <c r="P31" t="str">
        <f>".07299"</f>
        <v>.07299</v>
      </c>
      <c r="Q31" t="str">
        <f>".08487"</f>
        <v>.08487</v>
      </c>
      <c r="R31" t="str">
        <f>".08001"</f>
        <v>.08001</v>
      </c>
      <c r="S31" t="str">
        <f>".07699"</f>
        <v>.07699</v>
      </c>
      <c r="T31" t="str">
        <f>".1334"</f>
        <v>.1334</v>
      </c>
      <c r="U31" t="str">
        <f>".0949"</f>
        <v>.0949</v>
      </c>
      <c r="V31" t="str">
        <f>".0901"</f>
        <v>.0901</v>
      </c>
      <c r="W31" t="str">
        <f>".08458"</f>
        <v>.08458</v>
      </c>
      <c r="X31" t="str">
        <f>".08102"</f>
        <v>.08102</v>
      </c>
      <c r="Y31" t="str">
        <f>".07471"</f>
        <v>.07471</v>
      </c>
      <c r="Z31" t="str">
        <f>".07965"</f>
        <v>.07965</v>
      </c>
      <c r="AA31" t="str">
        <f>".07494"</f>
        <v>.07494</v>
      </c>
      <c r="AB31" t="str">
        <f>".07403"</f>
        <v>.07403</v>
      </c>
      <c r="AC31" t="str">
        <f>".07918"</f>
        <v>.07918</v>
      </c>
      <c r="AD31" t="str">
        <f>".07423"</f>
        <v>.07423</v>
      </c>
      <c r="AE31" t="str">
        <f>".07359"</f>
        <v>.07359</v>
      </c>
      <c r="AF31" t="str">
        <f>".07252"</f>
        <v>.07252</v>
      </c>
      <c r="AG31" t="str">
        <f>".07194"</f>
        <v>.07194</v>
      </c>
      <c r="AH31" t="str">
        <f>".07388"</f>
        <v>.07388</v>
      </c>
      <c r="AI31" t="str">
        <f>".1274"</f>
        <v>.1274</v>
      </c>
      <c r="AJ31" t="str">
        <f>".09603"</f>
        <v>.09603</v>
      </c>
      <c r="AK31" t="str">
        <f>".09651"</f>
        <v>.09651</v>
      </c>
      <c r="AL31" t="str">
        <f>".07383"</f>
        <v>.07383</v>
      </c>
      <c r="AM31" t="str">
        <f>".07305"</f>
        <v>.07305</v>
      </c>
      <c r="AN31" t="str">
        <f>".07561"</f>
        <v>.07561</v>
      </c>
      <c r="AO31" t="str">
        <f>".08214"</f>
        <v>.08214</v>
      </c>
      <c r="AP31" t="str">
        <f>".08119"</f>
        <v>.08119</v>
      </c>
      <c r="AQ31" t="str">
        <f>".07373"</f>
        <v>.07373</v>
      </c>
      <c r="AR31" t="str">
        <f>".08835"</f>
        <v>.08835</v>
      </c>
      <c r="AS31" t="str">
        <f>".08226"</f>
        <v>.08226</v>
      </c>
      <c r="AT31" t="str">
        <f>".07643"</f>
        <v>.07643</v>
      </c>
      <c r="AU31" t="str">
        <f>".08063"</f>
        <v>.08063</v>
      </c>
      <c r="AV31" t="str">
        <f>".06859"</f>
        <v>.06859</v>
      </c>
      <c r="AW31" t="str">
        <f>".06526"</f>
        <v>.06526</v>
      </c>
      <c r="AX31" t="str">
        <f>".07308"</f>
        <v>.07308</v>
      </c>
      <c r="AY31" t="str">
        <f>".06831"</f>
        <v>.06831</v>
      </c>
      <c r="AZ31" t="str">
        <f>".06623"</f>
        <v>.06623</v>
      </c>
      <c r="BA31" t="str">
        <f>".08352"</f>
        <v>.08352</v>
      </c>
      <c r="BB31" t="str">
        <f>".0814"</f>
        <v>.0814</v>
      </c>
      <c r="BC31" t="str">
        <f>".07319"</f>
        <v>.07319</v>
      </c>
      <c r="BD31" t="str">
        <f>".08404"</f>
        <v>.08404</v>
      </c>
      <c r="BE31" t="str">
        <f>".08038"</f>
        <v>.08038</v>
      </c>
      <c r="BF31" t="str">
        <f>".07266"</f>
        <v>.07266</v>
      </c>
      <c r="BG31" t="str">
        <f>".08968"</f>
        <v>.08968</v>
      </c>
      <c r="BH31" t="str">
        <f>".08241"</f>
        <v>.08241</v>
      </c>
      <c r="BI31" t="str">
        <f>".07472"</f>
        <v>.07472</v>
      </c>
      <c r="BJ31" t="str">
        <f>".0847"</f>
        <v>.0847</v>
      </c>
      <c r="BK31" t="str">
        <f>".08168"</f>
        <v>.08168</v>
      </c>
      <c r="BL31" t="str">
        <f>".0731"</f>
        <v>.0731</v>
      </c>
      <c r="BM31" t="str">
        <f>".07765"</f>
        <v>.07765</v>
      </c>
      <c r="BN31" t="str">
        <f>".07052"</f>
        <v>.07052</v>
      </c>
      <c r="BO31" t="str">
        <f>".06414"</f>
        <v>.06414</v>
      </c>
      <c r="BP31" t="str">
        <f>".07889"</f>
        <v>.07889</v>
      </c>
      <c r="BQ31" t="str">
        <f>".07765"</f>
        <v>.07765</v>
      </c>
      <c r="BR31" t="str">
        <f>".07103"</f>
        <v>.07103</v>
      </c>
      <c r="BS31" t="str">
        <f>".07036"</f>
        <v>.07036</v>
      </c>
      <c r="BT31" t="str">
        <f>".0652"</f>
        <v>.0652</v>
      </c>
      <c r="BU31" t="str">
        <f>".0625"</f>
        <v>.0625</v>
      </c>
      <c r="BV31" t="str">
        <f>".08205"</f>
        <v>.08205</v>
      </c>
      <c r="BW31" t="str">
        <f>".07616"</f>
        <v>.07616</v>
      </c>
      <c r="BX31" t="str">
        <f>".07613"</f>
        <v>.07613</v>
      </c>
      <c r="BY31" t="str">
        <f>".06638"</f>
        <v>.06638</v>
      </c>
      <c r="BZ31" t="str">
        <f>".06331"</f>
        <v>.06331</v>
      </c>
      <c r="CA31" t="str">
        <f>".06379"</f>
        <v>.06379</v>
      </c>
    </row>
    <row r="35" spans="1:79" x14ac:dyDescent="0.2">
      <c r="A35" t="str">
        <f>"Output 10b - Multivariate, by Education Subgroup"</f>
        <v>Output 10b - Multivariate, by Education Subgroup</v>
      </c>
    </row>
    <row r="36" spans="1:79" s="1" customFormat="1" x14ac:dyDescent="0.2">
      <c r="A36" s="1" t="str">
        <f>""</f>
        <v/>
      </c>
      <c r="B36" s="7" t="s">
        <v>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 t="s">
        <v>9</v>
      </c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</row>
    <row r="37" spans="1:79" x14ac:dyDescent="0.2">
      <c r="A37" t="str">
        <f>""</f>
        <v/>
      </c>
      <c r="B37" s="7" t="s">
        <v>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 t="s">
        <v>5</v>
      </c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</row>
    <row r="39" spans="1:79" x14ac:dyDescent="0.2">
      <c r="A39" t="str">
        <f>"alpha_c"</f>
        <v>alpha_c</v>
      </c>
      <c r="B39" t="str">
        <f>".424***"</f>
        <v>.424***</v>
      </c>
      <c r="C39" t="str">
        <f>".5268***"</f>
        <v>.5268***</v>
      </c>
      <c r="D39" t="str">
        <f>".6214***"</f>
        <v>.6214***</v>
      </c>
      <c r="E39" t="str">
        <f>""</f>
        <v/>
      </c>
      <c r="F39" t="str">
        <f>""</f>
        <v/>
      </c>
      <c r="G39" t="str">
        <f>""</f>
        <v/>
      </c>
      <c r="H39" t="str">
        <f>""</f>
        <v/>
      </c>
      <c r="I39" t="str">
        <f>""</f>
        <v/>
      </c>
      <c r="J39" t="str">
        <f>""</f>
        <v/>
      </c>
      <c r="K39" t="str">
        <f>""</f>
        <v/>
      </c>
      <c r="L39" t="str">
        <f>""</f>
        <v/>
      </c>
      <c r="M39" t="str">
        <f>""</f>
        <v/>
      </c>
      <c r="N39" t="str">
        <f>".544***"</f>
        <v>.544***</v>
      </c>
      <c r="O39" t="str">
        <f>".5065***"</f>
        <v>.5065***</v>
      </c>
      <c r="P39" t="str">
        <f>".5195***"</f>
        <v>.5195***</v>
      </c>
      <c r="Q39" t="str">
        <f>".4099***"</f>
        <v>.4099***</v>
      </c>
      <c r="R39" t="str">
        <f>".4682***"</f>
        <v>.4682***</v>
      </c>
      <c r="S39" t="str">
        <f>".4861***"</f>
        <v>.4861***</v>
      </c>
      <c r="T39" t="str">
        <f>""</f>
        <v/>
      </c>
      <c r="U39" t="str">
        <f>""</f>
        <v/>
      </c>
      <c r="V39" t="str">
        <f>""</f>
        <v/>
      </c>
      <c r="W39" t="str">
        <f>".4431***"</f>
        <v>.4431***</v>
      </c>
      <c r="X39" t="str">
        <f>".4292***"</f>
        <v>.4292***</v>
      </c>
      <c r="Y39" t="str">
        <f>".4222***"</f>
        <v>.4222***</v>
      </c>
      <c r="Z39" t="str">
        <f>""</f>
        <v/>
      </c>
      <c r="AA39" t="str">
        <f>""</f>
        <v/>
      </c>
      <c r="AB39" t="str">
        <f>""</f>
        <v/>
      </c>
      <c r="AC39" t="str">
        <f>""</f>
        <v/>
      </c>
      <c r="AD39" t="str">
        <f>""</f>
        <v/>
      </c>
      <c r="AE39" t="str">
        <f>""</f>
        <v/>
      </c>
      <c r="AF39" t="str">
        <f>""</f>
        <v/>
      </c>
      <c r="AG39" t="str">
        <f>""</f>
        <v/>
      </c>
      <c r="AH39" t="str">
        <f>""</f>
        <v/>
      </c>
      <c r="AI39" t="str">
        <f>""</f>
        <v/>
      </c>
      <c r="AJ39" t="str">
        <f>""</f>
        <v/>
      </c>
      <c r="AK39" t="str">
        <f>""</f>
        <v/>
      </c>
      <c r="AL39" t="str">
        <f>""</f>
        <v/>
      </c>
      <c r="AM39" t="str">
        <f>""</f>
        <v/>
      </c>
      <c r="AN39" t="str">
        <f>""</f>
        <v/>
      </c>
      <c r="AO39" t="str">
        <f>".3569***"</f>
        <v>.3569***</v>
      </c>
      <c r="AP39" t="str">
        <f>".4131***"</f>
        <v>.4131***</v>
      </c>
      <c r="AQ39" t="str">
        <f>".5214***"</f>
        <v>.5214***</v>
      </c>
      <c r="AR39" t="str">
        <f>""</f>
        <v/>
      </c>
      <c r="AS39" t="str">
        <f>""</f>
        <v/>
      </c>
      <c r="AT39" t="str">
        <f>""</f>
        <v/>
      </c>
      <c r="AU39" t="str">
        <f>""</f>
        <v/>
      </c>
      <c r="AV39" t="str">
        <f>""</f>
        <v/>
      </c>
      <c r="AW39" t="str">
        <f>""</f>
        <v/>
      </c>
      <c r="AX39" t="str">
        <f>""</f>
        <v/>
      </c>
      <c r="AY39" t="str">
        <f>""</f>
        <v/>
      </c>
      <c r="AZ39" t="str">
        <f>""</f>
        <v/>
      </c>
      <c r="BA39" t="str">
        <f>".5231***"</f>
        <v>.5231***</v>
      </c>
      <c r="BB39" t="str">
        <f>".4026***"</f>
        <v>.4026***</v>
      </c>
      <c r="BC39" t="str">
        <f>".4071***"</f>
        <v>.4071***</v>
      </c>
      <c r="BD39" t="str">
        <f>".4107***"</f>
        <v>.4107***</v>
      </c>
      <c r="BE39" t="str">
        <f>".3339***"</f>
        <v>.3339***</v>
      </c>
      <c r="BF39" t="str">
        <f>".3741***"</f>
        <v>.3741***</v>
      </c>
      <c r="BG39" t="str">
        <f>""</f>
        <v/>
      </c>
      <c r="BH39" t="str">
        <f>""</f>
        <v/>
      </c>
      <c r="BI39" t="str">
        <f>""</f>
        <v/>
      </c>
      <c r="BJ39" t="str">
        <f>".4581***"</f>
        <v>.4581***</v>
      </c>
      <c r="BK39" t="str">
        <f>".3636***"</f>
        <v>.3636***</v>
      </c>
      <c r="BL39" t="str">
        <f>".3672***"</f>
        <v>.3672***</v>
      </c>
      <c r="BM39" t="str">
        <f>""</f>
        <v/>
      </c>
      <c r="BN39" t="str">
        <f>""</f>
        <v/>
      </c>
      <c r="BO39" t="str">
        <f>""</f>
        <v/>
      </c>
      <c r="BP39" t="str">
        <f>""</f>
        <v/>
      </c>
      <c r="BQ39" t="str">
        <f>""</f>
        <v/>
      </c>
      <c r="BR39" t="str">
        <f>""</f>
        <v/>
      </c>
      <c r="BS39" t="str">
        <f>""</f>
        <v/>
      </c>
      <c r="BT39" t="str">
        <f>""</f>
        <v/>
      </c>
      <c r="BU39" t="str">
        <f>""</f>
        <v/>
      </c>
      <c r="BV39" t="str">
        <f>""</f>
        <v/>
      </c>
      <c r="BW39" t="str">
        <f>""</f>
        <v/>
      </c>
      <c r="BX39" t="str">
        <f>""</f>
        <v/>
      </c>
      <c r="BY39" t="str">
        <f>""</f>
        <v/>
      </c>
      <c r="BZ39" t="str">
        <f>""</f>
        <v/>
      </c>
      <c r="CA39" t="str">
        <f>""</f>
        <v/>
      </c>
    </row>
    <row r="40" spans="1:79" x14ac:dyDescent="0.2">
      <c r="A40" t="str">
        <f>""</f>
        <v/>
      </c>
      <c r="B40" t="str">
        <f>"(.1115)"</f>
        <v>(.1115)</v>
      </c>
      <c r="C40" t="str">
        <f>"(.1039)"</f>
        <v>(.1039)</v>
      </c>
      <c r="D40" t="str">
        <f>"(.1221)"</f>
        <v>(.1221)</v>
      </c>
      <c r="E40" t="str">
        <f>""</f>
        <v/>
      </c>
      <c r="F40" t="str">
        <f>""</f>
        <v/>
      </c>
      <c r="G40" t="str">
        <f>""</f>
        <v/>
      </c>
      <c r="H40" t="str">
        <f>""</f>
        <v/>
      </c>
      <c r="I40" t="str">
        <f>""</f>
        <v/>
      </c>
      <c r="J40" t="str">
        <f>""</f>
        <v/>
      </c>
      <c r="K40" t="str">
        <f>""</f>
        <v/>
      </c>
      <c r="L40" t="str">
        <f>""</f>
        <v/>
      </c>
      <c r="M40" t="str">
        <f>""</f>
        <v/>
      </c>
      <c r="N40" t="str">
        <f>"(.05752)"</f>
        <v>(.05752)</v>
      </c>
      <c r="O40" t="str">
        <f>"(.06114)"</f>
        <v>(.06114)</v>
      </c>
      <c r="P40" t="str">
        <f>"(.07093)"</f>
        <v>(.07093)</v>
      </c>
      <c r="Q40" t="str">
        <f>"(.0703)"</f>
        <v>(.0703)</v>
      </c>
      <c r="R40" t="str">
        <f>"(.1014)"</f>
        <v>(.1014)</v>
      </c>
      <c r="S40" t="str">
        <f>"(.1031)"</f>
        <v>(.1031)</v>
      </c>
      <c r="T40" t="str">
        <f>""</f>
        <v/>
      </c>
      <c r="U40" t="str">
        <f>""</f>
        <v/>
      </c>
      <c r="V40" t="str">
        <f>""</f>
        <v/>
      </c>
      <c r="W40" t="str">
        <f>"(.06506)"</f>
        <v>(.06506)</v>
      </c>
      <c r="X40" t="str">
        <f>"(.09427)"</f>
        <v>(.09427)</v>
      </c>
      <c r="Y40" t="str">
        <f>"(.09158)"</f>
        <v>(.09158)</v>
      </c>
      <c r="Z40" t="str">
        <f>""</f>
        <v/>
      </c>
      <c r="AA40" t="str">
        <f>""</f>
        <v/>
      </c>
      <c r="AB40" t="str">
        <f>""</f>
        <v/>
      </c>
      <c r="AC40" t="str">
        <f>""</f>
        <v/>
      </c>
      <c r="AD40" t="str">
        <f>""</f>
        <v/>
      </c>
      <c r="AE40" t="str">
        <f>""</f>
        <v/>
      </c>
      <c r="AF40" t="str">
        <f>""</f>
        <v/>
      </c>
      <c r="AG40" t="str">
        <f>""</f>
        <v/>
      </c>
      <c r="AH40" t="str">
        <f>""</f>
        <v/>
      </c>
      <c r="AI40" t="str">
        <f>""</f>
        <v/>
      </c>
      <c r="AJ40" t="str">
        <f>""</f>
        <v/>
      </c>
      <c r="AK40" t="str">
        <f>""</f>
        <v/>
      </c>
      <c r="AL40" t="str">
        <f>""</f>
        <v/>
      </c>
      <c r="AM40" t="str">
        <f>""</f>
        <v/>
      </c>
      <c r="AN40" t="str">
        <f>""</f>
        <v/>
      </c>
      <c r="AO40" t="str">
        <f>"(.1029)"</f>
        <v>(.1029)</v>
      </c>
      <c r="AP40" t="str">
        <f>"(.1213)"</f>
        <v>(.1213)</v>
      </c>
      <c r="AQ40" t="str">
        <f>"(.08043)"</f>
        <v>(.08043)</v>
      </c>
      <c r="AR40" t="str">
        <f>""</f>
        <v/>
      </c>
      <c r="AS40" t="str">
        <f>""</f>
        <v/>
      </c>
      <c r="AT40" t="str">
        <f>""</f>
        <v/>
      </c>
      <c r="AU40" t="str">
        <f>""</f>
        <v/>
      </c>
      <c r="AV40" t="str">
        <f>""</f>
        <v/>
      </c>
      <c r="AW40" t="str">
        <f>""</f>
        <v/>
      </c>
      <c r="AX40" t="str">
        <f>""</f>
        <v/>
      </c>
      <c r="AY40" t="str">
        <f>""</f>
        <v/>
      </c>
      <c r="AZ40" t="str">
        <f>""</f>
        <v/>
      </c>
      <c r="BA40" t="str">
        <f>"(.08079)"</f>
        <v>(.08079)</v>
      </c>
      <c r="BB40" t="str">
        <f>"(.08328)"</f>
        <v>(.08328)</v>
      </c>
      <c r="BC40" t="str">
        <f>"(.0428)"</f>
        <v>(.0428)</v>
      </c>
      <c r="BD40" t="str">
        <f>"(.06428)"</f>
        <v>(.06428)</v>
      </c>
      <c r="BE40" t="str">
        <f>"(.08437)"</f>
        <v>(.08437)</v>
      </c>
      <c r="BF40" t="str">
        <f>"(.06772)"</f>
        <v>(.06772)</v>
      </c>
      <c r="BG40" t="str">
        <f>""</f>
        <v/>
      </c>
      <c r="BH40" t="str">
        <f>""</f>
        <v/>
      </c>
      <c r="BI40" t="str">
        <f>""</f>
        <v/>
      </c>
      <c r="BJ40" t="str">
        <f>"(.07311)"</f>
        <v>(.07311)</v>
      </c>
      <c r="BK40" t="str">
        <f>"(.09186)"</f>
        <v>(.09186)</v>
      </c>
      <c r="BL40" t="str">
        <f>"(.06509)"</f>
        <v>(.06509)</v>
      </c>
      <c r="BM40" t="str">
        <f>""</f>
        <v/>
      </c>
      <c r="BN40" t="str">
        <f>""</f>
        <v/>
      </c>
      <c r="BO40" t="str">
        <f>""</f>
        <v/>
      </c>
      <c r="BP40" t="str">
        <f>""</f>
        <v/>
      </c>
      <c r="BQ40" t="str">
        <f>""</f>
        <v/>
      </c>
      <c r="BR40" t="str">
        <f>""</f>
        <v/>
      </c>
      <c r="BS40" t="str">
        <f>""</f>
        <v/>
      </c>
      <c r="BT40" t="str">
        <f>""</f>
        <v/>
      </c>
      <c r="BU40" t="str">
        <f>""</f>
        <v/>
      </c>
      <c r="BV40" t="str">
        <f>""</f>
        <v/>
      </c>
      <c r="BW40" t="str">
        <f>""</f>
        <v/>
      </c>
      <c r="BX40" t="str">
        <f>""</f>
        <v/>
      </c>
      <c r="BY40" t="str">
        <f>""</f>
        <v/>
      </c>
      <c r="BZ40" t="str">
        <f>""</f>
        <v/>
      </c>
      <c r="CA40" t="str">
        <f>""</f>
        <v/>
      </c>
    </row>
    <row r="41" spans="1:79" x14ac:dyDescent="0.2">
      <c r="A41" t="str">
        <f>"Ealpha_c"</f>
        <v>Ealpha_c</v>
      </c>
      <c r="B41" t="str">
        <f>".3136"</f>
        <v>.3136</v>
      </c>
      <c r="C41" t="str">
        <f>"-.299"</f>
        <v>-.299</v>
      </c>
      <c r="D41" t="str">
        <f>"-.5264"</f>
        <v>-.5264</v>
      </c>
      <c r="E41" t="str">
        <f>""</f>
        <v/>
      </c>
      <c r="F41" t="str">
        <f>""</f>
        <v/>
      </c>
      <c r="G41" t="str">
        <f>""</f>
        <v/>
      </c>
      <c r="H41" t="str">
        <f>""</f>
        <v/>
      </c>
      <c r="I41" t="str">
        <f>""</f>
        <v/>
      </c>
      <c r="J41" t="str">
        <f>""</f>
        <v/>
      </c>
      <c r="K41" t="str">
        <f>""</f>
        <v/>
      </c>
      <c r="L41" t="str">
        <f>""</f>
        <v/>
      </c>
      <c r="M41" t="str">
        <f>""</f>
        <v/>
      </c>
      <c r="N41" t="str">
        <f>""</f>
        <v/>
      </c>
      <c r="O41" t="str">
        <f>""</f>
        <v/>
      </c>
      <c r="P41" t="str">
        <f>""</f>
        <v/>
      </c>
      <c r="Q41" t="str">
        <f>""</f>
        <v/>
      </c>
      <c r="R41" t="str">
        <f>""</f>
        <v/>
      </c>
      <c r="S41" t="str">
        <f>""</f>
        <v/>
      </c>
      <c r="T41" t="str">
        <f>""</f>
        <v/>
      </c>
      <c r="U41" t="str">
        <f>""</f>
        <v/>
      </c>
      <c r="V41" t="str">
        <f>""</f>
        <v/>
      </c>
      <c r="W41" t="str">
        <f>""</f>
        <v/>
      </c>
      <c r="X41" t="str">
        <f>""</f>
        <v/>
      </c>
      <c r="Y41" t="str">
        <f>""</f>
        <v/>
      </c>
      <c r="Z41" t="str">
        <f>"2.139***"</f>
        <v>2.139***</v>
      </c>
      <c r="AA41" t="str">
        <f>"1.967***"</f>
        <v>1.967***</v>
      </c>
      <c r="AB41" t="str">
        <f>"2.363***"</f>
        <v>2.363***</v>
      </c>
      <c r="AC41" t="str">
        <f>"1.031"</f>
        <v>1.031</v>
      </c>
      <c r="AD41" t="str">
        <f>".9727"</f>
        <v>.9727</v>
      </c>
      <c r="AE41" t="str">
        <f>"1.14"</f>
        <v>1.14</v>
      </c>
      <c r="AF41" t="str">
        <f>".6729"</f>
        <v>.6729</v>
      </c>
      <c r="AG41" t="str">
        <f>"1.079"</f>
        <v>1.079</v>
      </c>
      <c r="AH41" t="str">
        <f>"1.727"</f>
        <v>1.727</v>
      </c>
      <c r="AI41" t="str">
        <f>""</f>
        <v/>
      </c>
      <c r="AJ41" t="str">
        <f>""</f>
        <v/>
      </c>
      <c r="AK41" t="str">
        <f>""</f>
        <v/>
      </c>
      <c r="AL41" t="str">
        <f>".7282"</f>
        <v>.7282</v>
      </c>
      <c r="AM41" t="str">
        <f>"1.056"</f>
        <v>1.056</v>
      </c>
      <c r="AN41" t="str">
        <f>"1.493"</f>
        <v>1.493</v>
      </c>
      <c r="AO41" t="str">
        <f>".5688"</f>
        <v>.5688</v>
      </c>
      <c r="AP41" t="str">
        <f>"-.1663"</f>
        <v>-.1663</v>
      </c>
      <c r="AQ41" t="str">
        <f>"-.4654"</f>
        <v>-.4654</v>
      </c>
      <c r="AR41" t="str">
        <f>""</f>
        <v/>
      </c>
      <c r="AS41" t="str">
        <f>""</f>
        <v/>
      </c>
      <c r="AT41" t="str">
        <f>""</f>
        <v/>
      </c>
      <c r="AU41" t="str">
        <f>""</f>
        <v/>
      </c>
      <c r="AV41" t="str">
        <f>""</f>
        <v/>
      </c>
      <c r="AW41" t="str">
        <f>""</f>
        <v/>
      </c>
      <c r="AX41" t="str">
        <f>""</f>
        <v/>
      </c>
      <c r="AY41" t="str">
        <f>""</f>
        <v/>
      </c>
      <c r="AZ41" t="str">
        <f>""</f>
        <v/>
      </c>
      <c r="BA41" t="str">
        <f>""</f>
        <v/>
      </c>
      <c r="BB41" t="str">
        <f>""</f>
        <v/>
      </c>
      <c r="BC41" t="str">
        <f>""</f>
        <v/>
      </c>
      <c r="BD41" t="str">
        <f>""</f>
        <v/>
      </c>
      <c r="BE41" t="str">
        <f>""</f>
        <v/>
      </c>
      <c r="BF41" t="str">
        <f>""</f>
        <v/>
      </c>
      <c r="BG41" t="str">
        <f>""</f>
        <v/>
      </c>
      <c r="BH41" t="str">
        <f>""</f>
        <v/>
      </c>
      <c r="BI41" t="str">
        <f>""</f>
        <v/>
      </c>
      <c r="BJ41" t="str">
        <f>""</f>
        <v/>
      </c>
      <c r="BK41" t="str">
        <f>""</f>
        <v/>
      </c>
      <c r="BL41" t="str">
        <f>""</f>
        <v/>
      </c>
      <c r="BM41" t="str">
        <f>"2.114***"</f>
        <v>2.114***</v>
      </c>
      <c r="BN41" t="str">
        <f>"1.309***"</f>
        <v>1.309***</v>
      </c>
      <c r="BO41" t="str">
        <f>"1.421**"</f>
        <v>1.421**</v>
      </c>
      <c r="BP41" t="str">
        <f>"1.425**"</f>
        <v>1.425**</v>
      </c>
      <c r="BQ41" t="str">
        <f>".9753"</f>
        <v>.9753</v>
      </c>
      <c r="BR41" t="str">
        <f>"1.158*"</f>
        <v>1.158*</v>
      </c>
      <c r="BS41" t="str">
        <f>"1.027*"</f>
        <v>1.027*</v>
      </c>
      <c r="BT41" t="str">
        <f>".4098"</f>
        <v>.4098</v>
      </c>
      <c r="BU41" t="str">
        <f>".7128"</f>
        <v>.7128</v>
      </c>
      <c r="BV41" t="str">
        <f>""</f>
        <v/>
      </c>
      <c r="BW41" t="str">
        <f>""</f>
        <v/>
      </c>
      <c r="BX41" t="str">
        <f>""</f>
        <v/>
      </c>
      <c r="BY41" t="str">
        <f>"1.104*"</f>
        <v>1.104*</v>
      </c>
      <c r="BZ41" t="str">
        <f>".463"</f>
        <v>.463</v>
      </c>
      <c r="CA41" t="str">
        <f>".4197"</f>
        <v>.4197</v>
      </c>
    </row>
    <row r="42" spans="1:79" x14ac:dyDescent="0.2">
      <c r="A42" t="str">
        <f>""</f>
        <v/>
      </c>
      <c r="B42" t="str">
        <f>"(.5388)"</f>
        <v>(.5388)</v>
      </c>
      <c r="C42" t="str">
        <f>"(.608)"</f>
        <v>(.608)</v>
      </c>
      <c r="D42" t="str">
        <f>"(.6129)"</f>
        <v>(.6129)</v>
      </c>
      <c r="E42" t="str">
        <f>""</f>
        <v/>
      </c>
      <c r="F42" t="str">
        <f>""</f>
        <v/>
      </c>
      <c r="G42" t="str">
        <f>""</f>
        <v/>
      </c>
      <c r="H42" t="str">
        <f>""</f>
        <v/>
      </c>
      <c r="I42" t="str">
        <f>""</f>
        <v/>
      </c>
      <c r="J42" t="str">
        <f>""</f>
        <v/>
      </c>
      <c r="K42" t="str">
        <f>""</f>
        <v/>
      </c>
      <c r="L42" t="str">
        <f>""</f>
        <v/>
      </c>
      <c r="M42" t="str">
        <f>""</f>
        <v/>
      </c>
      <c r="N42" t="str">
        <f>""</f>
        <v/>
      </c>
      <c r="O42" t="str">
        <f>""</f>
        <v/>
      </c>
      <c r="P42" t="str">
        <f>""</f>
        <v/>
      </c>
      <c r="Q42" t="str">
        <f>""</f>
        <v/>
      </c>
      <c r="R42" t="str">
        <f>""</f>
        <v/>
      </c>
      <c r="S42" t="str">
        <f>""</f>
        <v/>
      </c>
      <c r="T42" t="str">
        <f>""</f>
        <v/>
      </c>
      <c r="U42" t="str">
        <f>""</f>
        <v/>
      </c>
      <c r="V42" t="str">
        <f>""</f>
        <v/>
      </c>
      <c r="W42" t="str">
        <f>""</f>
        <v/>
      </c>
      <c r="X42" t="str">
        <f>""</f>
        <v/>
      </c>
      <c r="Y42" t="str">
        <f>""</f>
        <v/>
      </c>
      <c r="Z42" t="str">
        <f>"(.2781)"</f>
        <v>(.2781)</v>
      </c>
      <c r="AA42" t="str">
        <f>"(.572)"</f>
        <v>(.572)</v>
      </c>
      <c r="AB42" t="str">
        <f>"(.7658)"</f>
        <v>(.7658)</v>
      </c>
      <c r="AC42" t="str">
        <f>"(.6399)"</f>
        <v>(.6399)</v>
      </c>
      <c r="AD42" t="str">
        <f>"(.828)"</f>
        <v>(.828)</v>
      </c>
      <c r="AE42" t="str">
        <f>"(.8459)"</f>
        <v>(.8459)</v>
      </c>
      <c r="AF42" t="str">
        <f>"(.7475)"</f>
        <v>(.7475)</v>
      </c>
      <c r="AG42" t="str">
        <f>"(1.038)"</f>
        <v>(1.038)</v>
      </c>
      <c r="AH42" t="str">
        <f>"(1.098)"</f>
        <v>(1.098)</v>
      </c>
      <c r="AI42" t="str">
        <f>""</f>
        <v/>
      </c>
      <c r="AJ42" t="str">
        <f>""</f>
        <v/>
      </c>
      <c r="AK42" t="str">
        <f>""</f>
        <v/>
      </c>
      <c r="AL42" t="str">
        <f>"(.7881)"</f>
        <v>(.7881)</v>
      </c>
      <c r="AM42" t="str">
        <f>"(.9532)"</f>
        <v>(.9532)</v>
      </c>
      <c r="AN42" t="str">
        <f>"(1.007)"</f>
        <v>(1.007)</v>
      </c>
      <c r="AO42" t="str">
        <f>"(.4714)"</f>
        <v>(.4714)</v>
      </c>
      <c r="AP42" t="str">
        <f>"(.4456)"</f>
        <v>(.4456)</v>
      </c>
      <c r="AQ42" t="str">
        <f>"(.3179)"</f>
        <v>(.3179)</v>
      </c>
      <c r="AR42" t="str">
        <f>""</f>
        <v/>
      </c>
      <c r="AS42" t="str">
        <f>""</f>
        <v/>
      </c>
      <c r="AT42" t="str">
        <f>""</f>
        <v/>
      </c>
      <c r="AU42" t="str">
        <f>""</f>
        <v/>
      </c>
      <c r="AV42" t="str">
        <f>""</f>
        <v/>
      </c>
      <c r="AW42" t="str">
        <f>""</f>
        <v/>
      </c>
      <c r="AX42" t="str">
        <f>""</f>
        <v/>
      </c>
      <c r="AY42" t="str">
        <f>""</f>
        <v/>
      </c>
      <c r="AZ42" t="str">
        <f>""</f>
        <v/>
      </c>
      <c r="BA42" t="str">
        <f>""</f>
        <v/>
      </c>
      <c r="BB42" t="str">
        <f>""</f>
        <v/>
      </c>
      <c r="BC42" t="str">
        <f>""</f>
        <v/>
      </c>
      <c r="BD42" t="str">
        <f>""</f>
        <v/>
      </c>
      <c r="BE42" t="str">
        <f>""</f>
        <v/>
      </c>
      <c r="BF42" t="str">
        <f>""</f>
        <v/>
      </c>
      <c r="BG42" t="str">
        <f>""</f>
        <v/>
      </c>
      <c r="BH42" t="str">
        <f>""</f>
        <v/>
      </c>
      <c r="BI42" t="str">
        <f>""</f>
        <v/>
      </c>
      <c r="BJ42" t="str">
        <f>""</f>
        <v/>
      </c>
      <c r="BK42" t="str">
        <f>""</f>
        <v/>
      </c>
      <c r="BL42" t="str">
        <f>""</f>
        <v/>
      </c>
      <c r="BM42" t="str">
        <f>"(.2645)"</f>
        <v>(.2645)</v>
      </c>
      <c r="BN42" t="str">
        <f>"(.4752)"</f>
        <v>(.4752)</v>
      </c>
      <c r="BO42" t="str">
        <f>"(.6367)"</f>
        <v>(.6367)</v>
      </c>
      <c r="BP42" t="str">
        <f>"(.6619)"</f>
        <v>(.6619)</v>
      </c>
      <c r="BQ42" t="str">
        <f>"(.7295)"</f>
        <v>(.7295)</v>
      </c>
      <c r="BR42" t="str">
        <f>"(.6608)"</f>
        <v>(.6608)</v>
      </c>
      <c r="BS42" t="str">
        <f>"(.5781)"</f>
        <v>(.5781)</v>
      </c>
      <c r="BT42" t="str">
        <f>"(.7361)"</f>
        <v>(.7361)</v>
      </c>
      <c r="BU42" t="str">
        <f>"(.8333)"</f>
        <v>(.8333)</v>
      </c>
      <c r="BV42" t="str">
        <f>""</f>
        <v/>
      </c>
      <c r="BW42" t="str">
        <f>""</f>
        <v/>
      </c>
      <c r="BX42" t="str">
        <f>""</f>
        <v/>
      </c>
      <c r="BY42" t="str">
        <f>"(.6202)"</f>
        <v>(.6202)</v>
      </c>
      <c r="BZ42" t="str">
        <f>"(.8054)"</f>
        <v>(.8054)</v>
      </c>
      <c r="CA42" t="str">
        <f>"(.7786)"</f>
        <v>(.7786)</v>
      </c>
    </row>
    <row r="43" spans="1:79" x14ac:dyDescent="0.2">
      <c r="A43" t="str">
        <f>"s_alpha_q1q5"</f>
        <v>s_alpha_q1q5</v>
      </c>
      <c r="B43" t="str">
        <f>""</f>
        <v/>
      </c>
      <c r="C43" t="str">
        <f>""</f>
        <v/>
      </c>
      <c r="D43" t="str">
        <f>""</f>
        <v/>
      </c>
      <c r="E43" t="str">
        <f>".742**"</f>
        <v>.742**</v>
      </c>
      <c r="F43" t="str">
        <f>".7201*"</f>
        <v>.7201*</v>
      </c>
      <c r="G43" t="str">
        <f>".8768*"</f>
        <v>.8768*</v>
      </c>
      <c r="H43" t="str">
        <f>""</f>
        <v/>
      </c>
      <c r="I43" t="str">
        <f>""</f>
        <v/>
      </c>
      <c r="J43" t="str">
        <f>""</f>
        <v/>
      </c>
      <c r="K43" t="str">
        <f>""</f>
        <v/>
      </c>
      <c r="L43" t="str">
        <f>""</f>
        <v/>
      </c>
      <c r="M43" t="str">
        <f>""</f>
        <v/>
      </c>
      <c r="N43" t="str">
        <f>""</f>
        <v/>
      </c>
      <c r="O43" t="str">
        <f>""</f>
        <v/>
      </c>
      <c r="P43" t="str">
        <f>""</f>
        <v/>
      </c>
      <c r="Q43" t="str">
        <f>".5046*"</f>
        <v>.5046*</v>
      </c>
      <c r="R43" t="str">
        <f>".0185"</f>
        <v>.0185</v>
      </c>
      <c r="S43" t="str">
        <f>".1517"</f>
        <v>.1517</v>
      </c>
      <c r="T43" t="str">
        <f>""</f>
        <v/>
      </c>
      <c r="U43" t="str">
        <f>""</f>
        <v/>
      </c>
      <c r="V43" t="str">
        <f>""</f>
        <v/>
      </c>
      <c r="W43" t="str">
        <f>".5852**"</f>
        <v>.5852**</v>
      </c>
      <c r="X43" t="str">
        <f>".01668"</f>
        <v>.01668</v>
      </c>
      <c r="Y43" t="str">
        <f>".04842"</f>
        <v>.04842</v>
      </c>
      <c r="Z43" t="str">
        <f>""</f>
        <v/>
      </c>
      <c r="AA43" t="str">
        <f>""</f>
        <v/>
      </c>
      <c r="AB43" t="str">
        <f>""</f>
        <v/>
      </c>
      <c r="AC43" t="str">
        <f>""</f>
        <v/>
      </c>
      <c r="AD43" t="str">
        <f>""</f>
        <v/>
      </c>
      <c r="AE43" t="str">
        <f>""</f>
        <v/>
      </c>
      <c r="AF43" t="str">
        <f>""</f>
        <v/>
      </c>
      <c r="AG43" t="str">
        <f>""</f>
        <v/>
      </c>
      <c r="AH43" t="str">
        <f>""</f>
        <v/>
      </c>
      <c r="AI43" t="str">
        <f>""</f>
        <v/>
      </c>
      <c r="AJ43" t="str">
        <f>""</f>
        <v/>
      </c>
      <c r="AK43" t="str">
        <f>""</f>
        <v/>
      </c>
      <c r="AL43" t="str">
        <f>""</f>
        <v/>
      </c>
      <c r="AM43" t="str">
        <f>""</f>
        <v/>
      </c>
      <c r="AN43" t="str">
        <f>""</f>
        <v/>
      </c>
      <c r="AO43" t="str">
        <f>""</f>
        <v/>
      </c>
      <c r="AP43" t="str">
        <f>""</f>
        <v/>
      </c>
      <c r="AQ43" t="str">
        <f>""</f>
        <v/>
      </c>
      <c r="AR43" t="str">
        <f>".7245**"</f>
        <v>.7245**</v>
      </c>
      <c r="AS43" t="str">
        <f>".8124**"</f>
        <v>.8124**</v>
      </c>
      <c r="AT43" t="str">
        <f>".942***"</f>
        <v>.942***</v>
      </c>
      <c r="AU43" t="str">
        <f>""</f>
        <v/>
      </c>
      <c r="AV43" t="str">
        <f>""</f>
        <v/>
      </c>
      <c r="AW43" t="str">
        <f>""</f>
        <v/>
      </c>
      <c r="AX43" t="str">
        <f>""</f>
        <v/>
      </c>
      <c r="AY43" t="str">
        <f>""</f>
        <v/>
      </c>
      <c r="AZ43" t="str">
        <f>""</f>
        <v/>
      </c>
      <c r="BA43" t="str">
        <f>""</f>
        <v/>
      </c>
      <c r="BB43" t="str">
        <f>""</f>
        <v/>
      </c>
      <c r="BC43" t="str">
        <f>""</f>
        <v/>
      </c>
      <c r="BD43" t="str">
        <f>".4091"</f>
        <v>.4091</v>
      </c>
      <c r="BE43" t="str">
        <f>".2278"</f>
        <v>.2278</v>
      </c>
      <c r="BF43" t="str">
        <f>".273"</f>
        <v>.273</v>
      </c>
      <c r="BG43" t="str">
        <f>""</f>
        <v/>
      </c>
      <c r="BH43" t="str">
        <f>""</f>
        <v/>
      </c>
      <c r="BI43" t="str">
        <f>""</f>
        <v/>
      </c>
      <c r="BJ43" t="str">
        <f>".5534*"</f>
        <v>.5534*</v>
      </c>
      <c r="BK43" t="str">
        <f>".3346"</f>
        <v>.3346</v>
      </c>
      <c r="BL43" t="str">
        <f>".2164"</f>
        <v>.2164</v>
      </c>
      <c r="BM43" t="str">
        <f>""</f>
        <v/>
      </c>
      <c r="BN43" t="str">
        <f>""</f>
        <v/>
      </c>
      <c r="BO43" t="str">
        <f>""</f>
        <v/>
      </c>
      <c r="BP43" t="str">
        <f>""</f>
        <v/>
      </c>
      <c r="BQ43" t="str">
        <f>""</f>
        <v/>
      </c>
      <c r="BR43" t="str">
        <f>""</f>
        <v/>
      </c>
      <c r="BS43" t="str">
        <f>""</f>
        <v/>
      </c>
      <c r="BT43" t="str">
        <f>""</f>
        <v/>
      </c>
      <c r="BU43" t="str">
        <f>""</f>
        <v/>
      </c>
      <c r="BV43" t="str">
        <f>""</f>
        <v/>
      </c>
      <c r="BW43" t="str">
        <f>""</f>
        <v/>
      </c>
      <c r="BX43" t="str">
        <f>""</f>
        <v/>
      </c>
      <c r="BY43" t="str">
        <f>""</f>
        <v/>
      </c>
      <c r="BZ43" t="str">
        <f>""</f>
        <v/>
      </c>
      <c r="CA43" t="str">
        <f>""</f>
        <v/>
      </c>
    </row>
    <row r="44" spans="1:79" x14ac:dyDescent="0.2">
      <c r="A44" t="str">
        <f>""</f>
        <v/>
      </c>
      <c r="B44" t="str">
        <f>""</f>
        <v/>
      </c>
      <c r="C44" t="str">
        <f>""</f>
        <v/>
      </c>
      <c r="D44" t="str">
        <f>""</f>
        <v/>
      </c>
      <c r="E44" t="str">
        <f>"(.3143)"</f>
        <v>(.3143)</v>
      </c>
      <c r="F44" t="str">
        <f>"(.437)"</f>
        <v>(.437)</v>
      </c>
      <c r="G44" t="str">
        <f>"(.4807)"</f>
        <v>(.4807)</v>
      </c>
      <c r="H44" t="str">
        <f>""</f>
        <v/>
      </c>
      <c r="I44" t="str">
        <f>""</f>
        <v/>
      </c>
      <c r="J44" t="str">
        <f>""</f>
        <v/>
      </c>
      <c r="K44" t="str">
        <f>""</f>
        <v/>
      </c>
      <c r="L44" t="str">
        <f>""</f>
        <v/>
      </c>
      <c r="M44" t="str">
        <f>""</f>
        <v/>
      </c>
      <c r="N44" t="str">
        <f>""</f>
        <v/>
      </c>
      <c r="O44" t="str">
        <f>""</f>
        <v/>
      </c>
      <c r="P44" t="str">
        <f>""</f>
        <v/>
      </c>
      <c r="Q44" t="str">
        <f>"(.2967)"</f>
        <v>(.2967)</v>
      </c>
      <c r="R44" t="str">
        <f>"(.3467)"</f>
        <v>(.3467)</v>
      </c>
      <c r="S44" t="str">
        <f>"(.3489)"</f>
        <v>(.3489)</v>
      </c>
      <c r="T44" t="str">
        <f>""</f>
        <v/>
      </c>
      <c r="U44" t="str">
        <f>""</f>
        <v/>
      </c>
      <c r="V44" t="str">
        <f>""</f>
        <v/>
      </c>
      <c r="W44" t="str">
        <f>"(.2934)"</f>
        <v>(.2934)</v>
      </c>
      <c r="X44" t="str">
        <f>"(.3296)"</f>
        <v>(.3296)</v>
      </c>
      <c r="Y44" t="str">
        <f>"(.3496)"</f>
        <v>(.3496)</v>
      </c>
      <c r="Z44" t="str">
        <f>""</f>
        <v/>
      </c>
      <c r="AA44" t="str">
        <f>""</f>
        <v/>
      </c>
      <c r="AB44" t="str">
        <f>""</f>
        <v/>
      </c>
      <c r="AC44" t="str">
        <f>""</f>
        <v/>
      </c>
      <c r="AD44" t="str">
        <f>""</f>
        <v/>
      </c>
      <c r="AE44" t="str">
        <f>""</f>
        <v/>
      </c>
      <c r="AF44" t="str">
        <f>""</f>
        <v/>
      </c>
      <c r="AG44" t="str">
        <f>""</f>
        <v/>
      </c>
      <c r="AH44" t="str">
        <f>""</f>
        <v/>
      </c>
      <c r="AI44" t="str">
        <f>""</f>
        <v/>
      </c>
      <c r="AJ44" t="str">
        <f>""</f>
        <v/>
      </c>
      <c r="AK44" t="str">
        <f>""</f>
        <v/>
      </c>
      <c r="AL44" t="str">
        <f>""</f>
        <v/>
      </c>
      <c r="AM44" t="str">
        <f>""</f>
        <v/>
      </c>
      <c r="AN44" t="str">
        <f>""</f>
        <v/>
      </c>
      <c r="AO44" t="str">
        <f>""</f>
        <v/>
      </c>
      <c r="AP44" t="str">
        <f>""</f>
        <v/>
      </c>
      <c r="AQ44" t="str">
        <f>""</f>
        <v/>
      </c>
      <c r="AR44" t="str">
        <f>"(.3329)"</f>
        <v>(.3329)</v>
      </c>
      <c r="AS44" t="str">
        <f>"(.3538)"</f>
        <v>(.3538)</v>
      </c>
      <c r="AT44" t="str">
        <f>"(.3359)"</f>
        <v>(.3359)</v>
      </c>
      <c r="AU44" t="str">
        <f>""</f>
        <v/>
      </c>
      <c r="AV44" t="str">
        <f>""</f>
        <v/>
      </c>
      <c r="AW44" t="str">
        <f>""</f>
        <v/>
      </c>
      <c r="AX44" t="str">
        <f>""</f>
        <v/>
      </c>
      <c r="AY44" t="str">
        <f>""</f>
        <v/>
      </c>
      <c r="AZ44" t="str">
        <f>""</f>
        <v/>
      </c>
      <c r="BA44" t="str">
        <f>""</f>
        <v/>
      </c>
      <c r="BB44" t="str">
        <f>""</f>
        <v/>
      </c>
      <c r="BC44" t="str">
        <f>""</f>
        <v/>
      </c>
      <c r="BD44" t="str">
        <f>"(.2742)"</f>
        <v>(.2742)</v>
      </c>
      <c r="BE44" t="str">
        <f>"(.2807)"</f>
        <v>(.2807)</v>
      </c>
      <c r="BF44" t="str">
        <f>"(.218)"</f>
        <v>(.218)</v>
      </c>
      <c r="BG44" t="str">
        <f>""</f>
        <v/>
      </c>
      <c r="BH44" t="str">
        <f>""</f>
        <v/>
      </c>
      <c r="BI44" t="str">
        <f>""</f>
        <v/>
      </c>
      <c r="BJ44" t="str">
        <f>"(.2843)"</f>
        <v>(.2843)</v>
      </c>
      <c r="BK44" t="str">
        <f>"(.2808)"</f>
        <v>(.2808)</v>
      </c>
      <c r="BL44" t="str">
        <f>"(.2805)"</f>
        <v>(.2805)</v>
      </c>
      <c r="BM44" t="str">
        <f>""</f>
        <v/>
      </c>
      <c r="BN44" t="str">
        <f>""</f>
        <v/>
      </c>
      <c r="BO44" t="str">
        <f>""</f>
        <v/>
      </c>
      <c r="BP44" t="str">
        <f>""</f>
        <v/>
      </c>
      <c r="BQ44" t="str">
        <f>""</f>
        <v/>
      </c>
      <c r="BR44" t="str">
        <f>""</f>
        <v/>
      </c>
      <c r="BS44" t="str">
        <f>""</f>
        <v/>
      </c>
      <c r="BT44" t="str">
        <f>""</f>
        <v/>
      </c>
      <c r="BU44" t="str">
        <f>""</f>
        <v/>
      </c>
      <c r="BV44" t="str">
        <f>""</f>
        <v/>
      </c>
      <c r="BW44" t="str">
        <f>""</f>
        <v/>
      </c>
      <c r="BX44" t="str">
        <f>""</f>
        <v/>
      </c>
      <c r="BY44" t="str">
        <f>""</f>
        <v/>
      </c>
      <c r="BZ44" t="str">
        <f>""</f>
        <v/>
      </c>
      <c r="CA44" t="str">
        <f>""</f>
        <v/>
      </c>
    </row>
    <row r="45" spans="1:79" x14ac:dyDescent="0.2">
      <c r="A45" t="str">
        <f>"Es_alpha_q1q5"</f>
        <v>Es_alpha_q1q5</v>
      </c>
      <c r="B45" t="str">
        <f>""</f>
        <v/>
      </c>
      <c r="C45" t="str">
        <f>""</f>
        <v/>
      </c>
      <c r="D45" t="str">
        <f>""</f>
        <v/>
      </c>
      <c r="E45" t="str">
        <f>"4.746***"</f>
        <v>4.746***</v>
      </c>
      <c r="F45" t="str">
        <f>"2.999"</f>
        <v>2.999</v>
      </c>
      <c r="G45" t="str">
        <f>"3.029"</f>
        <v>3.029</v>
      </c>
      <c r="H45" t="str">
        <f>""</f>
        <v/>
      </c>
      <c r="I45" t="str">
        <f>""</f>
        <v/>
      </c>
      <c r="J45" t="str">
        <f>""</f>
        <v/>
      </c>
      <c r="K45" t="str">
        <f>""</f>
        <v/>
      </c>
      <c r="L45" t="str">
        <f>""</f>
        <v/>
      </c>
      <c r="M45" t="str">
        <f>""</f>
        <v/>
      </c>
      <c r="N45" t="str">
        <f>""</f>
        <v/>
      </c>
      <c r="O45" t="str">
        <f>""</f>
        <v/>
      </c>
      <c r="P45" t="str">
        <f>""</f>
        <v/>
      </c>
      <c r="Q45" t="str">
        <f>""</f>
        <v/>
      </c>
      <c r="R45" t="str">
        <f>""</f>
        <v/>
      </c>
      <c r="S45" t="str">
        <f>""</f>
        <v/>
      </c>
      <c r="T45" t="str">
        <f>""</f>
        <v/>
      </c>
      <c r="U45" t="str">
        <f>""</f>
        <v/>
      </c>
      <c r="V45" t="str">
        <f>""</f>
        <v/>
      </c>
      <c r="W45" t="str">
        <f>""</f>
        <v/>
      </c>
      <c r="X45" t="str">
        <f>""</f>
        <v/>
      </c>
      <c r="Y45" t="str">
        <f>""</f>
        <v/>
      </c>
      <c r="Z45" t="str">
        <f>""</f>
        <v/>
      </c>
      <c r="AA45" t="str">
        <f>""</f>
        <v/>
      </c>
      <c r="AB45" t="str">
        <f>""</f>
        <v/>
      </c>
      <c r="AC45" t="str">
        <f>"3.461*"</f>
        <v>3.461*</v>
      </c>
      <c r="AD45" t="str">
        <f>"2.57"</f>
        <v>2.57</v>
      </c>
      <c r="AE45" t="str">
        <f>"2.237"</f>
        <v>2.237</v>
      </c>
      <c r="AF45" t="str">
        <f>"2.068"</f>
        <v>2.068</v>
      </c>
      <c r="AG45" t="str">
        <f>".7355"</f>
        <v>.7355</v>
      </c>
      <c r="AH45" t="str">
        <f>".2751"</f>
        <v>.2751</v>
      </c>
      <c r="AI45" t="str">
        <f>""</f>
        <v/>
      </c>
      <c r="AJ45" t="str">
        <f>""</f>
        <v/>
      </c>
      <c r="AK45" t="str">
        <f>""</f>
        <v/>
      </c>
      <c r="AL45" t="str">
        <f>"1.981"</f>
        <v>1.981</v>
      </c>
      <c r="AM45" t="str">
        <f>".5178"</f>
        <v>.5178</v>
      </c>
      <c r="AN45" t="str">
        <f>"1.157"</f>
        <v>1.157</v>
      </c>
      <c r="AO45" t="str">
        <f>""</f>
        <v/>
      </c>
      <c r="AP45" t="str">
        <f>""</f>
        <v/>
      </c>
      <c r="AQ45" t="str">
        <f>""</f>
        <v/>
      </c>
      <c r="AR45" t="str">
        <f>"4.37***"</f>
        <v>4.37***</v>
      </c>
      <c r="AS45" t="str">
        <f>"1.551"</f>
        <v>1.551</v>
      </c>
      <c r="AT45" t="str">
        <f>"1.526"</f>
        <v>1.526</v>
      </c>
      <c r="AU45" t="str">
        <f>""</f>
        <v/>
      </c>
      <c r="AV45" t="str">
        <f>""</f>
        <v/>
      </c>
      <c r="AW45" t="str">
        <f>""</f>
        <v/>
      </c>
      <c r="AX45" t="str">
        <f>""</f>
        <v/>
      </c>
      <c r="AY45" t="str">
        <f>""</f>
        <v/>
      </c>
      <c r="AZ45" t="str">
        <f>""</f>
        <v/>
      </c>
      <c r="BA45" t="str">
        <f>""</f>
        <v/>
      </c>
      <c r="BB45" t="str">
        <f>""</f>
        <v/>
      </c>
      <c r="BC45" t="str">
        <f>""</f>
        <v/>
      </c>
      <c r="BD45" t="str">
        <f>""</f>
        <v/>
      </c>
      <c r="BE45" t="str">
        <f>""</f>
        <v/>
      </c>
      <c r="BF45" t="str">
        <f>""</f>
        <v/>
      </c>
      <c r="BG45" t="str">
        <f>""</f>
        <v/>
      </c>
      <c r="BH45" t="str">
        <f>""</f>
        <v/>
      </c>
      <c r="BI45" t="str">
        <f>""</f>
        <v/>
      </c>
      <c r="BJ45" t="str">
        <f>""</f>
        <v/>
      </c>
      <c r="BK45" t="str">
        <f>""</f>
        <v/>
      </c>
      <c r="BL45" t="str">
        <f>""</f>
        <v/>
      </c>
      <c r="BM45" t="str">
        <f>""</f>
        <v/>
      </c>
      <c r="BN45" t="str">
        <f>""</f>
        <v/>
      </c>
      <c r="BO45" t="str">
        <f>""</f>
        <v/>
      </c>
      <c r="BP45" t="str">
        <f>"1.966"</f>
        <v>1.966</v>
      </c>
      <c r="BQ45" t="str">
        <f>"1.357"</f>
        <v>1.357</v>
      </c>
      <c r="BR45" t="str">
        <f>".8401"</f>
        <v>.8401</v>
      </c>
      <c r="BS45" t="str">
        <f>"-.4177"</f>
        <v>-.4177</v>
      </c>
      <c r="BT45" t="str">
        <f>"-.03711"</f>
        <v>-.03711</v>
      </c>
      <c r="BU45" t="str">
        <f>".22"</f>
        <v>.22</v>
      </c>
      <c r="BV45" t="str">
        <f>""</f>
        <v/>
      </c>
      <c r="BW45" t="str">
        <f>""</f>
        <v/>
      </c>
      <c r="BX45" t="str">
        <f>""</f>
        <v/>
      </c>
      <c r="BY45" t="str">
        <f>"-.554"</f>
        <v>-.554</v>
      </c>
      <c r="BZ45" t="str">
        <f>"-.167"</f>
        <v>-.167</v>
      </c>
      <c r="CA45" t="str">
        <f>".8866"</f>
        <v>.8866</v>
      </c>
    </row>
    <row r="46" spans="1:79" x14ac:dyDescent="0.2">
      <c r="A46" t="str">
        <f>""</f>
        <v/>
      </c>
      <c r="B46" t="str">
        <f>""</f>
        <v/>
      </c>
      <c r="C46" t="str">
        <f>""</f>
        <v/>
      </c>
      <c r="D46" t="str">
        <f>""</f>
        <v/>
      </c>
      <c r="E46" t="str">
        <f>"(.8979)"</f>
        <v>(.8979)</v>
      </c>
      <c r="F46" t="str">
        <f>"(1.896)"</f>
        <v>(1.896)</v>
      </c>
      <c r="G46" t="str">
        <f>"(1.985)"</f>
        <v>(1.985)</v>
      </c>
      <c r="H46" t="str">
        <f>""</f>
        <v/>
      </c>
      <c r="I46" t="str">
        <f>""</f>
        <v/>
      </c>
      <c r="J46" t="str">
        <f>""</f>
        <v/>
      </c>
      <c r="K46" t="str">
        <f>""</f>
        <v/>
      </c>
      <c r="L46" t="str">
        <f>""</f>
        <v/>
      </c>
      <c r="M46" t="str">
        <f>""</f>
        <v/>
      </c>
      <c r="N46" t="str">
        <f>""</f>
        <v/>
      </c>
      <c r="O46" t="str">
        <f>""</f>
        <v/>
      </c>
      <c r="P46" t="str">
        <f>""</f>
        <v/>
      </c>
      <c r="Q46" t="str">
        <f>""</f>
        <v/>
      </c>
      <c r="R46" t="str">
        <f>""</f>
        <v/>
      </c>
      <c r="S46" t="str">
        <f>""</f>
        <v/>
      </c>
      <c r="T46" t="str">
        <f>""</f>
        <v/>
      </c>
      <c r="U46" t="str">
        <f>""</f>
        <v/>
      </c>
      <c r="V46" t="str">
        <f>""</f>
        <v/>
      </c>
      <c r="W46" t="str">
        <f>""</f>
        <v/>
      </c>
      <c r="X46" t="str">
        <f>""</f>
        <v/>
      </c>
      <c r="Y46" t="str">
        <f>""</f>
        <v/>
      </c>
      <c r="Z46" t="str">
        <f>""</f>
        <v/>
      </c>
      <c r="AA46" t="str">
        <f>""</f>
        <v/>
      </c>
      <c r="AB46" t="str">
        <f>""</f>
        <v/>
      </c>
      <c r="AC46" t="str">
        <f>"(1.854)"</f>
        <v>(1.854)</v>
      </c>
      <c r="AD46" t="str">
        <f>"(2.3)"</f>
        <v>(2.3)</v>
      </c>
      <c r="AE46" t="str">
        <f>"(2.433)"</f>
        <v>(2.433)</v>
      </c>
      <c r="AF46" t="str">
        <f>"(1.758)"</f>
        <v>(1.758)</v>
      </c>
      <c r="AG46" t="str">
        <f>"(2.285)"</f>
        <v>(2.285)</v>
      </c>
      <c r="AH46" t="str">
        <f>"(2.558)"</f>
        <v>(2.558)</v>
      </c>
      <c r="AI46" t="str">
        <f>""</f>
        <v/>
      </c>
      <c r="AJ46" t="str">
        <f>""</f>
        <v/>
      </c>
      <c r="AK46" t="str">
        <f>""</f>
        <v/>
      </c>
      <c r="AL46" t="str">
        <f>"(1.802)"</f>
        <v>(1.802)</v>
      </c>
      <c r="AM46" t="str">
        <f>"(2.339)"</f>
        <v>(2.339)</v>
      </c>
      <c r="AN46" t="str">
        <f>"(2.432)"</f>
        <v>(2.432)</v>
      </c>
      <c r="AO46" t="str">
        <f>""</f>
        <v/>
      </c>
      <c r="AP46" t="str">
        <f>""</f>
        <v/>
      </c>
      <c r="AQ46" t="str">
        <f>""</f>
        <v/>
      </c>
      <c r="AR46" t="str">
        <f>"(1.235)"</f>
        <v>(1.235)</v>
      </c>
      <c r="AS46" t="str">
        <f>"(1.784)"</f>
        <v>(1.784)</v>
      </c>
      <c r="AT46" t="str">
        <f>"(1.723)"</f>
        <v>(1.723)</v>
      </c>
      <c r="AU46" t="str">
        <f>""</f>
        <v/>
      </c>
      <c r="AV46" t="str">
        <f>""</f>
        <v/>
      </c>
      <c r="AW46" t="str">
        <f>""</f>
        <v/>
      </c>
      <c r="AX46" t="str">
        <f>""</f>
        <v/>
      </c>
      <c r="AY46" t="str">
        <f>""</f>
        <v/>
      </c>
      <c r="AZ46" t="str">
        <f>""</f>
        <v/>
      </c>
      <c r="BA46" t="str">
        <f>""</f>
        <v/>
      </c>
      <c r="BB46" t="str">
        <f>""</f>
        <v/>
      </c>
      <c r="BC46" t="str">
        <f>""</f>
        <v/>
      </c>
      <c r="BD46" t="str">
        <f>""</f>
        <v/>
      </c>
      <c r="BE46" t="str">
        <f>""</f>
        <v/>
      </c>
      <c r="BF46" t="str">
        <f>""</f>
        <v/>
      </c>
      <c r="BG46" t="str">
        <f>""</f>
        <v/>
      </c>
      <c r="BH46" t="str">
        <f>""</f>
        <v/>
      </c>
      <c r="BI46" t="str">
        <f>""</f>
        <v/>
      </c>
      <c r="BJ46" t="str">
        <f>""</f>
        <v/>
      </c>
      <c r="BK46" t="str">
        <f>""</f>
        <v/>
      </c>
      <c r="BL46" t="str">
        <f>""</f>
        <v/>
      </c>
      <c r="BM46" t="str">
        <f>""</f>
        <v/>
      </c>
      <c r="BN46" t="str">
        <f>""</f>
        <v/>
      </c>
      <c r="BO46" t="str">
        <f>""</f>
        <v/>
      </c>
      <c r="BP46" t="str">
        <f>"(2.018)"</f>
        <v>(2.018)</v>
      </c>
      <c r="BQ46" t="str">
        <f>"(2.464)"</f>
        <v>(2.464)</v>
      </c>
      <c r="BR46" t="str">
        <f>"(2.27)"</f>
        <v>(2.27)</v>
      </c>
      <c r="BS46" t="str">
        <f>"(1.742)"</f>
        <v>(1.742)</v>
      </c>
      <c r="BT46" t="str">
        <f>"(2.101)"</f>
        <v>(2.101)</v>
      </c>
      <c r="BU46" t="str">
        <f>"(1.946)"</f>
        <v>(1.946)</v>
      </c>
      <c r="BV46" t="str">
        <f>""</f>
        <v/>
      </c>
      <c r="BW46" t="str">
        <f>""</f>
        <v/>
      </c>
      <c r="BX46" t="str">
        <f>""</f>
        <v/>
      </c>
      <c r="BY46" t="str">
        <f>"(1.808)"</f>
        <v>(1.808)</v>
      </c>
      <c r="BZ46" t="str">
        <f>"(2.217)"</f>
        <v>(2.217)</v>
      </c>
      <c r="CA46" t="str">
        <f>"(1.906)"</f>
        <v>(1.906)</v>
      </c>
    </row>
    <row r="47" spans="1:79" x14ac:dyDescent="0.2">
      <c r="A47" t="str">
        <f>"psi_c"</f>
        <v>psi_c</v>
      </c>
      <c r="B47" t="str">
        <f>""</f>
        <v/>
      </c>
      <c r="C47" t="str">
        <f>""</f>
        <v/>
      </c>
      <c r="D47" t="str">
        <f>""</f>
        <v/>
      </c>
      <c r="E47" t="str">
        <f>""</f>
        <v/>
      </c>
      <c r="F47" t="str">
        <f>""</f>
        <v/>
      </c>
      <c r="G47" t="str">
        <f>""</f>
        <v/>
      </c>
      <c r="H47" t="str">
        <f>".573**"</f>
        <v>.573**</v>
      </c>
      <c r="I47" t="str">
        <f>".2472"</f>
        <v>.2472</v>
      </c>
      <c r="J47" t="str">
        <f>".2722"</f>
        <v>.2722</v>
      </c>
      <c r="K47" t="str">
        <f>""</f>
        <v/>
      </c>
      <c r="L47" t="str">
        <f>""</f>
        <v/>
      </c>
      <c r="M47" t="str">
        <f>""</f>
        <v/>
      </c>
      <c r="N47" t="str">
        <f>"-.2971*"</f>
        <v>-.2971*</v>
      </c>
      <c r="O47" t="str">
        <f>"-.1691"</f>
        <v>-.1691</v>
      </c>
      <c r="P47" t="str">
        <f>"-.02209"</f>
        <v>-.02209</v>
      </c>
      <c r="Q47" t="str">
        <f>""</f>
        <v/>
      </c>
      <c r="R47" t="str">
        <f>""</f>
        <v/>
      </c>
      <c r="S47" t="str">
        <f>""</f>
        <v/>
      </c>
      <c r="T47" t="str">
        <f>"-1.949***"</f>
        <v>-1.949***</v>
      </c>
      <c r="U47" t="str">
        <f>"-1.954***"</f>
        <v>-1.954***</v>
      </c>
      <c r="V47" t="str">
        <f>"-1.936***"</f>
        <v>-1.936***</v>
      </c>
      <c r="W47" t="str">
        <f>"-.7524"</f>
        <v>-.7524</v>
      </c>
      <c r="X47" t="str">
        <f>"-.8527"</f>
        <v>-.8527</v>
      </c>
      <c r="Y47" t="str">
        <f>"-.8576*"</f>
        <v>-.8576*</v>
      </c>
      <c r="Z47" t="str">
        <f>""</f>
        <v/>
      </c>
      <c r="AA47" t="str">
        <f>""</f>
        <v/>
      </c>
      <c r="AB47" t="str">
        <f>""</f>
        <v/>
      </c>
      <c r="AC47" t="str">
        <f>""</f>
        <v/>
      </c>
      <c r="AD47" t="str">
        <f>""</f>
        <v/>
      </c>
      <c r="AE47" t="str">
        <f>""</f>
        <v/>
      </c>
      <c r="AF47" t="str">
        <f>""</f>
        <v/>
      </c>
      <c r="AG47" t="str">
        <f>""</f>
        <v/>
      </c>
      <c r="AH47" t="str">
        <f>""</f>
        <v/>
      </c>
      <c r="AI47" t="str">
        <f>""</f>
        <v/>
      </c>
      <c r="AJ47" t="str">
        <f>""</f>
        <v/>
      </c>
      <c r="AK47" t="str">
        <f>""</f>
        <v/>
      </c>
      <c r="AL47" t="str">
        <f>""</f>
        <v/>
      </c>
      <c r="AM47" t="str">
        <f>""</f>
        <v/>
      </c>
      <c r="AN47" t="str">
        <f>""</f>
        <v/>
      </c>
      <c r="AO47" t="str">
        <f>""</f>
        <v/>
      </c>
      <c r="AP47" t="str">
        <f>""</f>
        <v/>
      </c>
      <c r="AQ47" t="str">
        <f>""</f>
        <v/>
      </c>
      <c r="AR47" t="str">
        <f>""</f>
        <v/>
      </c>
      <c r="AS47" t="str">
        <f>""</f>
        <v/>
      </c>
      <c r="AT47" t="str">
        <f>""</f>
        <v/>
      </c>
      <c r="AU47" t="str">
        <f>".564**"</f>
        <v>.564**</v>
      </c>
      <c r="AV47" t="str">
        <f>".1631"</f>
        <v>.1631</v>
      </c>
      <c r="AW47" t="str">
        <f>".2761"</f>
        <v>.2761</v>
      </c>
      <c r="AX47" t="str">
        <f>""</f>
        <v/>
      </c>
      <c r="AY47" t="str">
        <f>""</f>
        <v/>
      </c>
      <c r="AZ47" t="str">
        <f>""</f>
        <v/>
      </c>
      <c r="BA47" t="str">
        <f>"-.261"</f>
        <v>-.261</v>
      </c>
      <c r="BB47" t="str">
        <f>"-.09797"</f>
        <v>-.09797</v>
      </c>
      <c r="BC47" t="str">
        <f>".148"</f>
        <v>.148</v>
      </c>
      <c r="BD47" t="str">
        <f>""</f>
        <v/>
      </c>
      <c r="BE47" t="str">
        <f>""</f>
        <v/>
      </c>
      <c r="BF47" t="str">
        <f>""</f>
        <v/>
      </c>
      <c r="BG47" t="str">
        <f>"-1.45**"</f>
        <v>-1.45**</v>
      </c>
      <c r="BH47" t="str">
        <f>"-1.053**"</f>
        <v>-1.053**</v>
      </c>
      <c r="BI47" t="str">
        <f>"-.927"</f>
        <v>-.927</v>
      </c>
      <c r="BJ47" t="str">
        <f>"-.2388"</f>
        <v>-.2388</v>
      </c>
      <c r="BK47" t="str">
        <f>".06142"</f>
        <v>.06142</v>
      </c>
      <c r="BL47" t="str">
        <f>".1025"</f>
        <v>.1025</v>
      </c>
      <c r="BM47" t="str">
        <f>""</f>
        <v/>
      </c>
      <c r="BN47" t="str">
        <f>""</f>
        <v/>
      </c>
      <c r="BO47" t="str">
        <f>""</f>
        <v/>
      </c>
      <c r="BP47" t="str">
        <f>""</f>
        <v/>
      </c>
      <c r="BQ47" t="str">
        <f>""</f>
        <v/>
      </c>
      <c r="BR47" t="str">
        <f>""</f>
        <v/>
      </c>
      <c r="BS47" t="str">
        <f>""</f>
        <v/>
      </c>
      <c r="BT47" t="str">
        <f>""</f>
        <v/>
      </c>
      <c r="BU47" t="str">
        <f>""</f>
        <v/>
      </c>
      <c r="BV47" t="str">
        <f>""</f>
        <v/>
      </c>
      <c r="BW47" t="str">
        <f>""</f>
        <v/>
      </c>
      <c r="BX47" t="str">
        <f>""</f>
        <v/>
      </c>
      <c r="BY47" t="str">
        <f>""</f>
        <v/>
      </c>
      <c r="BZ47" t="str">
        <f>""</f>
        <v/>
      </c>
      <c r="CA47" t="str">
        <f>""</f>
        <v/>
      </c>
    </row>
    <row r="48" spans="1:79" x14ac:dyDescent="0.2">
      <c r="A48" t="str">
        <f>""</f>
        <v/>
      </c>
      <c r="B48" t="str">
        <f>""</f>
        <v/>
      </c>
      <c r="C48" t="str">
        <f>""</f>
        <v/>
      </c>
      <c r="D48" t="str">
        <f>""</f>
        <v/>
      </c>
      <c r="E48" t="str">
        <f>""</f>
        <v/>
      </c>
      <c r="F48" t="str">
        <f>""</f>
        <v/>
      </c>
      <c r="G48" t="str">
        <f>""</f>
        <v/>
      </c>
      <c r="H48" t="str">
        <f>"(.2668)"</f>
        <v>(.2668)</v>
      </c>
      <c r="I48" t="str">
        <f>"(.2258)"</f>
        <v>(.2258)</v>
      </c>
      <c r="J48" t="str">
        <f>"(.3568)"</f>
        <v>(.3568)</v>
      </c>
      <c r="K48" t="str">
        <f>""</f>
        <v/>
      </c>
      <c r="L48" t="str">
        <f>""</f>
        <v/>
      </c>
      <c r="M48" t="str">
        <f>""</f>
        <v/>
      </c>
      <c r="N48" t="str">
        <f>"(.1748)"</f>
        <v>(.1748)</v>
      </c>
      <c r="O48" t="str">
        <f>"(.1708)"</f>
        <v>(.1708)</v>
      </c>
      <c r="P48" t="str">
        <f>"(.1856)"</f>
        <v>(.1856)</v>
      </c>
      <c r="Q48" t="str">
        <f>""</f>
        <v/>
      </c>
      <c r="R48" t="str">
        <f>""</f>
        <v/>
      </c>
      <c r="S48" t="str">
        <f>""</f>
        <v/>
      </c>
      <c r="T48" t="str">
        <f>"(.7396)"</f>
        <v>(.7396)</v>
      </c>
      <c r="U48" t="str">
        <f>"(.5141)"</f>
        <v>(.5141)</v>
      </c>
      <c r="V48" t="str">
        <f>"(.7026)"</f>
        <v>(.7026)</v>
      </c>
      <c r="W48" t="str">
        <f>"(.517)"</f>
        <v>(.517)</v>
      </c>
      <c r="X48" t="str">
        <f>"(.562)"</f>
        <v>(.562)</v>
      </c>
      <c r="Y48" t="str">
        <f>"(.4985)"</f>
        <v>(.4985)</v>
      </c>
      <c r="Z48" t="str">
        <f>""</f>
        <v/>
      </c>
      <c r="AA48" t="str">
        <f>""</f>
        <v/>
      </c>
      <c r="AB48" t="str">
        <f>""</f>
        <v/>
      </c>
      <c r="AC48" t="str">
        <f>""</f>
        <v/>
      </c>
      <c r="AD48" t="str">
        <f>""</f>
        <v/>
      </c>
      <c r="AE48" t="str">
        <f>""</f>
        <v/>
      </c>
      <c r="AF48" t="str">
        <f>""</f>
        <v/>
      </c>
      <c r="AG48" t="str">
        <f>""</f>
        <v/>
      </c>
      <c r="AH48" t="str">
        <f>""</f>
        <v/>
      </c>
      <c r="AI48" t="str">
        <f>""</f>
        <v/>
      </c>
      <c r="AJ48" t="str">
        <f>""</f>
        <v/>
      </c>
      <c r="AK48" t="str">
        <f>""</f>
        <v/>
      </c>
      <c r="AL48" t="str">
        <f>""</f>
        <v/>
      </c>
      <c r="AM48" t="str">
        <f>""</f>
        <v/>
      </c>
      <c r="AN48" t="str">
        <f>""</f>
        <v/>
      </c>
      <c r="AO48" t="str">
        <f>""</f>
        <v/>
      </c>
      <c r="AP48" t="str">
        <f>""</f>
        <v/>
      </c>
      <c r="AQ48" t="str">
        <f>""</f>
        <v/>
      </c>
      <c r="AR48" t="str">
        <f>""</f>
        <v/>
      </c>
      <c r="AS48" t="str">
        <f>""</f>
        <v/>
      </c>
      <c r="AT48" t="str">
        <f>""</f>
        <v/>
      </c>
      <c r="AU48" t="str">
        <f>"(.2417)"</f>
        <v>(.2417)</v>
      </c>
      <c r="AV48" t="str">
        <f>"(.2329)"</f>
        <v>(.2329)</v>
      </c>
      <c r="AW48" t="str">
        <f>"(.3082)"</f>
        <v>(.3082)</v>
      </c>
      <c r="AX48" t="str">
        <f>""</f>
        <v/>
      </c>
      <c r="AY48" t="str">
        <f>""</f>
        <v/>
      </c>
      <c r="AZ48" t="str">
        <f>""</f>
        <v/>
      </c>
      <c r="BA48" t="str">
        <f>"(.187)"</f>
        <v>(.187)</v>
      </c>
      <c r="BB48" t="str">
        <f>"(.1866)"</f>
        <v>(.1866)</v>
      </c>
      <c r="BC48" t="str">
        <f>"(.1887)"</f>
        <v>(.1887)</v>
      </c>
      <c r="BD48" t="str">
        <f>""</f>
        <v/>
      </c>
      <c r="BE48" t="str">
        <f>""</f>
        <v/>
      </c>
      <c r="BF48" t="str">
        <f>""</f>
        <v/>
      </c>
      <c r="BG48" t="str">
        <f>"(.723)"</f>
        <v>(.723)</v>
      </c>
      <c r="BH48" t="str">
        <f>"(.4753)"</f>
        <v>(.4753)</v>
      </c>
      <c r="BI48" t="str">
        <f>"(.6362)"</f>
        <v>(.6362)</v>
      </c>
      <c r="BJ48" t="str">
        <f>"(.5874)"</f>
        <v>(.5874)</v>
      </c>
      <c r="BK48" t="str">
        <f>"(.5855)"</f>
        <v>(.5855)</v>
      </c>
      <c r="BL48" t="str">
        <f>"(.4367)"</f>
        <v>(.4367)</v>
      </c>
      <c r="BM48" t="str">
        <f>""</f>
        <v/>
      </c>
      <c r="BN48" t="str">
        <f>""</f>
        <v/>
      </c>
      <c r="BO48" t="str">
        <f>""</f>
        <v/>
      </c>
      <c r="BP48" t="str">
        <f>""</f>
        <v/>
      </c>
      <c r="BQ48" t="str">
        <f>""</f>
        <v/>
      </c>
      <c r="BR48" t="str">
        <f>""</f>
        <v/>
      </c>
      <c r="BS48" t="str">
        <f>""</f>
        <v/>
      </c>
      <c r="BT48" t="str">
        <f>""</f>
        <v/>
      </c>
      <c r="BU48" t="str">
        <f>""</f>
        <v/>
      </c>
      <c r="BV48" t="str">
        <f>""</f>
        <v/>
      </c>
      <c r="BW48" t="str">
        <f>""</f>
        <v/>
      </c>
      <c r="BX48" t="str">
        <f>""</f>
        <v/>
      </c>
      <c r="BY48" t="str">
        <f>""</f>
        <v/>
      </c>
      <c r="BZ48" t="str">
        <f>""</f>
        <v/>
      </c>
      <c r="CA48" t="str">
        <f>""</f>
        <v/>
      </c>
    </row>
    <row r="49" spans="1:79" x14ac:dyDescent="0.2">
      <c r="A49" t="str">
        <f>"Epsi_c"</f>
        <v>Epsi_c</v>
      </c>
      <c r="B49" t="str">
        <f>""</f>
        <v/>
      </c>
      <c r="C49" t="str">
        <f>""</f>
        <v/>
      </c>
      <c r="D49" t="str">
        <f>""</f>
        <v/>
      </c>
      <c r="E49" t="str">
        <f>""</f>
        <v/>
      </c>
      <c r="F49" t="str">
        <f>""</f>
        <v/>
      </c>
      <c r="G49" t="str">
        <f>""</f>
        <v/>
      </c>
      <c r="H49" t="str">
        <f>".6031"</f>
        <v>.6031</v>
      </c>
      <c r="I49" t="str">
        <f>".9422"</f>
        <v>.9422</v>
      </c>
      <c r="J49" t="str">
        <f>".9408"</f>
        <v>.9408</v>
      </c>
      <c r="K49" t="str">
        <f>""</f>
        <v/>
      </c>
      <c r="L49" t="str">
        <f>""</f>
        <v/>
      </c>
      <c r="M49" t="str">
        <f>""</f>
        <v/>
      </c>
      <c r="N49" t="str">
        <f>""</f>
        <v/>
      </c>
      <c r="O49" t="str">
        <f>""</f>
        <v/>
      </c>
      <c r="P49" t="str">
        <f>""</f>
        <v/>
      </c>
      <c r="Q49" t="str">
        <f>""</f>
        <v/>
      </c>
      <c r="R49" t="str">
        <f>""</f>
        <v/>
      </c>
      <c r="S49" t="str">
        <f>""</f>
        <v/>
      </c>
      <c r="T49" t="str">
        <f>""</f>
        <v/>
      </c>
      <c r="U49" t="str">
        <f>""</f>
        <v/>
      </c>
      <c r="V49" t="str">
        <f>""</f>
        <v/>
      </c>
      <c r="W49" t="str">
        <f>""</f>
        <v/>
      </c>
      <c r="X49" t="str">
        <f>""</f>
        <v/>
      </c>
      <c r="Y49" t="str">
        <f>""</f>
        <v/>
      </c>
      <c r="Z49" t="str">
        <f>"-1.161"</f>
        <v>-1.161</v>
      </c>
      <c r="AA49" t="str">
        <f>"-1.285"</f>
        <v>-1.285</v>
      </c>
      <c r="AB49" t="str">
        <f>"-2.005"</f>
        <v>-2.005</v>
      </c>
      <c r="AC49" t="str">
        <f>""</f>
        <v/>
      </c>
      <c r="AD49" t="str">
        <f>""</f>
        <v/>
      </c>
      <c r="AE49" t="str">
        <f>""</f>
        <v/>
      </c>
      <c r="AF49" t="str">
        <f>"-4.971**"</f>
        <v>-4.971**</v>
      </c>
      <c r="AG49" t="str">
        <f>"-5.168*"</f>
        <v>-5.168*</v>
      </c>
      <c r="AH49" t="str">
        <f>"-4.812"</f>
        <v>-4.812</v>
      </c>
      <c r="AI49" t="str">
        <f>""</f>
        <v/>
      </c>
      <c r="AJ49" t="str">
        <f>""</f>
        <v/>
      </c>
      <c r="AK49" t="str">
        <f>""</f>
        <v/>
      </c>
      <c r="AL49" t="str">
        <f>"-4.368"</f>
        <v>-4.368</v>
      </c>
      <c r="AM49" t="str">
        <f>"-4.498"</f>
        <v>-4.498</v>
      </c>
      <c r="AN49" t="str">
        <f>"-3.996"</f>
        <v>-3.996</v>
      </c>
      <c r="AO49" t="str">
        <f>""</f>
        <v/>
      </c>
      <c r="AP49" t="str">
        <f>""</f>
        <v/>
      </c>
      <c r="AQ49" t="str">
        <f>""</f>
        <v/>
      </c>
      <c r="AR49" t="str">
        <f>""</f>
        <v/>
      </c>
      <c r="AS49" t="str">
        <f>""</f>
        <v/>
      </c>
      <c r="AT49" t="str">
        <f>""</f>
        <v/>
      </c>
      <c r="AU49" t="str">
        <f>".7106"</f>
        <v>.7106</v>
      </c>
      <c r="AV49" t="str">
        <f>"1.379"</f>
        <v>1.379</v>
      </c>
      <c r="AW49" t="str">
        <f>"1.332*"</f>
        <v>1.332*</v>
      </c>
      <c r="AX49" t="str">
        <f>""</f>
        <v/>
      </c>
      <c r="AY49" t="str">
        <f>""</f>
        <v/>
      </c>
      <c r="AZ49" t="str">
        <f>""</f>
        <v/>
      </c>
      <c r="BA49" t="str">
        <f>""</f>
        <v/>
      </c>
      <c r="BB49" t="str">
        <f>""</f>
        <v/>
      </c>
      <c r="BC49" t="str">
        <f>""</f>
        <v/>
      </c>
      <c r="BD49" t="str">
        <f>""</f>
        <v/>
      </c>
      <c r="BE49" t="str">
        <f>""</f>
        <v/>
      </c>
      <c r="BF49" t="str">
        <f>""</f>
        <v/>
      </c>
      <c r="BG49" t="str">
        <f>""</f>
        <v/>
      </c>
      <c r="BH49" t="str">
        <f>""</f>
        <v/>
      </c>
      <c r="BI49" t="str">
        <f>""</f>
        <v/>
      </c>
      <c r="BJ49" t="str">
        <f>""</f>
        <v/>
      </c>
      <c r="BK49" t="str">
        <f>""</f>
        <v/>
      </c>
      <c r="BL49" t="str">
        <f>""</f>
        <v/>
      </c>
      <c r="BM49" t="str">
        <f>"-1.036"</f>
        <v>-1.036</v>
      </c>
      <c r="BN49" t="str">
        <f>"-.1056"</f>
        <v>-.1056</v>
      </c>
      <c r="BO49" t="str">
        <f>"-.2168"</f>
        <v>-.2168</v>
      </c>
      <c r="BP49" t="str">
        <f>""</f>
        <v/>
      </c>
      <c r="BQ49" t="str">
        <f>""</f>
        <v/>
      </c>
      <c r="BR49" t="str">
        <f>""</f>
        <v/>
      </c>
      <c r="BS49" t="str">
        <f>"-7.633***"</f>
        <v>-7.633***</v>
      </c>
      <c r="BT49" t="str">
        <f>"-5.723**"</f>
        <v>-5.723**</v>
      </c>
      <c r="BU49" t="str">
        <f>"-3.511"</f>
        <v>-3.511</v>
      </c>
      <c r="BV49" t="str">
        <f>""</f>
        <v/>
      </c>
      <c r="BW49" t="str">
        <f>""</f>
        <v/>
      </c>
      <c r="BX49" t="str">
        <f>""</f>
        <v/>
      </c>
      <c r="BY49" t="str">
        <f>"-7.002**"</f>
        <v>-7.002**</v>
      </c>
      <c r="BZ49" t="str">
        <f>"-4.087"</f>
        <v>-4.087</v>
      </c>
      <c r="CA49" t="str">
        <f>"-2.051"</f>
        <v>-2.051</v>
      </c>
    </row>
    <row r="50" spans="1:79" x14ac:dyDescent="0.2">
      <c r="A50" t="str">
        <f>""</f>
        <v/>
      </c>
      <c r="B50" t="str">
        <f>""</f>
        <v/>
      </c>
      <c r="C50" t="str">
        <f>""</f>
        <v/>
      </c>
      <c r="D50" t="str">
        <f>""</f>
        <v/>
      </c>
      <c r="E50" t="str">
        <f>""</f>
        <v/>
      </c>
      <c r="F50" t="str">
        <f>""</f>
        <v/>
      </c>
      <c r="G50" t="str">
        <f>""</f>
        <v/>
      </c>
      <c r="H50" t="str">
        <f>"(1.276)"</f>
        <v>(1.276)</v>
      </c>
      <c r="I50" t="str">
        <f>"(1.041)"</f>
        <v>(1.041)</v>
      </c>
      <c r="J50" t="str">
        <f>"(.9598)"</f>
        <v>(.9598)</v>
      </c>
      <c r="K50" t="str">
        <f>""</f>
        <v/>
      </c>
      <c r="L50" t="str">
        <f>""</f>
        <v/>
      </c>
      <c r="M50" t="str">
        <f>""</f>
        <v/>
      </c>
      <c r="N50" t="str">
        <f>""</f>
        <v/>
      </c>
      <c r="O50" t="str">
        <f>""</f>
        <v/>
      </c>
      <c r="P50" t="str">
        <f>""</f>
        <v/>
      </c>
      <c r="Q50" t="str">
        <f>""</f>
        <v/>
      </c>
      <c r="R50" t="str">
        <f>""</f>
        <v/>
      </c>
      <c r="S50" t="str">
        <f>""</f>
        <v/>
      </c>
      <c r="T50" t="str">
        <f>""</f>
        <v/>
      </c>
      <c r="U50" t="str">
        <f>""</f>
        <v/>
      </c>
      <c r="V50" t="str">
        <f>""</f>
        <v/>
      </c>
      <c r="W50" t="str">
        <f>""</f>
        <v/>
      </c>
      <c r="X50" t="str">
        <f>""</f>
        <v/>
      </c>
      <c r="Y50" t="str">
        <f>""</f>
        <v/>
      </c>
      <c r="Z50" t="str">
        <f>"(.8635)"</f>
        <v>(.8635)</v>
      </c>
      <c r="AA50" t="str">
        <f>"(1.175)"</f>
        <v>(1.175)</v>
      </c>
      <c r="AB50" t="str">
        <f>"(1.775)"</f>
        <v>(1.775)</v>
      </c>
      <c r="AC50" t="str">
        <f>""</f>
        <v/>
      </c>
      <c r="AD50" t="str">
        <f>""</f>
        <v/>
      </c>
      <c r="AE50" t="str">
        <f>""</f>
        <v/>
      </c>
      <c r="AF50" t="str">
        <f>"(2.464)"</f>
        <v>(2.464)</v>
      </c>
      <c r="AG50" t="str">
        <f>"(2.996)"</f>
        <v>(2.996)</v>
      </c>
      <c r="AH50" t="str">
        <f>"(3.501)"</f>
        <v>(3.501)</v>
      </c>
      <c r="AI50" t="str">
        <f>""</f>
        <v/>
      </c>
      <c r="AJ50" t="str">
        <f>""</f>
        <v/>
      </c>
      <c r="AK50" t="str">
        <f>""</f>
        <v/>
      </c>
      <c r="AL50" t="str">
        <f>"(3.205)"</f>
        <v>(3.205)</v>
      </c>
      <c r="AM50" t="str">
        <f>"(4.113)"</f>
        <v>(4.113)</v>
      </c>
      <c r="AN50" t="str">
        <f>"(3.75)"</f>
        <v>(3.75)</v>
      </c>
      <c r="AO50" t="str">
        <f>""</f>
        <v/>
      </c>
      <c r="AP50" t="str">
        <f>""</f>
        <v/>
      </c>
      <c r="AQ50" t="str">
        <f>""</f>
        <v/>
      </c>
      <c r="AR50" t="str">
        <f>""</f>
        <v/>
      </c>
      <c r="AS50" t="str">
        <f>""</f>
        <v/>
      </c>
      <c r="AT50" t="str">
        <f>""</f>
        <v/>
      </c>
      <c r="AU50" t="str">
        <f>"(1.213)"</f>
        <v>(1.213)</v>
      </c>
      <c r="AV50" t="str">
        <f>"(.9069)"</f>
        <v>(.9069)</v>
      </c>
      <c r="AW50" t="str">
        <f>"(.8059)"</f>
        <v>(.8059)</v>
      </c>
      <c r="AX50" t="str">
        <f>""</f>
        <v/>
      </c>
      <c r="AY50" t="str">
        <f>""</f>
        <v/>
      </c>
      <c r="AZ50" t="str">
        <f>""</f>
        <v/>
      </c>
      <c r="BA50" t="str">
        <f>""</f>
        <v/>
      </c>
      <c r="BB50" t="str">
        <f>""</f>
        <v/>
      </c>
      <c r="BC50" t="str">
        <f>""</f>
        <v/>
      </c>
      <c r="BD50" t="str">
        <f>""</f>
        <v/>
      </c>
      <c r="BE50" t="str">
        <f>""</f>
        <v/>
      </c>
      <c r="BF50" t="str">
        <f>""</f>
        <v/>
      </c>
      <c r="BG50" t="str">
        <f>""</f>
        <v/>
      </c>
      <c r="BH50" t="str">
        <f>""</f>
        <v/>
      </c>
      <c r="BI50" t="str">
        <f>""</f>
        <v/>
      </c>
      <c r="BJ50" t="str">
        <f>""</f>
        <v/>
      </c>
      <c r="BK50" t="str">
        <f>""</f>
        <v/>
      </c>
      <c r="BL50" t="str">
        <f>""</f>
        <v/>
      </c>
      <c r="BM50" t="str">
        <f>"(.8671)"</f>
        <v>(.8671)</v>
      </c>
      <c r="BN50" t="str">
        <f>"(1.154)"</f>
        <v>(1.154)</v>
      </c>
      <c r="BO50" t="str">
        <f>"(1.506)"</f>
        <v>(1.506)</v>
      </c>
      <c r="BP50" t="str">
        <f>""</f>
        <v/>
      </c>
      <c r="BQ50" t="str">
        <f>""</f>
        <v/>
      </c>
      <c r="BR50" t="str">
        <f>""</f>
        <v/>
      </c>
      <c r="BS50" t="str">
        <f>"(2.205)"</f>
        <v>(2.205)</v>
      </c>
      <c r="BT50" t="str">
        <f>"(2.563)"</f>
        <v>(2.563)</v>
      </c>
      <c r="BU50" t="str">
        <f>"(2.949)"</f>
        <v>(2.949)</v>
      </c>
      <c r="BV50" t="str">
        <f>""</f>
        <v/>
      </c>
      <c r="BW50" t="str">
        <f>""</f>
        <v/>
      </c>
      <c r="BX50" t="str">
        <f>""</f>
        <v/>
      </c>
      <c r="BY50" t="str">
        <f>"(2.848)"</f>
        <v>(2.848)</v>
      </c>
      <c r="BZ50" t="str">
        <f>"(3.15)"</f>
        <v>(3.15)</v>
      </c>
      <c r="CA50" t="str">
        <f>"(3.041)"</f>
        <v>(3.041)</v>
      </c>
    </row>
    <row r="51" spans="1:79" x14ac:dyDescent="0.2">
      <c r="A51" t="str">
        <f>"s_psi_q1q5"</f>
        <v>s_psi_q1q5</v>
      </c>
      <c r="B51" t="str">
        <f>""</f>
        <v/>
      </c>
      <c r="C51" t="str">
        <f>""</f>
        <v/>
      </c>
      <c r="D51" t="str">
        <f>""</f>
        <v/>
      </c>
      <c r="E51" t="str">
        <f>""</f>
        <v/>
      </c>
      <c r="F51" t="str">
        <f>""</f>
        <v/>
      </c>
      <c r="G51" t="str">
        <f>""</f>
        <v/>
      </c>
      <c r="H51" t="str">
        <f>""</f>
        <v/>
      </c>
      <c r="I51" t="str">
        <f>""</f>
        <v/>
      </c>
      <c r="J51" t="str">
        <f>""</f>
        <v/>
      </c>
      <c r="K51" t="str">
        <f>".2745**"</f>
        <v>.2745**</v>
      </c>
      <c r="L51" t="str">
        <f>".1958*"</f>
        <v>.1958*</v>
      </c>
      <c r="M51" t="str">
        <f>".2686**"</f>
        <v>.2686**</v>
      </c>
      <c r="N51" t="str">
        <f>""</f>
        <v/>
      </c>
      <c r="O51" t="str">
        <f>""</f>
        <v/>
      </c>
      <c r="P51" t="str">
        <f>""</f>
        <v/>
      </c>
      <c r="Q51" t="str">
        <f>""</f>
        <v/>
      </c>
      <c r="R51" t="str">
        <f>""</f>
        <v/>
      </c>
      <c r="S51" t="str">
        <f>""</f>
        <v/>
      </c>
      <c r="T51" t="str">
        <f>"1.305***"</f>
        <v>1.305***</v>
      </c>
      <c r="U51" t="str">
        <f>"1.141***"</f>
        <v>1.141***</v>
      </c>
      <c r="V51" t="str">
        <f>"1.226***"</f>
        <v>1.226***</v>
      </c>
      <c r="W51" t="str">
        <f>".2089"</f>
        <v>.2089</v>
      </c>
      <c r="X51" t="str">
        <f>".3748"</f>
        <v>.3748</v>
      </c>
      <c r="Y51" t="str">
        <f>".4687*"</f>
        <v>.4687*</v>
      </c>
      <c r="Z51" t="str">
        <f>""</f>
        <v/>
      </c>
      <c r="AA51" t="str">
        <f>""</f>
        <v/>
      </c>
      <c r="AB51" t="str">
        <f>""</f>
        <v/>
      </c>
      <c r="AC51" t="str">
        <f>""</f>
        <v/>
      </c>
      <c r="AD51" t="str">
        <f>""</f>
        <v/>
      </c>
      <c r="AE51" t="str">
        <f>""</f>
        <v/>
      </c>
      <c r="AF51" t="str">
        <f>""</f>
        <v/>
      </c>
      <c r="AG51" t="str">
        <f>""</f>
        <v/>
      </c>
      <c r="AH51" t="str">
        <f>""</f>
        <v/>
      </c>
      <c r="AI51" t="str">
        <f>""</f>
        <v/>
      </c>
      <c r="AJ51" t="str">
        <f>""</f>
        <v/>
      </c>
      <c r="AK51" t="str">
        <f>""</f>
        <v/>
      </c>
      <c r="AL51" t="str">
        <f>""</f>
        <v/>
      </c>
      <c r="AM51" t="str">
        <f>""</f>
        <v/>
      </c>
      <c r="AN51" t="str">
        <f>""</f>
        <v/>
      </c>
      <c r="AO51" t="str">
        <f>""</f>
        <v/>
      </c>
      <c r="AP51" t="str">
        <f>""</f>
        <v/>
      </c>
      <c r="AQ51" t="str">
        <f>""</f>
        <v/>
      </c>
      <c r="AR51" t="str">
        <f>""</f>
        <v/>
      </c>
      <c r="AS51" t="str">
        <f>""</f>
        <v/>
      </c>
      <c r="AT51" t="str">
        <f>""</f>
        <v/>
      </c>
      <c r="AU51" t="str">
        <f>""</f>
        <v/>
      </c>
      <c r="AV51" t="str">
        <f>""</f>
        <v/>
      </c>
      <c r="AW51" t="str">
        <f>""</f>
        <v/>
      </c>
      <c r="AX51" t="str">
        <f>".2356**"</f>
        <v>.2356**</v>
      </c>
      <c r="AY51" t="str">
        <f>".1113"</f>
        <v>.1113</v>
      </c>
      <c r="AZ51" t="str">
        <f>".2032*"</f>
        <v>.2032*</v>
      </c>
      <c r="BA51" t="str">
        <f>""</f>
        <v/>
      </c>
      <c r="BB51" t="str">
        <f>""</f>
        <v/>
      </c>
      <c r="BC51" t="str">
        <f>""</f>
        <v/>
      </c>
      <c r="BD51" t="str">
        <f>""</f>
        <v/>
      </c>
      <c r="BE51" t="str">
        <f>""</f>
        <v/>
      </c>
      <c r="BF51" t="str">
        <f>""</f>
        <v/>
      </c>
      <c r="BG51" t="str">
        <f>"1.052***"</f>
        <v>1.052***</v>
      </c>
      <c r="BH51" t="str">
        <f>".6773***"</f>
        <v>.6773***</v>
      </c>
      <c r="BI51" t="str">
        <f>".741**"</f>
        <v>.741**</v>
      </c>
      <c r="BJ51" t="str">
        <f>"-.05804"</f>
        <v>-.05804</v>
      </c>
      <c r="BK51" t="str">
        <f>"-.1145"</f>
        <v>-.1145</v>
      </c>
      <c r="BL51" t="str">
        <f>".007595"</f>
        <v>.007595</v>
      </c>
      <c r="BM51" t="str">
        <f>""</f>
        <v/>
      </c>
      <c r="BN51" t="str">
        <f>""</f>
        <v/>
      </c>
      <c r="BO51" t="str">
        <f>""</f>
        <v/>
      </c>
      <c r="BP51" t="str">
        <f>""</f>
        <v/>
      </c>
      <c r="BQ51" t="str">
        <f>""</f>
        <v/>
      </c>
      <c r="BR51" t="str">
        <f>""</f>
        <v/>
      </c>
      <c r="BS51" t="str">
        <f>""</f>
        <v/>
      </c>
      <c r="BT51" t="str">
        <f>""</f>
        <v/>
      </c>
      <c r="BU51" t="str">
        <f>""</f>
        <v/>
      </c>
      <c r="BV51" t="str">
        <f>""</f>
        <v/>
      </c>
      <c r="BW51" t="str">
        <f>""</f>
        <v/>
      </c>
      <c r="BX51" t="str">
        <f>""</f>
        <v/>
      </c>
      <c r="BY51" t="str">
        <f>""</f>
        <v/>
      </c>
      <c r="BZ51" t="str">
        <f>""</f>
        <v/>
      </c>
      <c r="CA51" t="str">
        <f>""</f>
        <v/>
      </c>
    </row>
    <row r="52" spans="1:79" x14ac:dyDescent="0.2">
      <c r="A52" t="str">
        <f>""</f>
        <v/>
      </c>
      <c r="B52" t="str">
        <f>""</f>
        <v/>
      </c>
      <c r="C52" t="str">
        <f>""</f>
        <v/>
      </c>
      <c r="D52" t="str">
        <f>""</f>
        <v/>
      </c>
      <c r="E52" t="str">
        <f>""</f>
        <v/>
      </c>
      <c r="F52" t="str">
        <f>""</f>
        <v/>
      </c>
      <c r="G52" t="str">
        <f>""</f>
        <v/>
      </c>
      <c r="H52" t="str">
        <f>""</f>
        <v/>
      </c>
      <c r="I52" t="str">
        <f>""</f>
        <v/>
      </c>
      <c r="J52" t="str">
        <f>""</f>
        <v/>
      </c>
      <c r="K52" t="str">
        <f>"(.1342)"</f>
        <v>(.1342)</v>
      </c>
      <c r="L52" t="str">
        <f>"(.1147)"</f>
        <v>(.1147)</v>
      </c>
      <c r="M52" t="str">
        <f>"(.118)"</f>
        <v>(.118)</v>
      </c>
      <c r="N52" t="str">
        <f>""</f>
        <v/>
      </c>
      <c r="O52" t="str">
        <f>""</f>
        <v/>
      </c>
      <c r="P52" t="str">
        <f>""</f>
        <v/>
      </c>
      <c r="Q52" t="str">
        <f>""</f>
        <v/>
      </c>
      <c r="R52" t="str">
        <f>""</f>
        <v/>
      </c>
      <c r="S52" t="str">
        <f>""</f>
        <v/>
      </c>
      <c r="T52" t="str">
        <f>"(.337)"</f>
        <v>(.337)</v>
      </c>
      <c r="U52" t="str">
        <f>"(.2206)"</f>
        <v>(.2206)</v>
      </c>
      <c r="V52" t="str">
        <f>"(.3245)"</f>
        <v>(.3245)</v>
      </c>
      <c r="W52" t="str">
        <f>"(.2492)"</f>
        <v>(.2492)</v>
      </c>
      <c r="X52" t="str">
        <f>"(.2751)"</f>
        <v>(.2751)</v>
      </c>
      <c r="Y52" t="str">
        <f>"(.2758)"</f>
        <v>(.2758)</v>
      </c>
      <c r="Z52" t="str">
        <f>""</f>
        <v/>
      </c>
      <c r="AA52" t="str">
        <f>""</f>
        <v/>
      </c>
      <c r="AB52" t="str">
        <f>""</f>
        <v/>
      </c>
      <c r="AC52" t="str">
        <f>""</f>
        <v/>
      </c>
      <c r="AD52" t="str">
        <f>""</f>
        <v/>
      </c>
      <c r="AE52" t="str">
        <f>""</f>
        <v/>
      </c>
      <c r="AF52" t="str">
        <f>""</f>
        <v/>
      </c>
      <c r="AG52" t="str">
        <f>""</f>
        <v/>
      </c>
      <c r="AH52" t="str">
        <f>""</f>
        <v/>
      </c>
      <c r="AI52" t="str">
        <f>""</f>
        <v/>
      </c>
      <c r="AJ52" t="str">
        <f>""</f>
        <v/>
      </c>
      <c r="AK52" t="str">
        <f>""</f>
        <v/>
      </c>
      <c r="AL52" t="str">
        <f>""</f>
        <v/>
      </c>
      <c r="AM52" t="str">
        <f>""</f>
        <v/>
      </c>
      <c r="AN52" t="str">
        <f>""</f>
        <v/>
      </c>
      <c r="AO52" t="str">
        <f>""</f>
        <v/>
      </c>
      <c r="AP52" t="str">
        <f>""</f>
        <v/>
      </c>
      <c r="AQ52" t="str">
        <f>""</f>
        <v/>
      </c>
      <c r="AR52" t="str">
        <f>""</f>
        <v/>
      </c>
      <c r="AS52" t="str">
        <f>""</f>
        <v/>
      </c>
      <c r="AT52" t="str">
        <f>""</f>
        <v/>
      </c>
      <c r="AU52" t="str">
        <f>""</f>
        <v/>
      </c>
      <c r="AV52" t="str">
        <f>""</f>
        <v/>
      </c>
      <c r="AW52" t="str">
        <f>""</f>
        <v/>
      </c>
      <c r="AX52" t="str">
        <f>"(.1162)"</f>
        <v>(.1162)</v>
      </c>
      <c r="AY52" t="str">
        <f>"(.1029)"</f>
        <v>(.1029)</v>
      </c>
      <c r="AZ52" t="str">
        <f>"(.1191)"</f>
        <v>(.1191)</v>
      </c>
      <c r="BA52" t="str">
        <f>""</f>
        <v/>
      </c>
      <c r="BB52" t="str">
        <f>""</f>
        <v/>
      </c>
      <c r="BC52" t="str">
        <f>""</f>
        <v/>
      </c>
      <c r="BD52" t="str">
        <f>""</f>
        <v/>
      </c>
      <c r="BE52" t="str">
        <f>""</f>
        <v/>
      </c>
      <c r="BF52" t="str">
        <f>""</f>
        <v/>
      </c>
      <c r="BG52" t="str">
        <f>"(.3443)"</f>
        <v>(.3443)</v>
      </c>
      <c r="BH52" t="str">
        <f>"(.2066)"</f>
        <v>(.2066)</v>
      </c>
      <c r="BI52" t="str">
        <f>"(.3009)"</f>
        <v>(.3009)</v>
      </c>
      <c r="BJ52" t="str">
        <f>"(.2692)"</f>
        <v>(.2692)</v>
      </c>
      <c r="BK52" t="str">
        <f>"(.2752)"</f>
        <v>(.2752)</v>
      </c>
      <c r="BL52" t="str">
        <f>"(.2553)"</f>
        <v>(.2553)</v>
      </c>
      <c r="BM52" t="str">
        <f>""</f>
        <v/>
      </c>
      <c r="BN52" t="str">
        <f>""</f>
        <v/>
      </c>
      <c r="BO52" t="str">
        <f>""</f>
        <v/>
      </c>
      <c r="BP52" t="str">
        <f>""</f>
        <v/>
      </c>
      <c r="BQ52" t="str">
        <f>""</f>
        <v/>
      </c>
      <c r="BR52" t="str">
        <f>""</f>
        <v/>
      </c>
      <c r="BS52" t="str">
        <f>""</f>
        <v/>
      </c>
      <c r="BT52" t="str">
        <f>""</f>
        <v/>
      </c>
      <c r="BU52" t="str">
        <f>""</f>
        <v/>
      </c>
      <c r="BV52" t="str">
        <f>""</f>
        <v/>
      </c>
      <c r="BW52" t="str">
        <f>""</f>
        <v/>
      </c>
      <c r="BX52" t="str">
        <f>""</f>
        <v/>
      </c>
      <c r="BY52" t="str">
        <f>""</f>
        <v/>
      </c>
      <c r="BZ52" t="str">
        <f>""</f>
        <v/>
      </c>
      <c r="CA52" t="str">
        <f>""</f>
        <v/>
      </c>
    </row>
    <row r="53" spans="1:79" x14ac:dyDescent="0.2">
      <c r="A53" t="str">
        <f>"Es_psi_q1q5"</f>
        <v>Es_psi_q1q5</v>
      </c>
      <c r="B53" t="str">
        <f>""</f>
        <v/>
      </c>
      <c r="C53" t="str">
        <f>""</f>
        <v/>
      </c>
      <c r="D53" t="str">
        <f>""</f>
        <v/>
      </c>
      <c r="E53" t="str">
        <f>""</f>
        <v/>
      </c>
      <c r="F53" t="str">
        <f>""</f>
        <v/>
      </c>
      <c r="G53" t="str">
        <f>""</f>
        <v/>
      </c>
      <c r="H53" t="str">
        <f>""</f>
        <v/>
      </c>
      <c r="I53" t="str">
        <f>""</f>
        <v/>
      </c>
      <c r="J53" t="str">
        <f>""</f>
        <v/>
      </c>
      <c r="K53" t="str">
        <f>"1.283**"</f>
        <v>1.283**</v>
      </c>
      <c r="L53" t="str">
        <f>".8134"</f>
        <v>.8134</v>
      </c>
      <c r="M53" t="str">
        <f>".6047"</f>
        <v>.6047</v>
      </c>
      <c r="N53" t="str">
        <f>""</f>
        <v/>
      </c>
      <c r="O53" t="str">
        <f>""</f>
        <v/>
      </c>
      <c r="P53" t="str">
        <f>""</f>
        <v/>
      </c>
      <c r="Q53" t="str">
        <f>""</f>
        <v/>
      </c>
      <c r="R53" t="str">
        <f>""</f>
        <v/>
      </c>
      <c r="S53" t="str">
        <f>""</f>
        <v/>
      </c>
      <c r="T53" t="str">
        <f>""</f>
        <v/>
      </c>
      <c r="U53" t="str">
        <f>""</f>
        <v/>
      </c>
      <c r="V53" t="str">
        <f>""</f>
        <v/>
      </c>
      <c r="W53" t="str">
        <f>""</f>
        <v/>
      </c>
      <c r="X53" t="str">
        <f>""</f>
        <v/>
      </c>
      <c r="Y53" t="str">
        <f>""</f>
        <v/>
      </c>
      <c r="Z53" t="str">
        <f>""</f>
        <v/>
      </c>
      <c r="AA53" t="str">
        <f>""</f>
        <v/>
      </c>
      <c r="AB53" t="str">
        <f>""</f>
        <v/>
      </c>
      <c r="AC53" t="str">
        <f>""</f>
        <v/>
      </c>
      <c r="AD53" t="str">
        <f>""</f>
        <v/>
      </c>
      <c r="AE53" t="str">
        <f>""</f>
        <v/>
      </c>
      <c r="AF53" t="str">
        <f>"3.091*"</f>
        <v>3.091*</v>
      </c>
      <c r="AG53" t="str">
        <f>"2.796"</f>
        <v>2.796</v>
      </c>
      <c r="AH53" t="str">
        <f>"2.04"</f>
        <v>2.04</v>
      </c>
      <c r="AI53" t="str">
        <f>""</f>
        <v/>
      </c>
      <c r="AJ53" t="str">
        <f>""</f>
        <v/>
      </c>
      <c r="AK53" t="str">
        <f>""</f>
        <v/>
      </c>
      <c r="AL53" t="str">
        <f>"2.643"</f>
        <v>2.643</v>
      </c>
      <c r="AM53" t="str">
        <f>"2.518"</f>
        <v>2.518</v>
      </c>
      <c r="AN53" t="str">
        <f>"1.864"</f>
        <v>1.864</v>
      </c>
      <c r="AO53" t="str">
        <f>""</f>
        <v/>
      </c>
      <c r="AP53" t="str">
        <f>""</f>
        <v/>
      </c>
      <c r="AQ53" t="str">
        <f>""</f>
        <v/>
      </c>
      <c r="AR53" t="str">
        <f>""</f>
        <v/>
      </c>
      <c r="AS53" t="str">
        <f>""</f>
        <v/>
      </c>
      <c r="AT53" t="str">
        <f>""</f>
        <v/>
      </c>
      <c r="AU53" t="str">
        <f>""</f>
        <v/>
      </c>
      <c r="AV53" t="str">
        <f>""</f>
        <v/>
      </c>
      <c r="AW53" t="str">
        <f>""</f>
        <v/>
      </c>
      <c r="AX53" t="str">
        <f>"1.433***"</f>
        <v>1.433***</v>
      </c>
      <c r="AY53" t="str">
        <f>"1.063**"</f>
        <v>1.063**</v>
      </c>
      <c r="AZ53" t="str">
        <f>".8247**"</f>
        <v>.8247**</v>
      </c>
      <c r="BA53" t="str">
        <f>""</f>
        <v/>
      </c>
      <c r="BB53" t="str">
        <f>""</f>
        <v/>
      </c>
      <c r="BC53" t="str">
        <f>""</f>
        <v/>
      </c>
      <c r="BD53" t="str">
        <f>""</f>
        <v/>
      </c>
      <c r="BE53" t="str">
        <f>""</f>
        <v/>
      </c>
      <c r="BF53" t="str">
        <f>""</f>
        <v/>
      </c>
      <c r="BG53" t="str">
        <f>""</f>
        <v/>
      </c>
      <c r="BH53" t="str">
        <f>""</f>
        <v/>
      </c>
      <c r="BI53" t="str">
        <f>""</f>
        <v/>
      </c>
      <c r="BJ53" t="str">
        <f>""</f>
        <v/>
      </c>
      <c r="BK53" t="str">
        <f>""</f>
        <v/>
      </c>
      <c r="BL53" t="str">
        <f>""</f>
        <v/>
      </c>
      <c r="BM53" t="str">
        <f>""</f>
        <v/>
      </c>
      <c r="BN53" t="str">
        <f>""</f>
        <v/>
      </c>
      <c r="BO53" t="str">
        <f>""</f>
        <v/>
      </c>
      <c r="BP53" t="str">
        <f>""</f>
        <v/>
      </c>
      <c r="BQ53" t="str">
        <f>""</f>
        <v/>
      </c>
      <c r="BR53" t="str">
        <f>""</f>
        <v/>
      </c>
      <c r="BS53" t="str">
        <f>"4.57***"</f>
        <v>4.57***</v>
      </c>
      <c r="BT53" t="str">
        <f>"3.845***"</f>
        <v>3.845***</v>
      </c>
      <c r="BU53" t="str">
        <f>"2.374"</f>
        <v>2.374</v>
      </c>
      <c r="BV53" t="str">
        <f>""</f>
        <v/>
      </c>
      <c r="BW53" t="str">
        <f>""</f>
        <v/>
      </c>
      <c r="BX53" t="str">
        <f>""</f>
        <v/>
      </c>
      <c r="BY53" t="str">
        <f>"4.03**"</f>
        <v>4.03**</v>
      </c>
      <c r="BZ53" t="str">
        <f>"2.855"</f>
        <v>2.855</v>
      </c>
      <c r="CA53" t="str">
        <f>"1.829"</f>
        <v>1.829</v>
      </c>
    </row>
    <row r="54" spans="1:79" x14ac:dyDescent="0.2">
      <c r="A54" t="str">
        <f>""</f>
        <v/>
      </c>
      <c r="B54" t="str">
        <f>""</f>
        <v/>
      </c>
      <c r="C54" t="str">
        <f>""</f>
        <v/>
      </c>
      <c r="D54" t="str">
        <f>""</f>
        <v/>
      </c>
      <c r="E54" t="str">
        <f>""</f>
        <v/>
      </c>
      <c r="F54" t="str">
        <f>""</f>
        <v/>
      </c>
      <c r="G54" t="str">
        <f>""</f>
        <v/>
      </c>
      <c r="H54" t="str">
        <f>""</f>
        <v/>
      </c>
      <c r="I54" t="str">
        <f>""</f>
        <v/>
      </c>
      <c r="J54" t="str">
        <f>""</f>
        <v/>
      </c>
      <c r="K54" t="str">
        <f>"(.5949)"</f>
        <v>(.5949)</v>
      </c>
      <c r="L54" t="str">
        <f>"(.5596)"</f>
        <v>(.5596)</v>
      </c>
      <c r="M54" t="str">
        <f>"(.5086)"</f>
        <v>(.5086)</v>
      </c>
      <c r="N54" t="str">
        <f>""</f>
        <v/>
      </c>
      <c r="O54" t="str">
        <f>""</f>
        <v/>
      </c>
      <c r="P54" t="str">
        <f>""</f>
        <v/>
      </c>
      <c r="Q54" t="str">
        <f>""</f>
        <v/>
      </c>
      <c r="R54" t="str">
        <f>""</f>
        <v/>
      </c>
      <c r="S54" t="str">
        <f>""</f>
        <v/>
      </c>
      <c r="T54" t="str">
        <f>""</f>
        <v/>
      </c>
      <c r="U54" t="str">
        <f>""</f>
        <v/>
      </c>
      <c r="V54" t="str">
        <f>""</f>
        <v/>
      </c>
      <c r="W54" t="str">
        <f>""</f>
        <v/>
      </c>
      <c r="X54" t="str">
        <f>""</f>
        <v/>
      </c>
      <c r="Y54" t="str">
        <f>""</f>
        <v/>
      </c>
      <c r="Z54" t="str">
        <f>""</f>
        <v/>
      </c>
      <c r="AA54" t="str">
        <f>""</f>
        <v/>
      </c>
      <c r="AB54" t="str">
        <f>""</f>
        <v/>
      </c>
      <c r="AC54" t="str">
        <f>""</f>
        <v/>
      </c>
      <c r="AD54" t="str">
        <f>""</f>
        <v/>
      </c>
      <c r="AE54" t="str">
        <f>""</f>
        <v/>
      </c>
      <c r="AF54" t="str">
        <f>"(1.59)"</f>
        <v>(1.59)</v>
      </c>
      <c r="AG54" t="str">
        <f>"(1.78)"</f>
        <v>(1.78)</v>
      </c>
      <c r="AH54" t="str">
        <f>"(2.158)"</f>
        <v>(2.158)</v>
      </c>
      <c r="AI54" t="str">
        <f>""</f>
        <v/>
      </c>
      <c r="AJ54" t="str">
        <f>""</f>
        <v/>
      </c>
      <c r="AK54" t="str">
        <f>""</f>
        <v/>
      </c>
      <c r="AL54" t="str">
        <f>"(2.019)"</f>
        <v>(2.019)</v>
      </c>
      <c r="AM54" t="str">
        <f>"(2.509)"</f>
        <v>(2.509)</v>
      </c>
      <c r="AN54" t="str">
        <f>"(2.318)"</f>
        <v>(2.318)</v>
      </c>
      <c r="AO54" t="str">
        <f>""</f>
        <v/>
      </c>
      <c r="AP54" t="str">
        <f>""</f>
        <v/>
      </c>
      <c r="AQ54" t="str">
        <f>""</f>
        <v/>
      </c>
      <c r="AR54" t="str">
        <f>""</f>
        <v/>
      </c>
      <c r="AS54" t="str">
        <f>""</f>
        <v/>
      </c>
      <c r="AT54" t="str">
        <f>""</f>
        <v/>
      </c>
      <c r="AU54" t="str">
        <f>""</f>
        <v/>
      </c>
      <c r="AV54" t="str">
        <f>""</f>
        <v/>
      </c>
      <c r="AW54" t="str">
        <f>""</f>
        <v/>
      </c>
      <c r="AX54" t="str">
        <f>"(.5231)"</f>
        <v>(.5231)</v>
      </c>
      <c r="AY54" t="str">
        <f>"(.4404)"</f>
        <v>(.4404)</v>
      </c>
      <c r="AZ54" t="str">
        <f>"(.3736)"</f>
        <v>(.3736)</v>
      </c>
      <c r="BA54" t="str">
        <f>""</f>
        <v/>
      </c>
      <c r="BB54" t="str">
        <f>""</f>
        <v/>
      </c>
      <c r="BC54" t="str">
        <f>""</f>
        <v/>
      </c>
      <c r="BD54" t="str">
        <f>""</f>
        <v/>
      </c>
      <c r="BE54" t="str">
        <f>""</f>
        <v/>
      </c>
      <c r="BF54" t="str">
        <f>""</f>
        <v/>
      </c>
      <c r="BG54" t="str">
        <f>""</f>
        <v/>
      </c>
      <c r="BH54" t="str">
        <f>""</f>
        <v/>
      </c>
      <c r="BI54" t="str">
        <f>""</f>
        <v/>
      </c>
      <c r="BJ54" t="str">
        <f>""</f>
        <v/>
      </c>
      <c r="BK54" t="str">
        <f>""</f>
        <v/>
      </c>
      <c r="BL54" t="str">
        <f>""</f>
        <v/>
      </c>
      <c r="BM54" t="str">
        <f>""</f>
        <v/>
      </c>
      <c r="BN54" t="str">
        <f>""</f>
        <v/>
      </c>
      <c r="BO54" t="str">
        <f>""</f>
        <v/>
      </c>
      <c r="BP54" t="str">
        <f>""</f>
        <v/>
      </c>
      <c r="BQ54" t="str">
        <f>""</f>
        <v/>
      </c>
      <c r="BR54" t="str">
        <f>""</f>
        <v/>
      </c>
      <c r="BS54" t="str">
        <f>"(1.379)"</f>
        <v>(1.379)</v>
      </c>
      <c r="BT54" t="str">
        <f>"(1.488)"</f>
        <v>(1.488)</v>
      </c>
      <c r="BU54" t="str">
        <f>"(1.794)"</f>
        <v>(1.794)</v>
      </c>
      <c r="BV54" t="str">
        <f>""</f>
        <v/>
      </c>
      <c r="BW54" t="str">
        <f>""</f>
        <v/>
      </c>
      <c r="BX54" t="str">
        <f>""</f>
        <v/>
      </c>
      <c r="BY54" t="str">
        <f>"(1.773)"</f>
        <v>(1.773)</v>
      </c>
      <c r="BZ54" t="str">
        <f>"(1.893)"</f>
        <v>(1.893)</v>
      </c>
      <c r="CA54" t="str">
        <f>"(1.893)"</f>
        <v>(1.893)</v>
      </c>
    </row>
    <row r="55" spans="1:79" x14ac:dyDescent="0.2">
      <c r="A55" t="str">
        <f>"lnmw"</f>
        <v>lnmw</v>
      </c>
      <c r="B55" t="str">
        <f>""</f>
        <v/>
      </c>
      <c r="C55" t="str">
        <f>""</f>
        <v/>
      </c>
      <c r="D55" t="str">
        <f>""</f>
        <v/>
      </c>
      <c r="E55" t="str">
        <f>""</f>
        <v/>
      </c>
      <c r="F55" t="str">
        <f>""</f>
        <v/>
      </c>
      <c r="G55" t="str">
        <f>""</f>
        <v/>
      </c>
      <c r="H55" t="str">
        <f>""</f>
        <v/>
      </c>
      <c r="I55" t="str">
        <f>""</f>
        <v/>
      </c>
      <c r="J55" t="str">
        <f>""</f>
        <v/>
      </c>
      <c r="K55" t="str">
        <f>""</f>
        <v/>
      </c>
      <c r="L55" t="str">
        <f>""</f>
        <v/>
      </c>
      <c r="M55" t="str">
        <f>""</f>
        <v/>
      </c>
      <c r="N55" t="str">
        <f>""</f>
        <v/>
      </c>
      <c r="O55" t="str">
        <f>""</f>
        <v/>
      </c>
      <c r="P55" t="str">
        <f>""</f>
        <v/>
      </c>
      <c r="Q55" t="str">
        <f>""</f>
        <v/>
      </c>
      <c r="R55" t="str">
        <f>""</f>
        <v/>
      </c>
      <c r="S55" t="str">
        <f>""</f>
        <v/>
      </c>
      <c r="T55" t="str">
        <f>""</f>
        <v/>
      </c>
      <c r="U55" t="str">
        <f>""</f>
        <v/>
      </c>
      <c r="V55" t="str">
        <f>""</f>
        <v/>
      </c>
      <c r="W55" t="str">
        <f>""</f>
        <v/>
      </c>
      <c r="X55" t="str">
        <f>""</f>
        <v/>
      </c>
      <c r="Y55" t="str">
        <f>""</f>
        <v/>
      </c>
      <c r="Z55" t="str">
        <f>""</f>
        <v/>
      </c>
      <c r="AA55" t="str">
        <f>""</f>
        <v/>
      </c>
      <c r="AB55" t="str">
        <f>""</f>
        <v/>
      </c>
      <c r="AC55" t="str">
        <f>""</f>
        <v/>
      </c>
      <c r="AD55" t="str">
        <f>""</f>
        <v/>
      </c>
      <c r="AE55" t="str">
        <f>""</f>
        <v/>
      </c>
      <c r="AF55" t="str">
        <f>""</f>
        <v/>
      </c>
      <c r="AG55" t="str">
        <f>""</f>
        <v/>
      </c>
      <c r="AH55" t="str">
        <f>""</f>
        <v/>
      </c>
      <c r="AI55" t="str">
        <f>".4946***"</f>
        <v>.4946***</v>
      </c>
      <c r="AJ55" t="str">
        <f>".2632***"</f>
        <v>.2632***</v>
      </c>
      <c r="AK55" t="str">
        <f>".3069***"</f>
        <v>.3069***</v>
      </c>
      <c r="AL55" t="str">
        <f>".05447"</f>
        <v>.05447</v>
      </c>
      <c r="AM55" t="str">
        <f>".0253"</f>
        <v>.0253</v>
      </c>
      <c r="AN55" t="str">
        <f>"-.06425"</f>
        <v>-.06425</v>
      </c>
      <c r="AO55" t="str">
        <f>""</f>
        <v/>
      </c>
      <c r="AP55" t="str">
        <f>""</f>
        <v/>
      </c>
      <c r="AQ55" t="str">
        <f>""</f>
        <v/>
      </c>
      <c r="AR55" t="str">
        <f>""</f>
        <v/>
      </c>
      <c r="AS55" t="str">
        <f>""</f>
        <v/>
      </c>
      <c r="AT55" t="str">
        <f>""</f>
        <v/>
      </c>
      <c r="AU55" t="str">
        <f>""</f>
        <v/>
      </c>
      <c r="AV55" t="str">
        <f>""</f>
        <v/>
      </c>
      <c r="AW55" t="str">
        <f>""</f>
        <v/>
      </c>
      <c r="AX55" t="str">
        <f>""</f>
        <v/>
      </c>
      <c r="AY55" t="str">
        <f>""</f>
        <v/>
      </c>
      <c r="AZ55" t="str">
        <f>""</f>
        <v/>
      </c>
      <c r="BA55" t="str">
        <f>""</f>
        <v/>
      </c>
      <c r="BB55" t="str">
        <f>""</f>
        <v/>
      </c>
      <c r="BC55" t="str">
        <f>""</f>
        <v/>
      </c>
      <c r="BD55" t="str">
        <f>""</f>
        <v/>
      </c>
      <c r="BE55" t="str">
        <f>""</f>
        <v/>
      </c>
      <c r="BF55" t="str">
        <f>""</f>
        <v/>
      </c>
      <c r="BG55" t="str">
        <f>""</f>
        <v/>
      </c>
      <c r="BH55" t="str">
        <f>""</f>
        <v/>
      </c>
      <c r="BI55" t="str">
        <f>""</f>
        <v/>
      </c>
      <c r="BJ55" t="str">
        <f>""</f>
        <v/>
      </c>
      <c r="BK55" t="str">
        <f>""</f>
        <v/>
      </c>
      <c r="BL55" t="str">
        <f>""</f>
        <v/>
      </c>
      <c r="BM55" t="str">
        <f>""</f>
        <v/>
      </c>
      <c r="BN55" t="str">
        <f>""</f>
        <v/>
      </c>
      <c r="BO55" t="str">
        <f>""</f>
        <v/>
      </c>
      <c r="BP55" t="str">
        <f>""</f>
        <v/>
      </c>
      <c r="BQ55" t="str">
        <f>""</f>
        <v/>
      </c>
      <c r="BR55" t="str">
        <f>""</f>
        <v/>
      </c>
      <c r="BS55" t="str">
        <f>""</f>
        <v/>
      </c>
      <c r="BT55" t="str">
        <f>""</f>
        <v/>
      </c>
      <c r="BU55" t="str">
        <f>""</f>
        <v/>
      </c>
      <c r="BV55" t="str">
        <f>".5198***"</f>
        <v>.5198***</v>
      </c>
      <c r="BW55" t="str">
        <f>".2856***"</f>
        <v>.2856***</v>
      </c>
      <c r="BX55" t="str">
        <f>".2636***"</f>
        <v>.2636***</v>
      </c>
      <c r="BY55" t="str">
        <f>".07427"</f>
        <v>.07427</v>
      </c>
      <c r="BZ55" t="str">
        <f>".09301"</f>
        <v>.09301</v>
      </c>
      <c r="CA55" t="str">
        <f>".02339"</f>
        <v>.02339</v>
      </c>
    </row>
    <row r="56" spans="1:79" x14ac:dyDescent="0.2">
      <c r="A56" t="str">
        <f>""</f>
        <v/>
      </c>
      <c r="B56" t="str">
        <f>""</f>
        <v/>
      </c>
      <c r="C56" t="str">
        <f>""</f>
        <v/>
      </c>
      <c r="D56" t="str">
        <f>""</f>
        <v/>
      </c>
      <c r="E56" t="str">
        <f>""</f>
        <v/>
      </c>
      <c r="F56" t="str">
        <f>""</f>
        <v/>
      </c>
      <c r="G56" t="str">
        <f>""</f>
        <v/>
      </c>
      <c r="H56" t="str">
        <f>""</f>
        <v/>
      </c>
      <c r="I56" t="str">
        <f>""</f>
        <v/>
      </c>
      <c r="J56" t="str">
        <f>""</f>
        <v/>
      </c>
      <c r="K56" t="str">
        <f>""</f>
        <v/>
      </c>
      <c r="L56" t="str">
        <f>""</f>
        <v/>
      </c>
      <c r="M56" t="str">
        <f>""</f>
        <v/>
      </c>
      <c r="N56" t="str">
        <f>""</f>
        <v/>
      </c>
      <c r="O56" t="str">
        <f>""</f>
        <v/>
      </c>
      <c r="P56" t="str">
        <f>""</f>
        <v/>
      </c>
      <c r="Q56" t="str">
        <f>""</f>
        <v/>
      </c>
      <c r="R56" t="str">
        <f>""</f>
        <v/>
      </c>
      <c r="S56" t="str">
        <f>""</f>
        <v/>
      </c>
      <c r="T56" t="str">
        <f>""</f>
        <v/>
      </c>
      <c r="U56" t="str">
        <f>""</f>
        <v/>
      </c>
      <c r="V56" t="str">
        <f>""</f>
        <v/>
      </c>
      <c r="W56" t="str">
        <f>""</f>
        <v/>
      </c>
      <c r="X56" t="str">
        <f>""</f>
        <v/>
      </c>
      <c r="Y56" t="str">
        <f>""</f>
        <v/>
      </c>
      <c r="Z56" t="str">
        <f>""</f>
        <v/>
      </c>
      <c r="AA56" t="str">
        <f>""</f>
        <v/>
      </c>
      <c r="AB56" t="str">
        <f>""</f>
        <v/>
      </c>
      <c r="AC56" t="str">
        <f>""</f>
        <v/>
      </c>
      <c r="AD56" t="str">
        <f>""</f>
        <v/>
      </c>
      <c r="AE56" t="str">
        <f>""</f>
        <v/>
      </c>
      <c r="AF56" t="str">
        <f>""</f>
        <v/>
      </c>
      <c r="AG56" t="str">
        <f>""</f>
        <v/>
      </c>
      <c r="AH56" t="str">
        <f>""</f>
        <v/>
      </c>
      <c r="AI56" t="str">
        <f>"(.07948)"</f>
        <v>(.07948)</v>
      </c>
      <c r="AJ56" t="str">
        <f>"(.08013)"</f>
        <v>(.08013)</v>
      </c>
      <c r="AK56" t="str">
        <f>"(.09705)"</f>
        <v>(.09705)</v>
      </c>
      <c r="AL56" t="str">
        <f>"(.1161)"</f>
        <v>(.1161)</v>
      </c>
      <c r="AM56" t="str">
        <f>"(.1407)"</f>
        <v>(.1407)</v>
      </c>
      <c r="AN56" t="str">
        <f>"(.1598)"</f>
        <v>(.1598)</v>
      </c>
      <c r="AO56" t="str">
        <f>""</f>
        <v/>
      </c>
      <c r="AP56" t="str">
        <f>""</f>
        <v/>
      </c>
      <c r="AQ56" t="str">
        <f>""</f>
        <v/>
      </c>
      <c r="AR56" t="str">
        <f>""</f>
        <v/>
      </c>
      <c r="AS56" t="str">
        <f>""</f>
        <v/>
      </c>
      <c r="AT56" t="str">
        <f>""</f>
        <v/>
      </c>
      <c r="AU56" t="str">
        <f>""</f>
        <v/>
      </c>
      <c r="AV56" t="str">
        <f>""</f>
        <v/>
      </c>
      <c r="AW56" t="str">
        <f>""</f>
        <v/>
      </c>
      <c r="AX56" t="str">
        <f>""</f>
        <v/>
      </c>
      <c r="AY56" t="str">
        <f>""</f>
        <v/>
      </c>
      <c r="AZ56" t="str">
        <f>""</f>
        <v/>
      </c>
      <c r="BA56" t="str">
        <f>""</f>
        <v/>
      </c>
      <c r="BB56" t="str">
        <f>""</f>
        <v/>
      </c>
      <c r="BC56" t="str">
        <f>""</f>
        <v/>
      </c>
      <c r="BD56" t="str">
        <f>""</f>
        <v/>
      </c>
      <c r="BE56" t="str">
        <f>""</f>
        <v/>
      </c>
      <c r="BF56" t="str">
        <f>""</f>
        <v/>
      </c>
      <c r="BG56" t="str">
        <f>""</f>
        <v/>
      </c>
      <c r="BH56" t="str">
        <f>""</f>
        <v/>
      </c>
      <c r="BI56" t="str">
        <f>""</f>
        <v/>
      </c>
      <c r="BJ56" t="str">
        <f>""</f>
        <v/>
      </c>
      <c r="BK56" t="str">
        <f>""</f>
        <v/>
      </c>
      <c r="BL56" t="str">
        <f>""</f>
        <v/>
      </c>
      <c r="BM56" t="str">
        <f>""</f>
        <v/>
      </c>
      <c r="BN56" t="str">
        <f>""</f>
        <v/>
      </c>
      <c r="BO56" t="str">
        <f>""</f>
        <v/>
      </c>
      <c r="BP56" t="str">
        <f>""</f>
        <v/>
      </c>
      <c r="BQ56" t="str">
        <f>""</f>
        <v/>
      </c>
      <c r="BR56" t="str">
        <f>""</f>
        <v/>
      </c>
      <c r="BS56" t="str">
        <f>""</f>
        <v/>
      </c>
      <c r="BT56" t="str">
        <f>""</f>
        <v/>
      </c>
      <c r="BU56" t="str">
        <f>""</f>
        <v/>
      </c>
      <c r="BV56" t="str">
        <f>"(.07872)"</f>
        <v>(.07872)</v>
      </c>
      <c r="BW56" t="str">
        <f>"(.07201)"</f>
        <v>(.07201)</v>
      </c>
      <c r="BX56" t="str">
        <f>"(.09742)"</f>
        <v>(.09742)</v>
      </c>
      <c r="BY56" t="str">
        <f>"(.09988)"</f>
        <v>(.09988)</v>
      </c>
      <c r="BZ56" t="str">
        <f>"(.1047)"</f>
        <v>(.1047)</v>
      </c>
      <c r="CA56" t="str">
        <f>"(.1299)"</f>
        <v>(.1299)</v>
      </c>
    </row>
    <row r="57" spans="1:79" x14ac:dyDescent="0.2">
      <c r="A57" t="str">
        <f>"coverage"</f>
        <v>coverage</v>
      </c>
      <c r="B57" t="str">
        <f>""</f>
        <v/>
      </c>
      <c r="C57" t="str">
        <f>""</f>
        <v/>
      </c>
      <c r="D57" t="str">
        <f>""</f>
        <v/>
      </c>
      <c r="E57" t="str">
        <f>""</f>
        <v/>
      </c>
      <c r="F57" t="str">
        <f>""</f>
        <v/>
      </c>
      <c r="G57" t="str">
        <f>""</f>
        <v/>
      </c>
      <c r="H57" t="str">
        <f>""</f>
        <v/>
      </c>
      <c r="I57" t="str">
        <f>""</f>
        <v/>
      </c>
      <c r="J57" t="str">
        <f>""</f>
        <v/>
      </c>
      <c r="K57" t="str">
        <f>""</f>
        <v/>
      </c>
      <c r="L57" t="str">
        <f>""</f>
        <v/>
      </c>
      <c r="M57" t="str">
        <f>""</f>
        <v/>
      </c>
      <c r="N57" t="str">
        <f>""</f>
        <v/>
      </c>
      <c r="O57" t="str">
        <f>""</f>
        <v/>
      </c>
      <c r="P57" t="str">
        <f>""</f>
        <v/>
      </c>
      <c r="Q57" t="str">
        <f>""</f>
        <v/>
      </c>
      <c r="R57" t="str">
        <f>""</f>
        <v/>
      </c>
      <c r="S57" t="str">
        <f>""</f>
        <v/>
      </c>
      <c r="T57" t="str">
        <f>""</f>
        <v/>
      </c>
      <c r="U57" t="str">
        <f>""</f>
        <v/>
      </c>
      <c r="V57" t="str">
        <f>""</f>
        <v/>
      </c>
      <c r="W57" t="str">
        <f>""</f>
        <v/>
      </c>
      <c r="X57" t="str">
        <f>""</f>
        <v/>
      </c>
      <c r="Y57" t="str">
        <f>""</f>
        <v/>
      </c>
      <c r="Z57" t="str">
        <f>""</f>
        <v/>
      </c>
      <c r="AA57" t="str">
        <f>""</f>
        <v/>
      </c>
      <c r="AB57" t="str">
        <f>""</f>
        <v/>
      </c>
      <c r="AC57" t="str">
        <f>""</f>
        <v/>
      </c>
      <c r="AD57" t="str">
        <f>""</f>
        <v/>
      </c>
      <c r="AE57" t="str">
        <f>""</f>
        <v/>
      </c>
      <c r="AF57" t="str">
        <f>""</f>
        <v/>
      </c>
      <c r="AG57" t="str">
        <f>""</f>
        <v/>
      </c>
      <c r="AH57" t="str">
        <f>""</f>
        <v/>
      </c>
      <c r="AI57" t="str">
        <f>"-.484*"</f>
        <v>-.484*</v>
      </c>
      <c r="AJ57" t="str">
        <f>"-.06812"</f>
        <v>-.06812</v>
      </c>
      <c r="AK57" t="str">
        <f>".04606"</f>
        <v>.04606</v>
      </c>
      <c r="AL57" t="str">
        <f>"-.1154"</f>
        <v>-.1154</v>
      </c>
      <c r="AM57" t="str">
        <f>".1674"</f>
        <v>.1674</v>
      </c>
      <c r="AN57" t="str">
        <f>".4944"</f>
        <v>.4944</v>
      </c>
      <c r="AO57" t="str">
        <f>""</f>
        <v/>
      </c>
      <c r="AP57" t="str">
        <f>""</f>
        <v/>
      </c>
      <c r="AQ57" t="str">
        <f>""</f>
        <v/>
      </c>
      <c r="AR57" t="str">
        <f>""</f>
        <v/>
      </c>
      <c r="AS57" t="str">
        <f>""</f>
        <v/>
      </c>
      <c r="AT57" t="str">
        <f>""</f>
        <v/>
      </c>
      <c r="AU57" t="str">
        <f>""</f>
        <v/>
      </c>
      <c r="AV57" t="str">
        <f>""</f>
        <v/>
      </c>
      <c r="AW57" t="str">
        <f>""</f>
        <v/>
      </c>
      <c r="AX57" t="str">
        <f>""</f>
        <v/>
      </c>
      <c r="AY57" t="str">
        <f>""</f>
        <v/>
      </c>
      <c r="AZ57" t="str">
        <f>""</f>
        <v/>
      </c>
      <c r="BA57" t="str">
        <f>""</f>
        <v/>
      </c>
      <c r="BB57" t="str">
        <f>""</f>
        <v/>
      </c>
      <c r="BC57" t="str">
        <f>""</f>
        <v/>
      </c>
      <c r="BD57" t="str">
        <f>""</f>
        <v/>
      </c>
      <c r="BE57" t="str">
        <f>""</f>
        <v/>
      </c>
      <c r="BF57" t="str">
        <f>""</f>
        <v/>
      </c>
      <c r="BG57" t="str">
        <f>""</f>
        <v/>
      </c>
      <c r="BH57" t="str">
        <f>""</f>
        <v/>
      </c>
      <c r="BI57" t="str">
        <f>""</f>
        <v/>
      </c>
      <c r="BJ57" t="str">
        <f>""</f>
        <v/>
      </c>
      <c r="BK57" t="str">
        <f>""</f>
        <v/>
      </c>
      <c r="BL57" t="str">
        <f>""</f>
        <v/>
      </c>
      <c r="BM57" t="str">
        <f>""</f>
        <v/>
      </c>
      <c r="BN57" t="str">
        <f>""</f>
        <v/>
      </c>
      <c r="BO57" t="str">
        <f>""</f>
        <v/>
      </c>
      <c r="BP57" t="str">
        <f>""</f>
        <v/>
      </c>
      <c r="BQ57" t="str">
        <f>""</f>
        <v/>
      </c>
      <c r="BR57" t="str">
        <f>""</f>
        <v/>
      </c>
      <c r="BS57" t="str">
        <f>""</f>
        <v/>
      </c>
      <c r="BT57" t="str">
        <f>""</f>
        <v/>
      </c>
      <c r="BU57" t="str">
        <f>""</f>
        <v/>
      </c>
      <c r="BV57" t="str">
        <f>"-.5817***"</f>
        <v>-.5817***</v>
      </c>
      <c r="BW57" t="str">
        <f>"-.2964"</f>
        <v>-.2964</v>
      </c>
      <c r="BX57" t="str">
        <f>"-.06847"</f>
        <v>-.06847</v>
      </c>
      <c r="BY57" t="str">
        <f>"-.2146*"</f>
        <v>-.2146*</v>
      </c>
      <c r="BZ57" t="str">
        <f>"-.07063"</f>
        <v>-.07063</v>
      </c>
      <c r="CA57" t="str">
        <f>".3191"</f>
        <v>.3191</v>
      </c>
    </row>
    <row r="58" spans="1:79" x14ac:dyDescent="0.2">
      <c r="A58" t="str">
        <f>""</f>
        <v/>
      </c>
      <c r="B58" t="str">
        <f>""</f>
        <v/>
      </c>
      <c r="C58" t="str">
        <f>""</f>
        <v/>
      </c>
      <c r="D58" t="str">
        <f>""</f>
        <v/>
      </c>
      <c r="E58" t="str">
        <f>""</f>
        <v/>
      </c>
      <c r="F58" t="str">
        <f>""</f>
        <v/>
      </c>
      <c r="G58" t="str">
        <f>""</f>
        <v/>
      </c>
      <c r="H58" t="str">
        <f>""</f>
        <v/>
      </c>
      <c r="I58" t="str">
        <f>""</f>
        <v/>
      </c>
      <c r="J58" t="str">
        <f>""</f>
        <v/>
      </c>
      <c r="K58" t="str">
        <f>""</f>
        <v/>
      </c>
      <c r="L58" t="str">
        <f>""</f>
        <v/>
      </c>
      <c r="M58" t="str">
        <f>""</f>
        <v/>
      </c>
      <c r="N58" t="str">
        <f>""</f>
        <v/>
      </c>
      <c r="O58" t="str">
        <f>""</f>
        <v/>
      </c>
      <c r="P58" t="str">
        <f>""</f>
        <v/>
      </c>
      <c r="Q58" t="str">
        <f>""</f>
        <v/>
      </c>
      <c r="R58" t="str">
        <f>""</f>
        <v/>
      </c>
      <c r="S58" t="str">
        <f>""</f>
        <v/>
      </c>
      <c r="T58" t="str">
        <f>""</f>
        <v/>
      </c>
      <c r="U58" t="str">
        <f>""</f>
        <v/>
      </c>
      <c r="V58" t="str">
        <f>""</f>
        <v/>
      </c>
      <c r="W58" t="str">
        <f>""</f>
        <v/>
      </c>
      <c r="X58" t="str">
        <f>""</f>
        <v/>
      </c>
      <c r="Y58" t="str">
        <f>""</f>
        <v/>
      </c>
      <c r="Z58" t="str">
        <f>""</f>
        <v/>
      </c>
      <c r="AA58" t="str">
        <f>""</f>
        <v/>
      </c>
      <c r="AB58" t="str">
        <f>""</f>
        <v/>
      </c>
      <c r="AC58" t="str">
        <f>""</f>
        <v/>
      </c>
      <c r="AD58" t="str">
        <f>""</f>
        <v/>
      </c>
      <c r="AE58" t="str">
        <f>""</f>
        <v/>
      </c>
      <c r="AF58" t="str">
        <f>""</f>
        <v/>
      </c>
      <c r="AG58" t="str">
        <f>""</f>
        <v/>
      </c>
      <c r="AH58" t="str">
        <f>""</f>
        <v/>
      </c>
      <c r="AI58" t="str">
        <f>"(.248)"</f>
        <v>(.248)</v>
      </c>
      <c r="AJ58" t="str">
        <f>"(.3099)"</f>
        <v>(.3099)</v>
      </c>
      <c r="AK58" t="str">
        <f>"(.3415)"</f>
        <v>(.3415)</v>
      </c>
      <c r="AL58" t="str">
        <f>"(.1891)"</f>
        <v>(.1891)</v>
      </c>
      <c r="AM58" t="str">
        <f>"(.2648)"</f>
        <v>(.2648)</v>
      </c>
      <c r="AN58" t="str">
        <f>"(.3139)"</f>
        <v>(.3139)</v>
      </c>
      <c r="AO58" t="str">
        <f>""</f>
        <v/>
      </c>
      <c r="AP58" t="str">
        <f>""</f>
        <v/>
      </c>
      <c r="AQ58" t="str">
        <f>""</f>
        <v/>
      </c>
      <c r="AR58" t="str">
        <f>""</f>
        <v/>
      </c>
      <c r="AS58" t="str">
        <f>""</f>
        <v/>
      </c>
      <c r="AT58" t="str">
        <f>""</f>
        <v/>
      </c>
      <c r="AU58" t="str">
        <f>""</f>
        <v/>
      </c>
      <c r="AV58" t="str">
        <f>""</f>
        <v/>
      </c>
      <c r="AW58" t="str">
        <f>""</f>
        <v/>
      </c>
      <c r="AX58" t="str">
        <f>""</f>
        <v/>
      </c>
      <c r="AY58" t="str">
        <f>""</f>
        <v/>
      </c>
      <c r="AZ58" t="str">
        <f>""</f>
        <v/>
      </c>
      <c r="BA58" t="str">
        <f>""</f>
        <v/>
      </c>
      <c r="BB58" t="str">
        <f>""</f>
        <v/>
      </c>
      <c r="BC58" t="str">
        <f>""</f>
        <v/>
      </c>
      <c r="BD58" t="str">
        <f>""</f>
        <v/>
      </c>
      <c r="BE58" t="str">
        <f>""</f>
        <v/>
      </c>
      <c r="BF58" t="str">
        <f>""</f>
        <v/>
      </c>
      <c r="BG58" t="str">
        <f>""</f>
        <v/>
      </c>
      <c r="BH58" t="str">
        <f>""</f>
        <v/>
      </c>
      <c r="BI58" t="str">
        <f>""</f>
        <v/>
      </c>
      <c r="BJ58" t="str">
        <f>""</f>
        <v/>
      </c>
      <c r="BK58" t="str">
        <f>""</f>
        <v/>
      </c>
      <c r="BL58" t="str">
        <f>""</f>
        <v/>
      </c>
      <c r="BM58" t="str">
        <f>""</f>
        <v/>
      </c>
      <c r="BN58" t="str">
        <f>""</f>
        <v/>
      </c>
      <c r="BO58" t="str">
        <f>""</f>
        <v/>
      </c>
      <c r="BP58" t="str">
        <f>""</f>
        <v/>
      </c>
      <c r="BQ58" t="str">
        <f>""</f>
        <v/>
      </c>
      <c r="BR58" t="str">
        <f>""</f>
        <v/>
      </c>
      <c r="BS58" t="str">
        <f>""</f>
        <v/>
      </c>
      <c r="BT58" t="str">
        <f>""</f>
        <v/>
      </c>
      <c r="BU58" t="str">
        <f>""</f>
        <v/>
      </c>
      <c r="BV58" t="str">
        <f>"(.2126)"</f>
        <v>(.2126)</v>
      </c>
      <c r="BW58" t="str">
        <f>"(.2361)"</f>
        <v>(.2361)</v>
      </c>
      <c r="BX58" t="str">
        <f>"(.225)"</f>
        <v>(.225)</v>
      </c>
      <c r="BY58" t="str">
        <f>"(.1287)"</f>
        <v>(.1287)</v>
      </c>
      <c r="BZ58" t="str">
        <f>"(.2038)"</f>
        <v>(.2038)</v>
      </c>
      <c r="CA58" t="str">
        <f>"(.2261)"</f>
        <v>(.2261)</v>
      </c>
    </row>
    <row r="60" spans="1:79" x14ac:dyDescent="0.2">
      <c r="A60" t="str">
        <f>"Division-CZ dummies"</f>
        <v>Division-CZ dummies</v>
      </c>
      <c r="B60" t="str">
        <f>"No"</f>
        <v>No</v>
      </c>
      <c r="C60" t="str">
        <f>"Yes"</f>
        <v>Yes</v>
      </c>
      <c r="D60" t="str">
        <f>"Yes"</f>
        <v>Yes</v>
      </c>
      <c r="E60" t="str">
        <f>"No"</f>
        <v>No</v>
      </c>
      <c r="F60" t="str">
        <f>"Yes"</f>
        <v>Yes</v>
      </c>
      <c r="G60" t="str">
        <f>"Yes"</f>
        <v>Yes</v>
      </c>
      <c r="H60" t="str">
        <f>"No"</f>
        <v>No</v>
      </c>
      <c r="I60" t="str">
        <f>"Yes"</f>
        <v>Yes</v>
      </c>
      <c r="J60" t="str">
        <f>"Yes"</f>
        <v>Yes</v>
      </c>
      <c r="K60" t="str">
        <f>"No"</f>
        <v>No</v>
      </c>
      <c r="L60" t="str">
        <f>"Yes"</f>
        <v>Yes</v>
      </c>
      <c r="M60" t="str">
        <f>"Yes"</f>
        <v>Yes</v>
      </c>
      <c r="N60" t="str">
        <f>"No"</f>
        <v>No</v>
      </c>
      <c r="O60" t="str">
        <f>"Yes"</f>
        <v>Yes</v>
      </c>
      <c r="P60" t="str">
        <f>"Yes"</f>
        <v>Yes</v>
      </c>
      <c r="Q60" t="str">
        <f>"No"</f>
        <v>No</v>
      </c>
      <c r="R60" t="str">
        <f>"Yes"</f>
        <v>Yes</v>
      </c>
      <c r="S60" t="str">
        <f>"Yes"</f>
        <v>Yes</v>
      </c>
      <c r="T60" t="str">
        <f>"No"</f>
        <v>No</v>
      </c>
      <c r="U60" t="str">
        <f>"Yes"</f>
        <v>Yes</v>
      </c>
      <c r="V60" t="str">
        <f>"Yes"</f>
        <v>Yes</v>
      </c>
      <c r="W60" t="str">
        <f>"No"</f>
        <v>No</v>
      </c>
      <c r="X60" t="str">
        <f>"Yes"</f>
        <v>Yes</v>
      </c>
      <c r="Y60" t="str">
        <f>"Yes"</f>
        <v>Yes</v>
      </c>
      <c r="Z60" t="str">
        <f>"No"</f>
        <v>No</v>
      </c>
      <c r="AA60" t="str">
        <f>"Yes"</f>
        <v>Yes</v>
      </c>
      <c r="AB60" t="str">
        <f>"Yes"</f>
        <v>Yes</v>
      </c>
      <c r="AC60" t="str">
        <f>"No"</f>
        <v>No</v>
      </c>
      <c r="AD60" t="str">
        <f>"Yes"</f>
        <v>Yes</v>
      </c>
      <c r="AE60" t="str">
        <f>"Yes"</f>
        <v>Yes</v>
      </c>
      <c r="AF60" t="str">
        <f>"No"</f>
        <v>No</v>
      </c>
      <c r="AG60" t="str">
        <f>"Yes"</f>
        <v>Yes</v>
      </c>
      <c r="AH60" t="str">
        <f>"Yes"</f>
        <v>Yes</v>
      </c>
      <c r="AI60" t="str">
        <f>"No"</f>
        <v>No</v>
      </c>
      <c r="AJ60" t="str">
        <f>"Yes"</f>
        <v>Yes</v>
      </c>
      <c r="AK60" t="str">
        <f>"Yes"</f>
        <v>Yes</v>
      </c>
      <c r="AL60" t="str">
        <f>"No"</f>
        <v>No</v>
      </c>
      <c r="AM60" t="str">
        <f>"Yes"</f>
        <v>Yes</v>
      </c>
      <c r="AN60" t="str">
        <f>"Yes"</f>
        <v>Yes</v>
      </c>
      <c r="AO60" t="str">
        <f>"No"</f>
        <v>No</v>
      </c>
      <c r="AP60" t="str">
        <f>"Yes"</f>
        <v>Yes</v>
      </c>
      <c r="AQ60" t="str">
        <f>"Yes"</f>
        <v>Yes</v>
      </c>
      <c r="AR60" t="str">
        <f>"No"</f>
        <v>No</v>
      </c>
      <c r="AS60" t="str">
        <f>"Yes"</f>
        <v>Yes</v>
      </c>
      <c r="AT60" t="str">
        <f>"Yes"</f>
        <v>Yes</v>
      </c>
      <c r="AU60" t="str">
        <f>"No"</f>
        <v>No</v>
      </c>
      <c r="AV60" t="str">
        <f>"Yes"</f>
        <v>Yes</v>
      </c>
      <c r="AW60" t="str">
        <f>"Yes"</f>
        <v>Yes</v>
      </c>
      <c r="AX60" t="str">
        <f>"No"</f>
        <v>No</v>
      </c>
      <c r="AY60" t="str">
        <f>"Yes"</f>
        <v>Yes</v>
      </c>
      <c r="AZ60" t="str">
        <f>"Yes"</f>
        <v>Yes</v>
      </c>
      <c r="BA60" t="str">
        <f>"No"</f>
        <v>No</v>
      </c>
      <c r="BB60" t="str">
        <f>"Yes"</f>
        <v>Yes</v>
      </c>
      <c r="BC60" t="str">
        <f>"Yes"</f>
        <v>Yes</v>
      </c>
      <c r="BD60" t="str">
        <f>"No"</f>
        <v>No</v>
      </c>
      <c r="BE60" t="str">
        <f>"Yes"</f>
        <v>Yes</v>
      </c>
      <c r="BF60" t="str">
        <f>"Yes"</f>
        <v>Yes</v>
      </c>
      <c r="BG60" t="str">
        <f>"No"</f>
        <v>No</v>
      </c>
      <c r="BH60" t="str">
        <f>"Yes"</f>
        <v>Yes</v>
      </c>
      <c r="BI60" t="str">
        <f>"Yes"</f>
        <v>Yes</v>
      </c>
      <c r="BJ60" t="str">
        <f>"No"</f>
        <v>No</v>
      </c>
      <c r="BK60" t="str">
        <f>"Yes"</f>
        <v>Yes</v>
      </c>
      <c r="BL60" t="str">
        <f>"Yes"</f>
        <v>Yes</v>
      </c>
      <c r="BM60" t="str">
        <f>"No"</f>
        <v>No</v>
      </c>
      <c r="BN60" t="str">
        <f>"Yes"</f>
        <v>Yes</v>
      </c>
      <c r="BO60" t="str">
        <f>"Yes"</f>
        <v>Yes</v>
      </c>
      <c r="BP60" t="str">
        <f>"No"</f>
        <v>No</v>
      </c>
      <c r="BQ60" t="str">
        <f>"Yes"</f>
        <v>Yes</v>
      </c>
      <c r="BR60" t="str">
        <f>"Yes"</f>
        <v>Yes</v>
      </c>
      <c r="BS60" t="str">
        <f>"No"</f>
        <v>No</v>
      </c>
      <c r="BT60" t="str">
        <f>"Yes"</f>
        <v>Yes</v>
      </c>
      <c r="BU60" t="str">
        <f>"Yes"</f>
        <v>Yes</v>
      </c>
      <c r="BV60" t="str">
        <f>"No"</f>
        <v>No</v>
      </c>
      <c r="BW60" t="str">
        <f>"Yes"</f>
        <v>Yes</v>
      </c>
      <c r="BX60" t="str">
        <f>"Yes"</f>
        <v>Yes</v>
      </c>
      <c r="BY60" t="str">
        <f>"No"</f>
        <v>No</v>
      </c>
      <c r="BZ60" t="str">
        <f>"Yes"</f>
        <v>Yes</v>
      </c>
      <c r="CA60" t="str">
        <f>"Yes"</f>
        <v>Yes</v>
      </c>
    </row>
    <row r="61" spans="1:79" x14ac:dyDescent="0.2">
      <c r="A61" t="str">
        <f>"Region dummies"</f>
        <v>Region dummies</v>
      </c>
      <c r="B61" t="str">
        <f>"No"</f>
        <v>No</v>
      </c>
      <c r="C61" t="str">
        <f>"No"</f>
        <v>No</v>
      </c>
      <c r="D61" t="str">
        <f>"Yes"</f>
        <v>Yes</v>
      </c>
      <c r="E61" t="str">
        <f>"No"</f>
        <v>No</v>
      </c>
      <c r="F61" t="str">
        <f>"No"</f>
        <v>No</v>
      </c>
      <c r="G61" t="str">
        <f>"Yes"</f>
        <v>Yes</v>
      </c>
      <c r="H61" t="str">
        <f>"No"</f>
        <v>No</v>
      </c>
      <c r="I61" t="str">
        <f>"No"</f>
        <v>No</v>
      </c>
      <c r="J61" t="str">
        <f>"Yes"</f>
        <v>Yes</v>
      </c>
      <c r="K61" t="str">
        <f>"No"</f>
        <v>No</v>
      </c>
      <c r="L61" t="str">
        <f>"No"</f>
        <v>No</v>
      </c>
      <c r="M61" t="str">
        <f>"Yes"</f>
        <v>Yes</v>
      </c>
      <c r="N61" t="str">
        <f>"No"</f>
        <v>No</v>
      </c>
      <c r="O61" t="str">
        <f>"No"</f>
        <v>No</v>
      </c>
      <c r="P61" t="str">
        <f>"Yes"</f>
        <v>Yes</v>
      </c>
      <c r="Q61" t="str">
        <f>"No"</f>
        <v>No</v>
      </c>
      <c r="R61" t="str">
        <f>"No"</f>
        <v>No</v>
      </c>
      <c r="S61" t="str">
        <f>"Yes"</f>
        <v>Yes</v>
      </c>
      <c r="T61" t="str">
        <f>"No"</f>
        <v>No</v>
      </c>
      <c r="U61" t="str">
        <f>"No"</f>
        <v>No</v>
      </c>
      <c r="V61" t="str">
        <f>"Yes"</f>
        <v>Yes</v>
      </c>
      <c r="W61" t="str">
        <f>"No"</f>
        <v>No</v>
      </c>
      <c r="X61" t="str">
        <f>"No"</f>
        <v>No</v>
      </c>
      <c r="Y61" t="str">
        <f>"Yes"</f>
        <v>Yes</v>
      </c>
      <c r="Z61" t="str">
        <f>"No"</f>
        <v>No</v>
      </c>
      <c r="AA61" t="str">
        <f>"No"</f>
        <v>No</v>
      </c>
      <c r="AB61" t="str">
        <f>"Yes"</f>
        <v>Yes</v>
      </c>
      <c r="AC61" t="str">
        <f>"No"</f>
        <v>No</v>
      </c>
      <c r="AD61" t="str">
        <f>"No"</f>
        <v>No</v>
      </c>
      <c r="AE61" t="str">
        <f>"Yes"</f>
        <v>Yes</v>
      </c>
      <c r="AF61" t="str">
        <f>"No"</f>
        <v>No</v>
      </c>
      <c r="AG61" t="str">
        <f>"No"</f>
        <v>No</v>
      </c>
      <c r="AH61" t="str">
        <f>"Yes"</f>
        <v>Yes</v>
      </c>
      <c r="AI61" t="str">
        <f>"No"</f>
        <v>No</v>
      </c>
      <c r="AJ61" t="str">
        <f>"No"</f>
        <v>No</v>
      </c>
      <c r="AK61" t="str">
        <f>"Yes"</f>
        <v>Yes</v>
      </c>
      <c r="AL61" t="str">
        <f>"No"</f>
        <v>No</v>
      </c>
      <c r="AM61" t="str">
        <f>"No"</f>
        <v>No</v>
      </c>
      <c r="AN61" t="str">
        <f>"Yes"</f>
        <v>Yes</v>
      </c>
      <c r="AO61" t="str">
        <f>"No"</f>
        <v>No</v>
      </c>
      <c r="AP61" t="str">
        <f>"No"</f>
        <v>No</v>
      </c>
      <c r="AQ61" t="str">
        <f>"Yes"</f>
        <v>Yes</v>
      </c>
      <c r="AR61" t="str">
        <f>"No"</f>
        <v>No</v>
      </c>
      <c r="AS61" t="str">
        <f>"No"</f>
        <v>No</v>
      </c>
      <c r="AT61" t="str">
        <f>"Yes"</f>
        <v>Yes</v>
      </c>
      <c r="AU61" t="str">
        <f>"No"</f>
        <v>No</v>
      </c>
      <c r="AV61" t="str">
        <f>"No"</f>
        <v>No</v>
      </c>
      <c r="AW61" t="str">
        <f>"Yes"</f>
        <v>Yes</v>
      </c>
      <c r="AX61" t="str">
        <f>"No"</f>
        <v>No</v>
      </c>
      <c r="AY61" t="str">
        <f>"No"</f>
        <v>No</v>
      </c>
      <c r="AZ61" t="str">
        <f>"Yes"</f>
        <v>Yes</v>
      </c>
      <c r="BA61" t="str">
        <f>"No"</f>
        <v>No</v>
      </c>
      <c r="BB61" t="str">
        <f>"No"</f>
        <v>No</v>
      </c>
      <c r="BC61" t="str">
        <f>"Yes"</f>
        <v>Yes</v>
      </c>
      <c r="BD61" t="str">
        <f>"No"</f>
        <v>No</v>
      </c>
      <c r="BE61" t="str">
        <f>"No"</f>
        <v>No</v>
      </c>
      <c r="BF61" t="str">
        <f>"Yes"</f>
        <v>Yes</v>
      </c>
      <c r="BG61" t="str">
        <f>"No"</f>
        <v>No</v>
      </c>
      <c r="BH61" t="str">
        <f>"No"</f>
        <v>No</v>
      </c>
      <c r="BI61" t="str">
        <f>"Yes"</f>
        <v>Yes</v>
      </c>
      <c r="BJ61" t="str">
        <f>"No"</f>
        <v>No</v>
      </c>
      <c r="BK61" t="str">
        <f>"No"</f>
        <v>No</v>
      </c>
      <c r="BL61" t="str">
        <f>"Yes"</f>
        <v>Yes</v>
      </c>
      <c r="BM61" t="str">
        <f>"No"</f>
        <v>No</v>
      </c>
      <c r="BN61" t="str">
        <f>"No"</f>
        <v>No</v>
      </c>
      <c r="BO61" t="str">
        <f>"Yes"</f>
        <v>Yes</v>
      </c>
      <c r="BP61" t="str">
        <f>"No"</f>
        <v>No</v>
      </c>
      <c r="BQ61" t="str">
        <f>"No"</f>
        <v>No</v>
      </c>
      <c r="BR61" t="str">
        <f>"Yes"</f>
        <v>Yes</v>
      </c>
      <c r="BS61" t="str">
        <f>"No"</f>
        <v>No</v>
      </c>
      <c r="BT61" t="str">
        <f>"No"</f>
        <v>No</v>
      </c>
      <c r="BU61" t="str">
        <f>"Yes"</f>
        <v>Yes</v>
      </c>
      <c r="BV61" t="str">
        <f>"No"</f>
        <v>No</v>
      </c>
      <c r="BW61" t="str">
        <f>"No"</f>
        <v>No</v>
      </c>
      <c r="BX61" t="str">
        <f>"Yes"</f>
        <v>Yes</v>
      </c>
      <c r="BY61" t="str">
        <f>"No"</f>
        <v>No</v>
      </c>
      <c r="BZ61" t="str">
        <f>"No"</f>
        <v>No</v>
      </c>
      <c r="CA61" t="str">
        <f>"Yes"</f>
        <v>Yes</v>
      </c>
    </row>
    <row r="62" spans="1:79" x14ac:dyDescent="0.2">
      <c r="A62" t="str">
        <f>"N"</f>
        <v>N</v>
      </c>
      <c r="B62" s="7" t="str">
        <f t="shared" ref="B62:AO62" si="1">"60"</f>
        <v>60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 t="str">
        <f t="shared" si="1"/>
        <v>60</v>
      </c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</row>
    <row r="63" spans="1:79" x14ac:dyDescent="0.2">
      <c r="A63" t="str">
        <f>"r2_a"</f>
        <v>r2_a</v>
      </c>
      <c r="B63" t="str">
        <f>".6421"</f>
        <v>.6421</v>
      </c>
      <c r="C63" t="str">
        <f>".7388"</f>
        <v>.7388</v>
      </c>
      <c r="D63" t="str">
        <f>".7559"</f>
        <v>.7559</v>
      </c>
      <c r="E63" t="str">
        <f>".5951"</f>
        <v>.5951</v>
      </c>
      <c r="F63" t="str">
        <f>".6293"</f>
        <v>.6293</v>
      </c>
      <c r="G63" t="str">
        <f>".6312"</f>
        <v>.6312</v>
      </c>
      <c r="H63" t="str">
        <f>".09122"</f>
        <v>.09122</v>
      </c>
      <c r="I63" t="str">
        <f>".4782"</f>
        <v>.4782</v>
      </c>
      <c r="J63" t="str">
        <f>".4597"</f>
        <v>.4597</v>
      </c>
      <c r="K63" t="str">
        <f>".2802"</f>
        <v>.2802</v>
      </c>
      <c r="L63" t="str">
        <f>".5554"</f>
        <v>.5554</v>
      </c>
      <c r="M63" t="str">
        <f>".542"</f>
        <v>.542</v>
      </c>
      <c r="N63" t="str">
        <f>".6578"</f>
        <v>.6578</v>
      </c>
      <c r="O63" t="str">
        <f>".7426"</f>
        <v>.7426</v>
      </c>
      <c r="P63" t="str">
        <f>".7497"</f>
        <v>.7497</v>
      </c>
      <c r="Q63" t="str">
        <f>".6602"</f>
        <v>.6602</v>
      </c>
      <c r="R63" t="str">
        <f>".7365"</f>
        <v>.7365</v>
      </c>
      <c r="S63" t="str">
        <f>".7509"</f>
        <v>.7509</v>
      </c>
      <c r="T63" t="str">
        <f>".2928"</f>
        <v>.2928</v>
      </c>
      <c r="U63" t="str">
        <f>".6229"</f>
        <v>.6229</v>
      </c>
      <c r="V63" t="str">
        <f>".6307"</f>
        <v>.6307</v>
      </c>
      <c r="W63" t="str">
        <f>".6833"</f>
        <v>.6833</v>
      </c>
      <c r="X63" t="str">
        <f>".7429"</f>
        <v>.7429</v>
      </c>
      <c r="Y63" t="str">
        <f>".7572"</f>
        <v>.7572</v>
      </c>
      <c r="Z63" t="str">
        <f>".5643"</f>
        <v>.5643</v>
      </c>
      <c r="AA63" t="str">
        <f>".6177"</f>
        <v>.6177</v>
      </c>
      <c r="AB63" t="str">
        <f>".6375"</f>
        <v>.6375</v>
      </c>
      <c r="AC63" t="str">
        <f>".5894"</f>
        <v>.5894</v>
      </c>
      <c r="AD63" t="str">
        <f>".6225"</f>
        <v>.6225</v>
      </c>
      <c r="AE63" t="str">
        <f>".6187"</f>
        <v>.6187</v>
      </c>
      <c r="AF63" t="str">
        <f>".6074"</f>
        <v>.6074</v>
      </c>
      <c r="AG63" t="str">
        <f>".6363"</f>
        <v>.6363</v>
      </c>
      <c r="AH63" t="str">
        <f>".6311"</f>
        <v>.6311</v>
      </c>
      <c r="AI63" t="str">
        <f>".3113"</f>
        <v>.3113</v>
      </c>
      <c r="AJ63" t="str">
        <f>".5408"</f>
        <v>.5408</v>
      </c>
      <c r="AK63" t="str">
        <f>".5228"</f>
        <v>.5228</v>
      </c>
      <c r="AL63" t="str">
        <f>".5969"</f>
        <v>.5969</v>
      </c>
      <c r="AM63" t="str">
        <f>".6344"</f>
        <v>.6344</v>
      </c>
      <c r="AN63" t="str">
        <f>".6372"</f>
        <v>.6372</v>
      </c>
      <c r="AO63" t="str">
        <f>".657"</f>
        <v>.657</v>
      </c>
      <c r="AP63" t="str">
        <f>".7549"</f>
        <v>.7549</v>
      </c>
      <c r="AQ63" t="str">
        <f>".8184"</f>
        <v>.8184</v>
      </c>
      <c r="AR63" t="str">
        <f>".5592"</f>
        <v>.5592</v>
      </c>
      <c r="AS63" t="str">
        <f>".6892"</f>
        <v>.6892</v>
      </c>
      <c r="AT63" t="str">
        <f>".727"</f>
        <v>.727</v>
      </c>
      <c r="AU63" t="str">
        <f>".1033"</f>
        <v>.1033</v>
      </c>
      <c r="AV63" t="str">
        <f>".5981"</f>
        <v>.5981</v>
      </c>
      <c r="AW63" t="str">
        <f>".6423"</f>
        <v>.6423</v>
      </c>
      <c r="AX63" t="str">
        <f>".3025"</f>
        <v>.3025</v>
      </c>
      <c r="AY63" t="str">
        <f>".6595"</f>
        <v>.6595</v>
      </c>
      <c r="AZ63" t="str">
        <f>".6973"</f>
        <v>.6973</v>
      </c>
      <c r="BA63" t="str">
        <f>".662"</f>
        <v>.662</v>
      </c>
      <c r="BB63" t="str">
        <f>".7563"</f>
        <v>.7563</v>
      </c>
      <c r="BC63" t="str">
        <f>".8174"</f>
        <v>.8174</v>
      </c>
      <c r="BD63" t="str">
        <f>".6614"</f>
        <v>.6614</v>
      </c>
      <c r="BE63" t="str">
        <f>".7574"</f>
        <v>.7574</v>
      </c>
      <c r="BF63" t="str">
        <f>".8177"</f>
        <v>.8177</v>
      </c>
      <c r="BG63" t="str">
        <f>".2388"</f>
        <v>.2388</v>
      </c>
      <c r="BH63" t="str">
        <f>".628"</f>
        <v>.628</v>
      </c>
      <c r="BI63" t="str">
        <f>".6905"</f>
        <v>.6905</v>
      </c>
      <c r="BJ63" t="str">
        <f>".6747"</f>
        <v>.6747</v>
      </c>
      <c r="BK63" t="str">
        <f>".7521"</f>
        <v>.7521</v>
      </c>
      <c r="BL63" t="str">
        <f>".8116"</f>
        <v>.8116</v>
      </c>
      <c r="BM63" t="str">
        <f>".5999"</f>
        <v>.5999</v>
      </c>
      <c r="BN63" t="str">
        <f>".6645"</f>
        <v>.6645</v>
      </c>
      <c r="BO63" t="str">
        <f>".7039"</f>
        <v>.7039</v>
      </c>
      <c r="BP63" t="str">
        <f>".5975"</f>
        <v>.5975</v>
      </c>
      <c r="BQ63" t="str">
        <f>".6706"</f>
        <v>.6706</v>
      </c>
      <c r="BR63" t="str">
        <f>".7057"</f>
        <v>.7057</v>
      </c>
      <c r="BS63" t="str">
        <f>".6644"</f>
        <v>.6644</v>
      </c>
      <c r="BT63" t="str">
        <f>".709"</f>
        <v>.709</v>
      </c>
      <c r="BU63" t="str">
        <f>".7052"</f>
        <v>.7052</v>
      </c>
      <c r="BV63" t="str">
        <f>".3777"</f>
        <v>.3777</v>
      </c>
      <c r="BW63" t="str">
        <f>".6469"</f>
        <v>.6469</v>
      </c>
      <c r="BX63" t="str">
        <f>".639"</f>
        <v>.639</v>
      </c>
      <c r="BY63" t="str">
        <f>".6695"</f>
        <v>.6695</v>
      </c>
      <c r="BZ63" t="str">
        <f>".7017"</f>
        <v>.7017</v>
      </c>
      <c r="CA63" t="str">
        <f>".7079"</f>
        <v>.7079</v>
      </c>
    </row>
    <row r="64" spans="1:79" x14ac:dyDescent="0.2">
      <c r="A64" t="str">
        <f>"rmse"</f>
        <v>rmse</v>
      </c>
      <c r="B64" t="str">
        <f>".0478"</f>
        <v>.0478</v>
      </c>
      <c r="C64" t="str">
        <f>".04084"</f>
        <v>.04084</v>
      </c>
      <c r="D64" t="str">
        <f>".03948"</f>
        <v>.03948</v>
      </c>
      <c r="E64" t="str">
        <f>".05085"</f>
        <v>.05085</v>
      </c>
      <c r="F64" t="str">
        <f>".04865"</f>
        <v>.04865</v>
      </c>
      <c r="G64" t="str">
        <f>".04852"</f>
        <v>.04852</v>
      </c>
      <c r="H64" t="str">
        <f>".07617"</f>
        <v>.07617</v>
      </c>
      <c r="I64" t="str">
        <f>".05772"</f>
        <v>.05772</v>
      </c>
      <c r="J64" t="str">
        <f>".05873"</f>
        <v>.05873</v>
      </c>
      <c r="K64" t="str">
        <f>".06779"</f>
        <v>.06779</v>
      </c>
      <c r="L64" t="str">
        <f>".05328"</f>
        <v>.05328</v>
      </c>
      <c r="M64" t="str">
        <f>".05407"</f>
        <v>.05407</v>
      </c>
      <c r="N64" t="str">
        <f>".04674"</f>
        <v>.04674</v>
      </c>
      <c r="O64" t="str">
        <f>".04054"</f>
        <v>.04054</v>
      </c>
      <c r="P64" t="str">
        <f>".03998"</f>
        <v>.03998</v>
      </c>
      <c r="Q64" t="str">
        <f>".04658"</f>
        <v>.04658</v>
      </c>
      <c r="R64" t="str">
        <f>".04102"</f>
        <v>.04102</v>
      </c>
      <c r="S64" t="str">
        <f>".03988"</f>
        <v>.03988</v>
      </c>
      <c r="T64" t="str">
        <f>".06719"</f>
        <v>.06719</v>
      </c>
      <c r="U64" t="str">
        <f>".04906"</f>
        <v>.04906</v>
      </c>
      <c r="V64" t="str">
        <f>".04856"</f>
        <v>.04856</v>
      </c>
      <c r="W64" t="str">
        <f>".04497"</f>
        <v>.04497</v>
      </c>
      <c r="X64" t="str">
        <f>".04052"</f>
        <v>.04052</v>
      </c>
      <c r="Y64" t="str">
        <f>".03937"</f>
        <v>.03937</v>
      </c>
      <c r="Z64" t="str">
        <f>".05274"</f>
        <v>.05274</v>
      </c>
      <c r="AA64" t="str">
        <f>".0494"</f>
        <v>.0494</v>
      </c>
      <c r="AB64" t="str">
        <f>".04811"</f>
        <v>.04811</v>
      </c>
      <c r="AC64" t="str">
        <f>".0512"</f>
        <v>.0512</v>
      </c>
      <c r="AD64" t="str">
        <f>".04909"</f>
        <v>.04909</v>
      </c>
      <c r="AE64" t="str">
        <f>".04934"</f>
        <v>.04934</v>
      </c>
      <c r="AF64" t="str">
        <f>".05007"</f>
        <v>.05007</v>
      </c>
      <c r="AG64" t="str">
        <f>".04819"</f>
        <v>.04819</v>
      </c>
      <c r="AH64" t="str">
        <f>".04853"</f>
        <v>.04853</v>
      </c>
      <c r="AI64" t="str">
        <f>".06631"</f>
        <v>.06631</v>
      </c>
      <c r="AJ64" t="str">
        <f>".05414"</f>
        <v>.05414</v>
      </c>
      <c r="AK64" t="str">
        <f>".05519"</f>
        <v>.05519</v>
      </c>
      <c r="AL64" t="str">
        <f>".05073"</f>
        <v>.05073</v>
      </c>
      <c r="AM64" t="str">
        <f>".04831"</f>
        <v>.04831</v>
      </c>
      <c r="AN64" t="str">
        <f>".04813"</f>
        <v>.04813</v>
      </c>
      <c r="AO64" t="str">
        <f>".04519"</f>
        <v>.04519</v>
      </c>
      <c r="AP64" t="str">
        <f>".0382"</f>
        <v>.0382</v>
      </c>
      <c r="AQ64" t="str">
        <f>".03288"</f>
        <v>.03288</v>
      </c>
      <c r="AR64" t="str">
        <f>".05123"</f>
        <v>.05123</v>
      </c>
      <c r="AS64" t="str">
        <f>".04302"</f>
        <v>.04302</v>
      </c>
      <c r="AT64" t="str">
        <f>".04032"</f>
        <v>.04032</v>
      </c>
      <c r="AU64" t="str">
        <f>".07306"</f>
        <v>.07306</v>
      </c>
      <c r="AV64" t="str">
        <f>".04891"</f>
        <v>.04891</v>
      </c>
      <c r="AW64" t="str">
        <f>".04615"</f>
        <v>.04615</v>
      </c>
      <c r="AX64" t="str">
        <f>".06444"</f>
        <v>.06444</v>
      </c>
      <c r="AY64" t="str">
        <f>".04502"</f>
        <v>.04502</v>
      </c>
      <c r="AZ64" t="str">
        <f>".04245"</f>
        <v>.04245</v>
      </c>
      <c r="BA64" t="str">
        <f>".04485"</f>
        <v>.04485</v>
      </c>
      <c r="BB64" t="str">
        <f>".03809"</f>
        <v>.03809</v>
      </c>
      <c r="BC64" t="str">
        <f>".03297"</f>
        <v>.03297</v>
      </c>
      <c r="BD64" t="str">
        <f>".04489"</f>
        <v>.04489</v>
      </c>
      <c r="BE64" t="str">
        <f>".03801"</f>
        <v>.03801</v>
      </c>
      <c r="BF64" t="str">
        <f>".03294"</f>
        <v>.03294</v>
      </c>
      <c r="BG64" t="str">
        <f>".06731"</f>
        <v>.06731</v>
      </c>
      <c r="BH64" t="str">
        <f>".04706"</f>
        <v>.04706</v>
      </c>
      <c r="BI64" t="str">
        <f>".04292"</f>
        <v>.04292</v>
      </c>
      <c r="BJ64" t="str">
        <f>".04401"</f>
        <v>.04401</v>
      </c>
      <c r="BK64" t="str">
        <f>".03841"</f>
        <v>.03841</v>
      </c>
      <c r="BL64" t="str">
        <f>".03349"</f>
        <v>.03349</v>
      </c>
      <c r="BM64" t="str">
        <f>".0488"</f>
        <v>.0488</v>
      </c>
      <c r="BN64" t="str">
        <f>".04469"</f>
        <v>.04469</v>
      </c>
      <c r="BO64" t="str">
        <f>".04198"</f>
        <v>.04198</v>
      </c>
      <c r="BP64" t="str">
        <f>".04895"</f>
        <v>.04895</v>
      </c>
      <c r="BQ64" t="str">
        <f>".04428"</f>
        <v>.04428</v>
      </c>
      <c r="BR64" t="str">
        <f>".04185"</f>
        <v>.04185</v>
      </c>
      <c r="BS64" t="str">
        <f>".0447"</f>
        <v>.0447</v>
      </c>
      <c r="BT64" t="str">
        <f>".04162"</f>
        <v>.04162</v>
      </c>
      <c r="BU64" t="str">
        <f>".04189"</f>
        <v>.04189</v>
      </c>
      <c r="BV64" t="str">
        <f>".06087"</f>
        <v>.06087</v>
      </c>
      <c r="BW64" t="str">
        <f>".04585"</f>
        <v>.04585</v>
      </c>
      <c r="BX64" t="str">
        <f>".04635"</f>
        <v>.04635</v>
      </c>
      <c r="BY64" t="str">
        <f>".04435"</f>
        <v>.04435</v>
      </c>
      <c r="BZ64" t="str">
        <f>".04214"</f>
        <v>.04214</v>
      </c>
      <c r="CA64" t="str">
        <f>".0417"</f>
        <v>.0417</v>
      </c>
    </row>
  </sheetData>
  <mergeCells count="12">
    <mergeCell ref="B3:AN3"/>
    <mergeCell ref="AO3:CA3"/>
    <mergeCell ref="B4:AN4"/>
    <mergeCell ref="AO4:CA4"/>
    <mergeCell ref="B29:AN29"/>
    <mergeCell ref="AO29:CA29"/>
    <mergeCell ref="B36:AN36"/>
    <mergeCell ref="AO36:CA36"/>
    <mergeCell ref="B37:AN37"/>
    <mergeCell ref="AO37:CA37"/>
    <mergeCell ref="B62:AN62"/>
    <mergeCell ref="AO62:CA62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7AD3-880D-4F91-A7A5-D8DDA87E0AB9}">
  <dimension ref="A1:D9"/>
  <sheetViews>
    <sheetView workbookViewId="0">
      <selection activeCell="B5" activeCellId="3" sqref="B7:D9 D5 C5 B5"/>
    </sheetView>
  </sheetViews>
  <sheetFormatPr baseColWidth="10" defaultColWidth="8.83203125" defaultRowHeight="15" x14ac:dyDescent="0.2"/>
  <cols>
    <col min="1" max="1" width="15.5" customWidth="1"/>
    <col min="2" max="4" width="19.5" customWidth="1"/>
  </cols>
  <sheetData>
    <row r="1" spans="1:4" x14ac:dyDescent="0.2">
      <c r="A1" s="2" t="s">
        <v>26</v>
      </c>
      <c r="B1" s="1"/>
      <c r="C1" s="1"/>
      <c r="D1" s="1"/>
    </row>
    <row r="2" spans="1:4" x14ac:dyDescent="0.2">
      <c r="A2" s="1"/>
      <c r="B2" s="1"/>
      <c r="C2" s="1"/>
      <c r="D2" s="1"/>
    </row>
    <row r="3" spans="1:4" x14ac:dyDescent="0.2">
      <c r="A3" s="1"/>
      <c r="B3" s="7" t="s">
        <v>27</v>
      </c>
      <c r="C3" s="7"/>
      <c r="D3" s="7"/>
    </row>
    <row r="4" spans="1:4" x14ac:dyDescent="0.2">
      <c r="A4" t="str">
        <f>""</f>
        <v/>
      </c>
      <c r="B4" s="1" t="str">
        <f>"psi_jc on psi_j"</f>
        <v>psi_jc on psi_j</v>
      </c>
      <c r="C4" s="1" t="str">
        <f>"alpha_jc on psi_j"</f>
        <v>alpha_jc on psi_j</v>
      </c>
      <c r="D4" s="1" t="str">
        <f>"alpha_jc on alpha_j"</f>
        <v>alpha_jc on alpha_j</v>
      </c>
    </row>
    <row r="5" spans="1:4" x14ac:dyDescent="0.2">
      <c r="A5" t="s">
        <v>28</v>
      </c>
      <c r="B5" s="1" t="str">
        <f>".7518"</f>
        <v>.7518</v>
      </c>
      <c r="C5" s="1" t="str">
        <f>".3058"</f>
        <v>.3058</v>
      </c>
      <c r="D5" s="1" t="str">
        <f>".8256"</f>
        <v>.8256</v>
      </c>
    </row>
    <row r="6" spans="1:4" x14ac:dyDescent="0.2">
      <c r="A6" t="s">
        <v>29</v>
      </c>
      <c r="B6" s="1" t="str">
        <f>".1058"</f>
        <v>.1058</v>
      </c>
      <c r="C6" s="1" t="str">
        <f>".04682"</f>
        <v>.04682</v>
      </c>
      <c r="D6" s="1" t="str">
        <f>".04763"</f>
        <v>.04763</v>
      </c>
    </row>
    <row r="7" spans="1:4" x14ac:dyDescent="0.2">
      <c r="A7" t="s">
        <v>30</v>
      </c>
      <c r="B7" s="1" t="str">
        <f>"-.9779"</f>
        <v>-.9779</v>
      </c>
      <c r="C7" s="1" t="str">
        <f>".1733"</f>
        <v>.1733</v>
      </c>
      <c r="D7" s="1" t="str">
        <f>"-1.163"</f>
        <v>-1.163</v>
      </c>
    </row>
    <row r="8" spans="1:4" x14ac:dyDescent="0.2">
      <c r="A8" t="s">
        <v>31</v>
      </c>
      <c r="B8" s="1" t="str">
        <f>"3.782"</f>
        <v>3.782</v>
      </c>
      <c r="C8" s="1" t="str">
        <f>"3.78"</f>
        <v>3.78</v>
      </c>
      <c r="D8" s="1" t="str">
        <f>"5.794"</f>
        <v>5.794</v>
      </c>
    </row>
    <row r="9" spans="1:4" x14ac:dyDescent="0.2">
      <c r="A9" t="str">
        <f>"N"</f>
        <v>N</v>
      </c>
      <c r="B9" s="7" t="str">
        <f>"60"</f>
        <v>60</v>
      </c>
      <c r="C9" s="7"/>
      <c r="D9" s="7"/>
    </row>
  </sheetData>
  <mergeCells count="2">
    <mergeCell ref="B3:D3"/>
    <mergeCell ref="B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C042-D180-4E4C-8BAC-1E0A19021978}">
  <dimension ref="A1:E18"/>
  <sheetViews>
    <sheetView zoomScale="85" zoomScaleNormal="85" workbookViewId="0">
      <selection activeCell="E6" activeCellId="17" sqref="D18:E18 B18:C18 B15:C15 D15:E15 D13:E13 B13:C13 B12 C12 D12 E12 E9 D9 C9 B9 B6 C6 D6 E6"/>
    </sheetView>
  </sheetViews>
  <sheetFormatPr baseColWidth="10" defaultColWidth="8.83203125" defaultRowHeight="15" x14ac:dyDescent="0.2"/>
  <cols>
    <col min="1" max="1" width="39.5" customWidth="1"/>
    <col min="2" max="5" width="20.5" customWidth="1"/>
  </cols>
  <sheetData>
    <row r="1" spans="1:5" x14ac:dyDescent="0.2">
      <c r="A1" t="s">
        <v>36</v>
      </c>
    </row>
    <row r="3" spans="1:5" x14ac:dyDescent="0.2">
      <c r="B3" s="7" t="s">
        <v>37</v>
      </c>
      <c r="C3" s="7"/>
      <c r="D3" s="7" t="s">
        <v>38</v>
      </c>
      <c r="E3" s="7"/>
    </row>
    <row r="4" spans="1:5" x14ac:dyDescent="0.2">
      <c r="A4" s="1" t="str">
        <f>""</f>
        <v/>
      </c>
      <c r="B4" s="1" t="str">
        <f>"(1)"</f>
        <v>(1)</v>
      </c>
      <c r="C4" s="1" t="str">
        <f>"(2)"</f>
        <v>(2)</v>
      </c>
      <c r="D4" s="1" t="str">
        <f>"(3)"</f>
        <v>(3)</v>
      </c>
      <c r="E4" s="1" t="str">
        <f>"(4)"</f>
        <v>(4)</v>
      </c>
    </row>
    <row r="5" spans="1:5" x14ac:dyDescent="0.2">
      <c r="A5" s="6"/>
      <c r="B5" s="1"/>
      <c r="C5" s="1"/>
      <c r="D5" s="1"/>
      <c r="E5" s="1"/>
    </row>
    <row r="6" spans="1:5" x14ac:dyDescent="0.2">
      <c r="A6" s="6" t="s">
        <v>39</v>
      </c>
      <c r="B6" s="1" t="s">
        <v>124</v>
      </c>
      <c r="C6" s="1" t="s">
        <v>125</v>
      </c>
      <c r="D6" s="1" t="s">
        <v>126</v>
      </c>
      <c r="E6" s="1" t="s">
        <v>127</v>
      </c>
    </row>
    <row r="7" spans="1:5" x14ac:dyDescent="0.2">
      <c r="A7" s="6" t="s">
        <v>40</v>
      </c>
      <c r="B7" s="1" t="s">
        <v>128</v>
      </c>
      <c r="C7" s="1" t="s">
        <v>129</v>
      </c>
      <c r="D7" s="1" t="s">
        <v>130</v>
      </c>
      <c r="E7" s="1" t="s">
        <v>131</v>
      </c>
    </row>
    <row r="8" spans="1:5" x14ac:dyDescent="0.2">
      <c r="A8" s="6"/>
      <c r="B8" s="1"/>
      <c r="C8" s="1"/>
      <c r="D8" s="1"/>
      <c r="E8" s="1"/>
    </row>
    <row r="9" spans="1:5" x14ac:dyDescent="0.2">
      <c r="A9" s="6" t="s">
        <v>41</v>
      </c>
      <c r="B9" s="1" t="s">
        <v>132</v>
      </c>
      <c r="C9" s="1" t="s">
        <v>133</v>
      </c>
      <c r="D9" s="1" t="s">
        <v>134</v>
      </c>
      <c r="E9" s="1" t="s">
        <v>135</v>
      </c>
    </row>
    <row r="10" spans="1:5" x14ac:dyDescent="0.2">
      <c r="A10" s="6" t="s">
        <v>40</v>
      </c>
      <c r="B10" s="1" t="s">
        <v>136</v>
      </c>
      <c r="C10" s="1" t="s">
        <v>137</v>
      </c>
      <c r="D10" s="1" t="s">
        <v>138</v>
      </c>
      <c r="E10" s="1" t="s">
        <v>139</v>
      </c>
    </row>
    <row r="11" spans="1:5" x14ac:dyDescent="0.2">
      <c r="A11" s="6"/>
      <c r="B11" s="1"/>
      <c r="C11" s="1"/>
      <c r="D11" s="1"/>
      <c r="E11" s="1"/>
    </row>
    <row r="12" spans="1:5" x14ac:dyDescent="0.2">
      <c r="A12" s="6" t="s">
        <v>19</v>
      </c>
      <c r="B12" s="1" t="s">
        <v>140</v>
      </c>
      <c r="C12" s="1" t="s">
        <v>141</v>
      </c>
      <c r="D12" s="1" t="s">
        <v>142</v>
      </c>
      <c r="E12" s="1" t="s">
        <v>143</v>
      </c>
    </row>
    <row r="13" spans="1:5" x14ac:dyDescent="0.2">
      <c r="A13" s="6" t="s">
        <v>42</v>
      </c>
      <c r="B13" s="7" t="str">
        <f>"-0.00216"</f>
        <v>-0.00216</v>
      </c>
      <c r="C13" s="7"/>
      <c r="D13" s="7" t="str">
        <f>"0.000574"</f>
        <v>0.000574</v>
      </c>
      <c r="E13" s="7"/>
    </row>
    <row r="14" spans="1:5" x14ac:dyDescent="0.2">
      <c r="A14" s="6" t="s">
        <v>20</v>
      </c>
      <c r="B14" s="7" t="str">
        <f>"0.168"</f>
        <v>0.168</v>
      </c>
      <c r="C14" s="7"/>
      <c r="D14" s="7" t="str">
        <f>"0.175"</f>
        <v>0.175</v>
      </c>
      <c r="E14" s="7"/>
    </row>
    <row r="15" spans="1:5" x14ac:dyDescent="0.2">
      <c r="A15" s="6" t="s">
        <v>43</v>
      </c>
      <c r="B15" s="7" t="str">
        <f>"8.683"</f>
        <v>8.683</v>
      </c>
      <c r="C15" s="7"/>
      <c r="D15" s="7" t="str">
        <f>"11.92"</f>
        <v>11.92</v>
      </c>
      <c r="E15" s="7"/>
    </row>
    <row r="16" spans="1:5" x14ac:dyDescent="0.2">
      <c r="A16" s="6" t="s">
        <v>44</v>
      </c>
      <c r="B16" s="7" t="str">
        <f>"7.180"</f>
        <v>7.180</v>
      </c>
      <c r="C16" s="7"/>
      <c r="D16" s="7" t="str">
        <f>"8.759"</f>
        <v>8.759</v>
      </c>
      <c r="E16" s="7"/>
    </row>
    <row r="17" spans="1:5" x14ac:dyDescent="0.2">
      <c r="A17" s="6"/>
    </row>
    <row r="18" spans="1:5" x14ac:dyDescent="0.2">
      <c r="A18" s="6" t="str">
        <f>"Number of person-quarter observations"</f>
        <v>Number of person-quarter observations</v>
      </c>
      <c r="B18" s="8">
        <f>89760000</f>
        <v>89760000</v>
      </c>
      <c r="C18" s="8"/>
      <c r="D18" s="8">
        <v>421800000</v>
      </c>
      <c r="E18" s="8"/>
    </row>
  </sheetData>
  <mergeCells count="12">
    <mergeCell ref="B15:C15"/>
    <mergeCell ref="D15:E15"/>
    <mergeCell ref="B16:C16"/>
    <mergeCell ref="D16:E16"/>
    <mergeCell ref="B18:C18"/>
    <mergeCell ref="D18:E18"/>
    <mergeCell ref="B3:C3"/>
    <mergeCell ref="D3:E3"/>
    <mergeCell ref="B13:C13"/>
    <mergeCell ref="D13:E13"/>
    <mergeCell ref="B14:C14"/>
    <mergeCell ref="D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8</vt:lpstr>
      <vt:lpstr>9a</vt:lpstr>
      <vt:lpstr>9b</vt:lpstr>
      <vt:lpstr>10a</vt:lpstr>
      <vt:lpstr>10b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Yi</cp:lastModifiedBy>
  <cp:revision>9</cp:revision>
  <dcterms:modified xsi:type="dcterms:W3CDTF">2023-09-29T21:04:46Z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