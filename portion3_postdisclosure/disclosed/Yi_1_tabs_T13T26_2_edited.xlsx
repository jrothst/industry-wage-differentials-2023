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industry-effects/replication/v2/postdisclosure/disclosed/"/>
    </mc:Choice>
  </mc:AlternateContent>
  <xr:revisionPtr revIDLastSave="0" documentId="13_ncr:1_{F3F5D2AF-100A-E346-B33E-A593219CE202}" xr6:coauthVersionLast="47" xr6:coauthVersionMax="47" xr10:uidLastSave="{00000000-0000-0000-0000-000000000000}"/>
  <bookViews>
    <workbookView xWindow="22020" yWindow="1240" windowWidth="15880" windowHeight="10440" tabRatio="986" activeTab="1" xr2:uid="{00000000-000D-0000-FFFF-FFFF00000000}"/>
  </bookViews>
  <sheets>
    <sheet name="1" sheetId="3" r:id="rId1"/>
    <sheet name="3" sheetId="4" r:id="rId2"/>
    <sheet name="4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1" l="1"/>
  <c r="K9" i="11" s="1"/>
  <c r="C17" i="11" l="1"/>
  <c r="H9" i="11"/>
  <c r="F5" i="11"/>
  <c r="F14" i="11"/>
  <c r="F13" i="11"/>
  <c r="F12" i="11"/>
  <c r="F11" i="11"/>
  <c r="F10" i="11"/>
  <c r="F9" i="11"/>
  <c r="F8" i="11"/>
  <c r="F7" i="11"/>
  <c r="F6" i="11"/>
  <c r="F16" i="11" l="1"/>
  <c r="B10" i="3"/>
  <c r="B9" i="3"/>
  <c r="B8" i="3"/>
  <c r="B9" i="4" l="1"/>
  <c r="B8" i="4"/>
  <c r="B4" i="3"/>
  <c r="C3" i="3"/>
  <c r="A8" i="4"/>
  <c r="A9" i="4"/>
  <c r="A4" i="4"/>
  <c r="B3" i="4"/>
  <c r="A19" i="3"/>
  <c r="A6" i="3"/>
  <c r="A4" i="3"/>
  <c r="B3" i="3"/>
</calcChain>
</file>

<file path=xl/sharedStrings.xml><?xml version="1.0" encoding="utf-8"?>
<sst xmlns="http://schemas.openxmlformats.org/spreadsheetml/2006/main" count="36" uniqueCount="36">
  <si>
    <t>Coefficient</t>
  </si>
  <si>
    <t>Dependent variable: "psi_j_ip"</t>
  </si>
  <si>
    <t>Various Estimates</t>
  </si>
  <si>
    <t>SE</t>
  </si>
  <si>
    <t>Estimate</t>
  </si>
  <si>
    <t>meansqSE_pjc_pj</t>
  </si>
  <si>
    <t>meansqSE_ajc_aj</t>
  </si>
  <si>
    <t>meansqSE_ajc_pj</t>
  </si>
  <si>
    <t>b_af_firm</t>
  </si>
  <si>
    <t>b_af_h</t>
  </si>
  <si>
    <t>r2_pf_ind</t>
  </si>
  <si>
    <t>sd_match</t>
  </si>
  <si>
    <t>n_f_stayers</t>
  </si>
  <si>
    <t>sd</t>
  </si>
  <si>
    <t>var(y)=</t>
  </si>
  <si>
    <t>var(pe)=</t>
  </si>
  <si>
    <t>var(fe)=</t>
  </si>
  <si>
    <t>var(xb)=</t>
  </si>
  <si>
    <t>var(r)=</t>
  </si>
  <si>
    <t>2cov(pe,fe)=</t>
  </si>
  <si>
    <t>2cov(pe,xb)=</t>
  </si>
  <si>
    <t>2cov(pe,r)=</t>
  </si>
  <si>
    <t>2cov(fe,xb)=</t>
  </si>
  <si>
    <t>2cov(fe,r)=</t>
  </si>
  <si>
    <t>2cov(xb,r)=</t>
  </si>
  <si>
    <t>var(mif)=</t>
  </si>
  <si>
    <t>mean</t>
  </si>
  <si>
    <t>variance or component</t>
  </si>
  <si>
    <t>Variance decomposition of observed earnings and AKM components (sample 1)</t>
  </si>
  <si>
    <t>r2_alpha_ind</t>
  </si>
  <si>
    <t>r2_alpha_firm</t>
  </si>
  <si>
    <t>Regression of Industry Psi's on alternative Psi's</t>
  </si>
  <si>
    <t>variance share</t>
  </si>
  <si>
    <t>cov(pe,fe)</t>
  </si>
  <si>
    <t>correl(pe,fe)</t>
  </si>
  <si>
    <t>reg pe on fe: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</si>
</sst>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88" zoomScaleNormal="88" workbookViewId="0">
      <selection activeCell="B15" sqref="B15"/>
    </sheetView>
  </sheetViews>
  <sheetFormatPr baseColWidth="10" defaultColWidth="8.83203125" defaultRowHeight="15" x14ac:dyDescent="0.2"/>
  <cols>
    <col min="1" max="1" width="27.5" bestFit="1" customWidth="1"/>
    <col min="2" max="2" width="13.5"/>
    <col min="3" max="3" width="13.5" customWidth="1"/>
    <col min="4" max="4" width="8.5"/>
    <col min="5" max="5" width="10.1640625" bestFit="1" customWidth="1"/>
    <col min="6" max="6" width="12.5" bestFit="1" customWidth="1"/>
    <col min="7" max="1013" width="8.5"/>
  </cols>
  <sheetData>
    <row r="1" spans="1:3" x14ac:dyDescent="0.2">
      <c r="A1" t="s">
        <v>2</v>
      </c>
      <c r="B1" s="1"/>
    </row>
    <row r="2" spans="1:3" x14ac:dyDescent="0.2">
      <c r="B2" s="1"/>
    </row>
    <row r="3" spans="1:3" x14ac:dyDescent="0.2">
      <c r="B3" s="1" t="str">
        <f>"(1)"</f>
        <v>(1)</v>
      </c>
      <c r="C3" s="1" t="str">
        <f>"(2)"</f>
        <v>(2)</v>
      </c>
    </row>
    <row r="4" spans="1:3" x14ac:dyDescent="0.2">
      <c r="A4" t="str">
        <f>""</f>
        <v/>
      </c>
      <c r="B4" s="6" t="str">
        <f>"Sample 1"</f>
        <v>Sample 1</v>
      </c>
      <c r="C4" s="6"/>
    </row>
    <row r="5" spans="1:3" x14ac:dyDescent="0.2">
      <c r="B5" s="1"/>
    </row>
    <row r="6" spans="1:3" x14ac:dyDescent="0.2">
      <c r="A6" t="str">
        <f>""</f>
        <v/>
      </c>
      <c r="B6" s="1" t="s">
        <v>4</v>
      </c>
      <c r="C6" s="1" t="s">
        <v>3</v>
      </c>
    </row>
    <row r="7" spans="1:3" x14ac:dyDescent="0.2">
      <c r="B7" s="1"/>
    </row>
    <row r="8" spans="1:3" x14ac:dyDescent="0.2">
      <c r="A8" t="s">
        <v>5</v>
      </c>
      <c r="B8" s="4" t="str">
        <f>"0.0008717"</f>
        <v>0.0008717</v>
      </c>
    </row>
    <row r="9" spans="1:3" x14ac:dyDescent="0.2">
      <c r="A9" t="s">
        <v>6</v>
      </c>
      <c r="B9" s="4" t="str">
        <f>"0.0005352"</f>
        <v>0.0005352</v>
      </c>
    </row>
    <row r="10" spans="1:3" x14ac:dyDescent="0.2">
      <c r="A10" t="s">
        <v>7</v>
      </c>
      <c r="B10" s="4" t="str">
        <f>"0.00479"</f>
        <v>0.00479</v>
      </c>
    </row>
    <row r="11" spans="1:3" x14ac:dyDescent="0.2">
      <c r="A11" t="s">
        <v>10</v>
      </c>
      <c r="B11" s="1">
        <v>0.32540000000000002</v>
      </c>
    </row>
    <row r="12" spans="1:3" x14ac:dyDescent="0.2">
      <c r="A12" t="s">
        <v>29</v>
      </c>
      <c r="B12" s="1">
        <v>0.11700000000000001</v>
      </c>
    </row>
    <row r="13" spans="1:3" x14ac:dyDescent="0.2">
      <c r="A13" t="s">
        <v>11</v>
      </c>
      <c r="B13" s="4">
        <v>8.9039999999999994E-2</v>
      </c>
    </row>
    <row r="14" spans="1:3" x14ac:dyDescent="0.2">
      <c r="A14" t="s">
        <v>30</v>
      </c>
      <c r="B14" s="1">
        <v>0.32600000000000001</v>
      </c>
    </row>
    <row r="15" spans="1:3" x14ac:dyDescent="0.2">
      <c r="A15" t="s">
        <v>12</v>
      </c>
      <c r="B15" s="5">
        <v>1066000000</v>
      </c>
    </row>
    <row r="16" spans="1:3" x14ac:dyDescent="0.2">
      <c r="A16" t="s">
        <v>8</v>
      </c>
      <c r="B16" s="1">
        <v>0.3856</v>
      </c>
      <c r="C16">
        <v>4.5849999999999998E-4</v>
      </c>
    </row>
    <row r="17" spans="1:3" x14ac:dyDescent="0.2">
      <c r="A17" t="s">
        <v>9</v>
      </c>
      <c r="B17" s="1">
        <v>0.13719999999999999</v>
      </c>
      <c r="C17">
        <v>5.7939999999999999E-4</v>
      </c>
    </row>
    <row r="18" spans="1:3" x14ac:dyDescent="0.2">
      <c r="B18" s="1"/>
    </row>
    <row r="19" spans="1:3" x14ac:dyDescent="0.2">
      <c r="A19" t="str">
        <f>"Person-quarter observations"</f>
        <v>Person-quarter observations</v>
      </c>
      <c r="B19" s="7">
        <v>2505000000</v>
      </c>
      <c r="C19" s="7"/>
    </row>
  </sheetData>
  <mergeCells count="2">
    <mergeCell ref="B4:C4"/>
    <mergeCell ref="B19:C19"/>
  </mergeCells>
  <pageMargins left="0.7" right="0.7" top="0.75" bottom="0.75" header="0.51180555555555496" footer="0.51180555555555496"/>
  <pageSetup firstPageNumber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cols>
    <col min="1" max="1" width="26.83203125" customWidth="1"/>
    <col min="2" max="10" width="13"/>
    <col min="11" max="1001" width="8.5"/>
  </cols>
  <sheetData>
    <row r="1" spans="1:2" x14ac:dyDescent="0.2">
      <c r="A1" t="s">
        <v>31</v>
      </c>
      <c r="B1" s="1"/>
    </row>
    <row r="2" spans="1:2" x14ac:dyDescent="0.2">
      <c r="B2" s="1"/>
    </row>
    <row r="3" spans="1:2" x14ac:dyDescent="0.2">
      <c r="B3" s="1" t="str">
        <f>"(1)"</f>
        <v>(1)</v>
      </c>
    </row>
    <row r="4" spans="1:2" x14ac:dyDescent="0.2">
      <c r="A4" t="str">
        <f>""</f>
        <v/>
      </c>
      <c r="B4" s="1"/>
    </row>
    <row r="5" spans="1:2" x14ac:dyDescent="0.2">
      <c r="B5" s="1"/>
    </row>
    <row r="6" spans="1:2" x14ac:dyDescent="0.2">
      <c r="A6" t="s">
        <v>0</v>
      </c>
      <c r="B6" s="2" t="s">
        <v>1</v>
      </c>
    </row>
    <row r="7" spans="1:2" x14ac:dyDescent="0.2">
      <c r="B7" s="1"/>
    </row>
    <row r="8" spans="1:2" x14ac:dyDescent="0.2">
      <c r="A8" t="str">
        <f>"psi_j_loc"</f>
        <v>psi_j_loc</v>
      </c>
      <c r="B8" s="4" t="str">
        <f>"0.963"</f>
        <v>0.963</v>
      </c>
    </row>
    <row r="9" spans="1:2" x14ac:dyDescent="0.2">
      <c r="A9" t="str">
        <f>""</f>
        <v/>
      </c>
      <c r="B9" s="1" t="str">
        <f>"(0.00659)"</f>
        <v>(0.00659)</v>
      </c>
    </row>
    <row r="10" spans="1:2" x14ac:dyDescent="0.2">
      <c r="B10" s="1"/>
    </row>
  </sheetData>
  <pageMargins left="0.7" right="0.7" top="0.75" bottom="0.75" header="0.51180555555555496" footer="0.51180555555555496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H10" sqref="H10"/>
    </sheetView>
  </sheetViews>
  <sheetFormatPr baseColWidth="10" defaultColWidth="8.83203125" defaultRowHeight="15" x14ac:dyDescent="0.2"/>
  <cols>
    <col min="2" max="4" width="14.5" style="1" customWidth="1"/>
  </cols>
  <sheetData>
    <row r="1" spans="1:11" x14ac:dyDescent="0.2">
      <c r="A1" t="s">
        <v>28</v>
      </c>
    </row>
    <row r="3" spans="1:11" x14ac:dyDescent="0.2">
      <c r="B3" s="1" t="s">
        <v>27</v>
      </c>
      <c r="C3" s="1" t="s">
        <v>26</v>
      </c>
      <c r="D3" s="1" t="s">
        <v>13</v>
      </c>
      <c r="F3" t="s">
        <v>32</v>
      </c>
    </row>
    <row r="4" spans="1:11" x14ac:dyDescent="0.2">
      <c r="B4" s="3" t="s">
        <v>14</v>
      </c>
      <c r="C4" s="1">
        <v>0.40600000000000014</v>
      </c>
      <c r="D4" s="1">
        <v>7.7710000000000029E-2</v>
      </c>
    </row>
    <row r="5" spans="1:11" x14ac:dyDescent="0.2">
      <c r="B5" s="3" t="s">
        <v>15</v>
      </c>
      <c r="C5" s="1">
        <v>0.27400000000000008</v>
      </c>
      <c r="D5" s="1">
        <v>4.2630000000000015E-2</v>
      </c>
      <c r="F5">
        <f>C5/$C$4</f>
        <v>0.67487684729064035</v>
      </c>
    </row>
    <row r="6" spans="1:11" x14ac:dyDescent="0.2">
      <c r="B6" s="3" t="s">
        <v>16</v>
      </c>
      <c r="C6" s="1">
        <v>4.3980000000000019E-2</v>
      </c>
      <c r="D6" s="1">
        <v>7.6180000000000032E-3</v>
      </c>
      <c r="F6">
        <f t="shared" ref="F6:F14" si="0">C6/$C$4</f>
        <v>0.10832512315270937</v>
      </c>
    </row>
    <row r="7" spans="1:11" x14ac:dyDescent="0.2">
      <c r="B7" s="3" t="s">
        <v>17</v>
      </c>
      <c r="C7" s="1">
        <v>1.8740000000000007E-2</v>
      </c>
      <c r="D7" s="1">
        <v>4.2740000000000018E-3</v>
      </c>
      <c r="F7">
        <f t="shared" si="0"/>
        <v>4.6157635467980296E-2</v>
      </c>
    </row>
    <row r="8" spans="1:11" x14ac:dyDescent="0.2">
      <c r="B8" s="3" t="s">
        <v>18</v>
      </c>
      <c r="C8" s="1">
        <v>4.9160000000000023E-2</v>
      </c>
      <c r="D8" s="1">
        <v>9.3550000000000039E-3</v>
      </c>
      <c r="F8">
        <f t="shared" si="0"/>
        <v>0.12108374384236455</v>
      </c>
      <c r="H8" t="s">
        <v>35</v>
      </c>
      <c r="J8" t="s">
        <v>33</v>
      </c>
      <c r="K8" t="s">
        <v>34</v>
      </c>
    </row>
    <row r="9" spans="1:11" x14ac:dyDescent="0.2">
      <c r="B9" s="3" t="s">
        <v>19</v>
      </c>
      <c r="C9" s="1">
        <v>2.8880000000000013E-2</v>
      </c>
      <c r="D9" s="1">
        <v>1.9080000000000007E-2</v>
      </c>
      <c r="F9">
        <f t="shared" si="0"/>
        <v>7.1133004926108384E-2</v>
      </c>
      <c r="H9">
        <f>C9/(2*C6)</f>
        <v>0.328331059572533</v>
      </c>
      <c r="J9">
        <f>+C9/2</f>
        <v>1.4440000000000007E-2</v>
      </c>
      <c r="K9">
        <f>+J9/SQRT(C5*C6)</f>
        <v>0.13154195717405229</v>
      </c>
    </row>
    <row r="10" spans="1:11" x14ac:dyDescent="0.2">
      <c r="B10" s="3" t="s">
        <v>20</v>
      </c>
      <c r="C10" s="1">
        <v>-1.0060000000000005E-2</v>
      </c>
      <c r="D10" s="1">
        <v>1.8180000000000006E-3</v>
      </c>
      <c r="F10">
        <f t="shared" si="0"/>
        <v>-2.4778325123152714E-2</v>
      </c>
    </row>
    <row r="11" spans="1:11" x14ac:dyDescent="0.2">
      <c r="B11" s="3" t="s">
        <v>21</v>
      </c>
      <c r="C11" s="1">
        <v>0</v>
      </c>
      <c r="D11" s="1">
        <v>0</v>
      </c>
      <c r="F11">
        <f t="shared" si="0"/>
        <v>0</v>
      </c>
    </row>
    <row r="12" spans="1:11" x14ac:dyDescent="0.2">
      <c r="B12" s="3" t="s">
        <v>22</v>
      </c>
      <c r="C12" s="1">
        <v>1.3130000000000006E-3</v>
      </c>
      <c r="D12" s="1">
        <v>1.5130000000000007E-3</v>
      </c>
      <c r="F12">
        <f t="shared" si="0"/>
        <v>3.2339901477832517E-3</v>
      </c>
    </row>
    <row r="13" spans="1:11" x14ac:dyDescent="0.2">
      <c r="B13" s="3" t="s">
        <v>23</v>
      </c>
      <c r="C13" s="1">
        <v>0</v>
      </c>
      <c r="D13" s="1">
        <v>0</v>
      </c>
      <c r="F13">
        <f t="shared" si="0"/>
        <v>0</v>
      </c>
    </row>
    <row r="14" spans="1:11" x14ac:dyDescent="0.2">
      <c r="B14" s="3" t="s">
        <v>24</v>
      </c>
      <c r="C14" s="1">
        <v>0</v>
      </c>
      <c r="D14" s="1">
        <v>0</v>
      </c>
      <c r="F14">
        <f t="shared" si="0"/>
        <v>0</v>
      </c>
    </row>
    <row r="15" spans="1:11" x14ac:dyDescent="0.2">
      <c r="B15" s="3" t="s">
        <v>25</v>
      </c>
      <c r="C15" s="4">
        <v>7.9290000000000038E-3</v>
      </c>
      <c r="D15" s="1">
        <v>1.6620000000000007E-3</v>
      </c>
    </row>
    <row r="16" spans="1:11" x14ac:dyDescent="0.2">
      <c r="F16">
        <f>+SUM(F5:F14)</f>
        <v>1.0000320197044335</v>
      </c>
    </row>
    <row r="17" spans="3:3" x14ac:dyDescent="0.2">
      <c r="C17" s="1">
        <f>C15^0.5</f>
        <v>8.9044932477935004E-2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cp:revision>9</cp:revision>
  <dcterms:created xsi:type="dcterms:W3CDTF">2023-06-06T16:00:25Z</dcterms:created>
  <dcterms:modified xsi:type="dcterms:W3CDTF">2023-09-29T21:05:28Z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