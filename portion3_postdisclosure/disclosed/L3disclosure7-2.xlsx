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industry-effects/replication/v3/portion3_postdisclosure/disclosed/"/>
    </mc:Choice>
  </mc:AlternateContent>
  <xr:revisionPtr revIDLastSave="0" documentId="8_{E3CE4216-6FC3-C04C-8D54-92B1446A8C46}" xr6:coauthVersionLast="47" xr6:coauthVersionMax="47" xr10:uidLastSave="{00000000-0000-0000-0000-000000000000}"/>
  <bookViews>
    <workbookView xWindow="12780" yWindow="8500" windowWidth="26840" windowHeight="15940" xr2:uid="{4142AE9D-0528-1446-B0C2-3BAF06F6EAEC}"/>
  </bookViews>
  <sheets>
    <sheet name="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A18" i="1"/>
  <c r="B23" i="1"/>
  <c r="B24" i="1"/>
  <c r="B26" i="1"/>
  <c r="B28" i="1"/>
</calcChain>
</file>

<file path=xl/sharedStrings.xml><?xml version="1.0" encoding="utf-8"?>
<sst xmlns="http://schemas.openxmlformats.org/spreadsheetml/2006/main" count="21" uniqueCount="20">
  <si>
    <t>correl (pe,fe)</t>
  </si>
  <si>
    <t>cov(pe,fe)/var(fe)</t>
  </si>
  <si>
    <t>sum of covariance shares</t>
  </si>
  <si>
    <t>sum of variance shares</t>
  </si>
  <si>
    <t>cov(xb,r)  - variance share</t>
  </si>
  <si>
    <t>cov(fe,r)  - variance share</t>
  </si>
  <si>
    <t>cov(fe,xb)  - variance share</t>
  </si>
  <si>
    <t>cov(pe,r)  - variance share</t>
  </si>
  <si>
    <t>cov(pe,xb)   - variance share</t>
  </si>
  <si>
    <t>cov(pe,fe)  - variance share</t>
  </si>
  <si>
    <t>r  - variance share</t>
  </si>
  <si>
    <t>xb  - variance share</t>
  </si>
  <si>
    <t>fe  - variance share</t>
  </si>
  <si>
    <t>pe - variance share</t>
  </si>
  <si>
    <t>y (sd)</t>
  </si>
  <si>
    <t>SD &amp; Var%</t>
  </si>
  <si>
    <t>CZ</t>
  </si>
  <si>
    <t>Person-quarter</t>
  </si>
  <si>
    <t>Sample 8</t>
  </si>
  <si>
    <t>Output 2: Main decomposition AKM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</si>
</sst>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764E-F6A4-B342-A7A5-20FB5EF64446}">
  <dimension ref="A1:G28"/>
  <sheetViews>
    <sheetView tabSelected="1" zoomScale="85" zoomScaleNormal="85" workbookViewId="0">
      <selection activeCell="G10" sqref="G10"/>
    </sheetView>
  </sheetViews>
  <sheetFormatPr baseColWidth="10" defaultColWidth="9.1640625" defaultRowHeight="15" x14ac:dyDescent="0.2"/>
  <cols>
    <col min="1" max="1" width="41" style="1" customWidth="1"/>
    <col min="2" max="3" width="16.33203125" style="1" customWidth="1"/>
    <col min="4" max="16384" width="9.1640625" style="1"/>
  </cols>
  <sheetData>
    <row r="1" spans="1:7" x14ac:dyDescent="0.2">
      <c r="A1" s="8" t="s">
        <v>19</v>
      </c>
      <c r="B1" s="5"/>
      <c r="C1" s="5"/>
    </row>
    <row r="2" spans="1:7" x14ac:dyDescent="0.2">
      <c r="B2" s="5"/>
      <c r="C2" s="5"/>
    </row>
    <row r="3" spans="1:7" x14ac:dyDescent="0.2">
      <c r="B3" s="7" t="s">
        <v>18</v>
      </c>
      <c r="C3" s="7"/>
    </row>
    <row r="4" spans="1:7" x14ac:dyDescent="0.2">
      <c r="B4" s="5" t="s">
        <v>17</v>
      </c>
      <c r="C4" s="5" t="s">
        <v>16</v>
      </c>
    </row>
    <row r="5" spans="1:7" x14ac:dyDescent="0.2">
      <c r="B5" s="5"/>
      <c r="C5" s="5"/>
    </row>
    <row r="6" spans="1:7" x14ac:dyDescent="0.2">
      <c r="B6" s="6" t="s">
        <v>15</v>
      </c>
      <c r="C6" s="6" t="s">
        <v>15</v>
      </c>
    </row>
    <row r="7" spans="1:7" x14ac:dyDescent="0.2">
      <c r="A7" s="1" t="s">
        <v>14</v>
      </c>
      <c r="B7" s="5">
        <v>0.65259999999999996</v>
      </c>
      <c r="C7" s="5">
        <v>0.1467</v>
      </c>
    </row>
    <row r="8" spans="1:7" x14ac:dyDescent="0.2">
      <c r="A8" s="1" t="s">
        <v>13</v>
      </c>
      <c r="B8" s="4">
        <v>0.64439999999999997</v>
      </c>
      <c r="C8" s="4">
        <v>0.30330000000000001</v>
      </c>
    </row>
    <row r="9" spans="1:7" x14ac:dyDescent="0.2">
      <c r="A9" s="1" t="s">
        <v>12</v>
      </c>
      <c r="B9" s="4">
        <v>0.1166</v>
      </c>
      <c r="C9" s="4">
        <v>0.29260000000000003</v>
      </c>
      <c r="F9" s="1">
        <f>B9*B7^2</f>
        <v>4.9658396215999989E-2</v>
      </c>
      <c r="G9" s="1">
        <f>F9^0.5</f>
        <v>0.22284163932263645</v>
      </c>
    </row>
    <row r="10" spans="1:7" x14ac:dyDescent="0.2">
      <c r="A10" s="1" t="s">
        <v>11</v>
      </c>
      <c r="B10" s="4">
        <v>4.2590000000000003E-2</v>
      </c>
      <c r="C10" s="4">
        <v>1.5280000000000001E-3</v>
      </c>
    </row>
    <row r="11" spans="1:7" x14ac:dyDescent="0.2">
      <c r="A11" s="1" t="s">
        <v>10</v>
      </c>
      <c r="B11" s="4">
        <v>0.1265</v>
      </c>
      <c r="C11" s="4"/>
    </row>
    <row r="12" spans="1:7" x14ac:dyDescent="0.2">
      <c r="A12" s="1" t="s">
        <v>9</v>
      </c>
      <c r="B12" s="4">
        <v>0.1</v>
      </c>
      <c r="C12" s="4">
        <v>0.38240000000000002</v>
      </c>
    </row>
    <row r="13" spans="1:7" x14ac:dyDescent="0.2">
      <c r="A13" s="1" t="s">
        <v>8</v>
      </c>
      <c r="B13" s="4">
        <v>-3.3099999999999997E-2</v>
      </c>
      <c r="C13" s="4">
        <v>9.7990000000000004E-3</v>
      </c>
    </row>
    <row r="14" spans="1:7" x14ac:dyDescent="0.2">
      <c r="A14" s="1" t="s">
        <v>7</v>
      </c>
      <c r="B14" s="4">
        <v>0</v>
      </c>
      <c r="C14" s="4"/>
    </row>
    <row r="15" spans="1:7" x14ac:dyDescent="0.2">
      <c r="A15" s="1" t="s">
        <v>6</v>
      </c>
      <c r="B15" s="4">
        <v>2.885E-3</v>
      </c>
      <c r="C15" s="4">
        <v>1.0370000000000001E-2</v>
      </c>
    </row>
    <row r="16" spans="1:7" x14ac:dyDescent="0.2">
      <c r="A16" s="1" t="s">
        <v>5</v>
      </c>
      <c r="B16" s="4">
        <v>0</v>
      </c>
      <c r="C16" s="4"/>
    </row>
    <row r="17" spans="1:3" x14ac:dyDescent="0.2">
      <c r="A17" s="1" t="s">
        <v>4</v>
      </c>
      <c r="B17" s="4">
        <v>1.8599999999999999E-4</v>
      </c>
      <c r="C17" s="4"/>
    </row>
    <row r="18" spans="1:3" x14ac:dyDescent="0.2">
      <c r="A18" s="1" t="str">
        <f>"Number of Person-quarter observations"</f>
        <v>Number of Person-quarter observations</v>
      </c>
      <c r="B18" s="3">
        <v>2523000000</v>
      </c>
      <c r="C18" s="3"/>
    </row>
    <row r="23" spans="1:3" x14ac:dyDescent="0.2">
      <c r="A23" s="1" t="s">
        <v>3</v>
      </c>
      <c r="B23" s="2">
        <f>+B8+B9+B10+B11</f>
        <v>0.93009000000000008</v>
      </c>
    </row>
    <row r="24" spans="1:3" x14ac:dyDescent="0.2">
      <c r="A24" s="1" t="s">
        <v>2</v>
      </c>
      <c r="B24" s="2">
        <f>+SUM(B12:B17)</f>
        <v>6.9971000000000019E-2</v>
      </c>
    </row>
    <row r="26" spans="1:3" x14ac:dyDescent="0.2">
      <c r="A26" s="1" t="s">
        <v>1</v>
      </c>
      <c r="B26" s="1">
        <f>+B12/(2*B9)</f>
        <v>0.42881646655231564</v>
      </c>
    </row>
    <row r="28" spans="1:3" x14ac:dyDescent="0.2">
      <c r="A28" s="1" t="s">
        <v>0</v>
      </c>
      <c r="B28" s="1">
        <f>+B12/(2*SQRT(B8*B9))</f>
        <v>0.18240761429379052</v>
      </c>
    </row>
  </sheetData>
  <mergeCells count="2">
    <mergeCell ref="B3:C3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Rothstein</dc:creator>
  <cp:lastModifiedBy>Jesse Rothstein</cp:lastModifiedBy>
  <dcterms:created xsi:type="dcterms:W3CDTF">2023-10-06T16:26:55Z</dcterms:created>
  <dcterms:modified xsi:type="dcterms:W3CDTF">2023-10-06T16:27:30Z</dcterms:modified>
</cp:coreProperties>
</file>