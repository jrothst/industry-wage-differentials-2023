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isesyi/Library/CloudStorage/Dropbox/projects/puerto rico/industry-effects/replication/v2/postdisclosure/disclosed/"/>
    </mc:Choice>
  </mc:AlternateContent>
  <xr:revisionPtr revIDLastSave="0" documentId="13_ncr:1_{62989436-90D3-5146-99C8-871D516C8917}" xr6:coauthVersionLast="47" xr6:coauthVersionMax="47" xr10:uidLastSave="{00000000-0000-0000-0000-000000000000}"/>
  <bookViews>
    <workbookView xWindow="22500" yWindow="3860" windowWidth="14100" windowHeight="14800" tabRatio="986" xr2:uid="{00000000-000D-0000-FFFF-FFFF00000000}"/>
  </bookViews>
  <sheets>
    <sheet name="1" sheetId="10" r:id="rId1"/>
    <sheet name="2" sheetId="12" r:id="rId2"/>
    <sheet name="3" sheetId="1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7" i="10" l="1"/>
  <c r="E17" i="10"/>
  <c r="F16" i="10"/>
  <c r="E16" i="10"/>
  <c r="D17" i="10"/>
  <c r="C17" i="10"/>
  <c r="D16" i="10"/>
  <c r="C16" i="10"/>
  <c r="A10" i="10"/>
  <c r="A7" i="10"/>
  <c r="B4" i="10" l="1"/>
  <c r="A13" i="10"/>
  <c r="A14" i="10"/>
  <c r="A11" i="10"/>
  <c r="A8" i="10"/>
</calcChain>
</file>

<file path=xl/sharedStrings.xml><?xml version="1.0" encoding="utf-8"?>
<sst xmlns="http://schemas.openxmlformats.org/spreadsheetml/2006/main" count="34" uniqueCount="29">
  <si>
    <t>Dependent variable:</t>
  </si>
  <si>
    <t>Regression coefficients of AKM components on  d_psi_j - Sample 4</t>
  </si>
  <si>
    <t>Variables</t>
  </si>
  <si>
    <t>Quartile of origin</t>
  </si>
  <si>
    <t>Quartile of destination</t>
  </si>
  <si>
    <t>Event time</t>
  </si>
  <si>
    <t>y_m_xb</t>
  </si>
  <si>
    <t>akm_res</t>
  </si>
  <si>
    <t>df_m_psij</t>
  </si>
  <si>
    <t>Person-quarter observations</t>
  </si>
  <si>
    <t>Output 2 - event study means of AKM components for movers from different quartiles of psi_j</t>
  </si>
  <si>
    <t>Vigintile of origin</t>
  </si>
  <si>
    <t>Vigintile of destination</t>
  </si>
  <si>
    <t>d_y_m_xb</t>
  </si>
  <si>
    <t>d_akm_res</t>
  </si>
  <si>
    <t>d_df_m_psij</t>
  </si>
  <si>
    <t>Output 3 - vigintile means for change in AKM components (movers from and to different quantiles of psi_j)</t>
  </si>
  <si>
    <t>0.516***</t>
  </si>
  <si>
    <t>(0.00870)</t>
  </si>
  <si>
    <t>-0.0933***</t>
  </si>
  <si>
    <t>(0.00486)</t>
  </si>
  <si>
    <t>Number of estimates requested:</t>
  </si>
  <si>
    <t>industry movers (3-digit NAICS)</t>
  </si>
  <si>
    <t>industry Stayers (3-digit NAICS)</t>
  </si>
  <si>
    <t>Sample 4</t>
  </si>
  <si>
    <t>industry movers (2-digit NAICS)</t>
  </si>
  <si>
    <t>industry Stayers (2-digit NAICS)</t>
  </si>
  <si>
    <t>IGNORE</t>
  </si>
  <si>
    <t>(0.00437)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</si>
</sst>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3" fontId="0" fillId="0" borderId="0" xfId="0" applyNumberFormat="1"/>
    <xf numFmtId="3" fontId="0" fillId="0" borderId="0" xfId="0" applyNumberFormat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</cellXfs>
  <cellStyles count="2">
    <cellStyle name="Normal" xfId="0" builtinId="0"/>
    <cellStyle name="Normal 2" xfId="1" xr:uid="{B76B3E0D-C726-4759-8667-4D67F97388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D0206-0514-4B92-8955-46D81DDA1E4A}">
  <dimension ref="A1:F17"/>
  <sheetViews>
    <sheetView tabSelected="1" workbookViewId="0">
      <selection activeCell="B11" sqref="B11"/>
    </sheetView>
  </sheetViews>
  <sheetFormatPr baseColWidth="10" defaultColWidth="8.83203125" defaultRowHeight="15" x14ac:dyDescent="0.2"/>
  <cols>
    <col min="1" max="1" width="26.83203125" bestFit="1" customWidth="1"/>
    <col min="2" max="3" width="12.6640625" style="1" customWidth="1"/>
    <col min="4" max="4" width="12.6640625" style="2" customWidth="1"/>
    <col min="5" max="5" width="12.6640625" style="1" customWidth="1"/>
    <col min="6" max="6" width="12.6640625" style="2" customWidth="1"/>
  </cols>
  <sheetData>
    <row r="1" spans="1:6" x14ac:dyDescent="0.2">
      <c r="A1" t="s">
        <v>1</v>
      </c>
    </row>
    <row r="2" spans="1:6" x14ac:dyDescent="0.2">
      <c r="D2" s="2" t="s">
        <v>27</v>
      </c>
      <c r="F2" s="2" t="s">
        <v>27</v>
      </c>
    </row>
    <row r="3" spans="1:6" x14ac:dyDescent="0.2">
      <c r="C3" s="9" t="s">
        <v>24</v>
      </c>
      <c r="D3" s="9"/>
      <c r="E3" s="9" t="s">
        <v>24</v>
      </c>
      <c r="F3" s="9"/>
    </row>
    <row r="4" spans="1:6" s="6" customFormat="1" ht="48" x14ac:dyDescent="0.2">
      <c r="B4" s="7" t="str">
        <f>"Sample 4"</f>
        <v>Sample 4</v>
      </c>
      <c r="C4" s="3" t="s">
        <v>22</v>
      </c>
      <c r="D4" s="8" t="s">
        <v>23</v>
      </c>
      <c r="E4" s="3" t="s">
        <v>25</v>
      </c>
      <c r="F4" s="8" t="s">
        <v>26</v>
      </c>
    </row>
    <row r="5" spans="1:6" x14ac:dyDescent="0.2">
      <c r="A5" t="s">
        <v>0</v>
      </c>
    </row>
    <row r="7" spans="1:6" x14ac:dyDescent="0.2">
      <c r="A7" t="str">
        <f>"d_y_m_xb_t4"</f>
        <v>d_y_m_xb_t4</v>
      </c>
      <c r="B7" s="1" t="s">
        <v>17</v>
      </c>
    </row>
    <row r="8" spans="1:6" x14ac:dyDescent="0.2">
      <c r="A8" t="str">
        <f>""</f>
        <v/>
      </c>
      <c r="B8" s="1" t="s">
        <v>18</v>
      </c>
    </row>
    <row r="9" spans="1:6" x14ac:dyDescent="0.2">
      <c r="B9" s="2"/>
    </row>
    <row r="10" spans="1:6" x14ac:dyDescent="0.2">
      <c r="A10" t="str">
        <f>"d_akm_res_t4"</f>
        <v>d_akm_res_t4</v>
      </c>
      <c r="B10" s="1" t="s">
        <v>19</v>
      </c>
    </row>
    <row r="11" spans="1:6" x14ac:dyDescent="0.2">
      <c r="A11" t="str">
        <f>""</f>
        <v/>
      </c>
      <c r="B11" s="1" t="s">
        <v>20</v>
      </c>
    </row>
    <row r="12" spans="1:6" x14ac:dyDescent="0.2">
      <c r="B12" s="2"/>
    </row>
    <row r="13" spans="1:6" x14ac:dyDescent="0.2">
      <c r="A13" t="str">
        <f>"d_match"</f>
        <v>d_match</v>
      </c>
      <c r="B13" s="1">
        <v>-7.1900000000000006E-2</v>
      </c>
    </row>
    <row r="14" spans="1:6" x14ac:dyDescent="0.2">
      <c r="A14" t="str">
        <f>""</f>
        <v/>
      </c>
      <c r="B14" s="10" t="s">
        <v>28</v>
      </c>
    </row>
    <row r="16" spans="1:6" x14ac:dyDescent="0.2">
      <c r="A16" t="s">
        <v>15</v>
      </c>
      <c r="C16" s="1" t="str">
        <f>"-0.368***"</f>
        <v>-0.368***</v>
      </c>
      <c r="D16" s="2" t="str">
        <f>"0.601***"</f>
        <v>0.601***</v>
      </c>
      <c r="E16" s="1" t="str">
        <f>"-0.393***"</f>
        <v>-0.393***</v>
      </c>
      <c r="F16" s="2" t="str">
        <f>"0.0458"</f>
        <v>0.0458</v>
      </c>
    </row>
    <row r="17" spans="3:6" x14ac:dyDescent="0.2">
      <c r="C17" s="1" t="str">
        <f>"(0.00963)"</f>
        <v>(0.00963)</v>
      </c>
      <c r="D17" s="2" t="str">
        <f>"(0.124)"</f>
        <v>(0.124)</v>
      </c>
      <c r="E17" s="1" t="str">
        <f>"(0.0110)"</f>
        <v>(0.0110)</v>
      </c>
      <c r="F17" s="2" t="str">
        <f>"(0.464)"</f>
        <v>(0.464)</v>
      </c>
    </row>
  </sheetData>
  <mergeCells count="2">
    <mergeCell ref="C3:D3"/>
    <mergeCell ref="E3:F3"/>
  </mergeCells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44539-D998-4EAA-B410-2379946235CA}">
  <dimension ref="A1:F165"/>
  <sheetViews>
    <sheetView zoomScale="85" zoomScaleNormal="85" workbookViewId="0">
      <selection activeCell="B3" sqref="B3"/>
    </sheetView>
  </sheetViews>
  <sheetFormatPr baseColWidth="10" defaultColWidth="8.83203125" defaultRowHeight="15" x14ac:dyDescent="0.2"/>
  <cols>
    <col min="1" max="6" width="12.5" customWidth="1"/>
  </cols>
  <sheetData>
    <row r="1" spans="1:6" x14ac:dyDescent="0.2">
      <c r="A1" t="s">
        <v>10</v>
      </c>
    </row>
    <row r="2" spans="1:6" x14ac:dyDescent="0.2">
      <c r="A2" t="s">
        <v>21</v>
      </c>
      <c r="B2">
        <v>480</v>
      </c>
    </row>
    <row r="4" spans="1:6" x14ac:dyDescent="0.2">
      <c r="D4" s="9" t="s">
        <v>2</v>
      </c>
      <c r="E4" s="9"/>
      <c r="F4" s="9"/>
    </row>
    <row r="5" spans="1:6" ht="42" customHeight="1" x14ac:dyDescent="0.2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</row>
    <row r="6" spans="1:6" x14ac:dyDescent="0.2">
      <c r="A6" s="1">
        <v>1</v>
      </c>
      <c r="B6" s="1">
        <v>1</v>
      </c>
      <c r="C6" s="1">
        <v>-5</v>
      </c>
      <c r="D6" s="1">
        <v>9.3670000000000027</v>
      </c>
      <c r="E6" s="1">
        <v>8.8020000000000025E-3</v>
      </c>
      <c r="F6" s="1">
        <v>7.5340000000000032E-4</v>
      </c>
    </row>
    <row r="7" spans="1:6" x14ac:dyDescent="0.2">
      <c r="A7" s="1">
        <v>1</v>
      </c>
      <c r="B7" s="1">
        <v>1</v>
      </c>
      <c r="C7" s="1">
        <v>-4</v>
      </c>
      <c r="D7" s="1">
        <v>9.3700000000000028</v>
      </c>
      <c r="E7" s="1">
        <v>1.2530000000000005E-2</v>
      </c>
      <c r="F7" s="1">
        <v>7.5340000000000032E-4</v>
      </c>
    </row>
    <row r="8" spans="1:6" x14ac:dyDescent="0.2">
      <c r="A8" s="1">
        <v>1</v>
      </c>
      <c r="B8" s="1">
        <v>1</v>
      </c>
      <c r="C8" s="1">
        <v>-3</v>
      </c>
      <c r="D8" s="1">
        <v>9.3570000000000029</v>
      </c>
      <c r="E8" s="1">
        <v>-6.2420000000000032E-4</v>
      </c>
      <c r="F8" s="1">
        <v>7.5340000000000032E-4</v>
      </c>
    </row>
    <row r="9" spans="1:6" x14ac:dyDescent="0.2">
      <c r="A9" s="1">
        <v>1</v>
      </c>
      <c r="B9" s="1">
        <v>1</v>
      </c>
      <c r="C9" s="1">
        <v>-2</v>
      </c>
      <c r="D9" s="1">
        <v>9.3620000000000019</v>
      </c>
      <c r="E9" s="1">
        <v>4.5380000000000021E-3</v>
      </c>
      <c r="F9" s="1">
        <v>7.5340000000000032E-4</v>
      </c>
    </row>
    <row r="10" spans="1:6" x14ac:dyDescent="0.2">
      <c r="A10" s="1">
        <v>1</v>
      </c>
      <c r="B10" s="1">
        <v>1</v>
      </c>
      <c r="C10" s="1">
        <v>-1</v>
      </c>
      <c r="D10" s="1">
        <v>9.3520000000000021</v>
      </c>
      <c r="E10" s="1">
        <v>-5.7150000000000022E-3</v>
      </c>
      <c r="F10" s="1">
        <v>7.5340000000000032E-4</v>
      </c>
    </row>
    <row r="11" spans="1:6" x14ac:dyDescent="0.2">
      <c r="A11" s="1">
        <v>1</v>
      </c>
      <c r="B11" s="1">
        <v>1</v>
      </c>
      <c r="C11" s="1">
        <v>0</v>
      </c>
      <c r="D11" s="1">
        <v>9.3240000000000016</v>
      </c>
      <c r="E11" s="1">
        <v>-3.8530000000000016E-2</v>
      </c>
      <c r="F11" s="1">
        <v>-3.1850000000000012E-3</v>
      </c>
    </row>
    <row r="12" spans="1:6" x14ac:dyDescent="0.2">
      <c r="A12" s="1">
        <v>1</v>
      </c>
      <c r="B12" s="1">
        <v>1</v>
      </c>
      <c r="C12" s="1">
        <v>1</v>
      </c>
      <c r="D12" s="1">
        <v>9.349000000000002</v>
      </c>
      <c r="E12" s="1">
        <v>-1.2980000000000005E-2</v>
      </c>
      <c r="F12" s="1">
        <v>-3.1850000000000012E-3</v>
      </c>
    </row>
    <row r="13" spans="1:6" x14ac:dyDescent="0.2">
      <c r="A13" s="1">
        <v>1</v>
      </c>
      <c r="B13" s="1">
        <v>1</v>
      </c>
      <c r="C13" s="1">
        <v>2</v>
      </c>
      <c r="D13" s="1">
        <v>9.349000000000002</v>
      </c>
      <c r="E13" s="1">
        <v>-1.3340000000000006E-2</v>
      </c>
      <c r="F13" s="1">
        <v>-3.1850000000000012E-3</v>
      </c>
    </row>
    <row r="14" spans="1:6" x14ac:dyDescent="0.2">
      <c r="A14" s="1">
        <v>1</v>
      </c>
      <c r="B14" s="1">
        <v>1</v>
      </c>
      <c r="C14" s="1">
        <v>3</v>
      </c>
      <c r="D14" s="1">
        <v>9.3550000000000022</v>
      </c>
      <c r="E14" s="1">
        <v>-7.4440000000000027E-3</v>
      </c>
      <c r="F14" s="1">
        <v>-3.1850000000000012E-3</v>
      </c>
    </row>
    <row r="15" spans="1:6" x14ac:dyDescent="0.2">
      <c r="A15" s="1">
        <v>1</v>
      </c>
      <c r="B15" s="1">
        <v>1</v>
      </c>
      <c r="C15" s="1">
        <v>4</v>
      </c>
      <c r="D15" s="1">
        <v>9.3570000000000029</v>
      </c>
      <c r="E15" s="1">
        <v>-5.563000000000002E-3</v>
      </c>
      <c r="F15" s="1">
        <v>-3.1850000000000012E-3</v>
      </c>
    </row>
    <row r="16" spans="1:6" x14ac:dyDescent="0.2">
      <c r="A16" s="1">
        <v>1</v>
      </c>
      <c r="B16" s="1">
        <v>2</v>
      </c>
      <c r="C16" s="1">
        <v>-5</v>
      </c>
      <c r="D16" s="1">
        <v>9.4350000000000023</v>
      </c>
      <c r="E16" s="1">
        <v>8.9420000000000038E-3</v>
      </c>
      <c r="F16" s="1">
        <v>1.8110000000000008E-2</v>
      </c>
    </row>
    <row r="17" spans="1:6" x14ac:dyDescent="0.2">
      <c r="A17" s="1">
        <v>1</v>
      </c>
      <c r="B17" s="1">
        <v>2</v>
      </c>
      <c r="C17" s="1">
        <v>-4</v>
      </c>
      <c r="D17" s="1">
        <v>9.4410000000000025</v>
      </c>
      <c r="E17" s="1">
        <v>1.5060000000000006E-2</v>
      </c>
      <c r="F17" s="1">
        <v>1.8110000000000008E-2</v>
      </c>
    </row>
    <row r="18" spans="1:6" x14ac:dyDescent="0.2">
      <c r="A18" s="1">
        <v>1</v>
      </c>
      <c r="B18" s="1">
        <v>2</v>
      </c>
      <c r="C18" s="1">
        <v>-3</v>
      </c>
      <c r="D18" s="1">
        <v>9.4310000000000027</v>
      </c>
      <c r="E18" s="1">
        <v>5.1620000000000017E-3</v>
      </c>
      <c r="F18" s="1">
        <v>1.8110000000000008E-2</v>
      </c>
    </row>
    <row r="19" spans="1:6" x14ac:dyDescent="0.2">
      <c r="A19" s="1">
        <v>1</v>
      </c>
      <c r="B19" s="1">
        <v>2</v>
      </c>
      <c r="C19" s="1">
        <v>-2</v>
      </c>
      <c r="D19" s="1">
        <v>9.4320000000000022</v>
      </c>
      <c r="E19" s="1">
        <v>5.8890000000000019E-3</v>
      </c>
      <c r="F19" s="1">
        <v>1.8110000000000008E-2</v>
      </c>
    </row>
    <row r="20" spans="1:6" x14ac:dyDescent="0.2">
      <c r="A20" s="1">
        <v>1</v>
      </c>
      <c r="B20" s="1">
        <v>2</v>
      </c>
      <c r="C20" s="1">
        <v>-1</v>
      </c>
      <c r="D20" s="1">
        <v>9.4230000000000018</v>
      </c>
      <c r="E20" s="1">
        <v>-2.7240000000000012E-3</v>
      </c>
      <c r="F20" s="1">
        <v>1.8110000000000008E-2</v>
      </c>
    </row>
    <row r="21" spans="1:6" x14ac:dyDescent="0.2">
      <c r="A21" s="1">
        <v>1</v>
      </c>
      <c r="B21" s="1">
        <v>2</v>
      </c>
      <c r="C21" s="1">
        <v>0</v>
      </c>
      <c r="D21" s="1">
        <v>9.4710000000000019</v>
      </c>
      <c r="E21" s="1">
        <v>-3.7880000000000018E-2</v>
      </c>
      <c r="F21" s="1">
        <v>-1.1810000000000005E-2</v>
      </c>
    </row>
    <row r="22" spans="1:6" x14ac:dyDescent="0.2">
      <c r="A22" s="1">
        <v>1</v>
      </c>
      <c r="B22" s="1">
        <v>2</v>
      </c>
      <c r="C22" s="1">
        <v>1</v>
      </c>
      <c r="D22" s="1">
        <v>9.4930000000000021</v>
      </c>
      <c r="E22" s="1">
        <v>-1.5370000000000007E-2</v>
      </c>
      <c r="F22" s="1">
        <v>-1.1810000000000005E-2</v>
      </c>
    </row>
    <row r="23" spans="1:6" x14ac:dyDescent="0.2">
      <c r="A23" s="1">
        <v>1</v>
      </c>
      <c r="B23" s="1">
        <v>2</v>
      </c>
      <c r="C23" s="1">
        <v>2</v>
      </c>
      <c r="D23" s="1">
        <v>9.4950000000000028</v>
      </c>
      <c r="E23" s="1">
        <v>-1.3320000000000005E-2</v>
      </c>
      <c r="F23" s="1">
        <v>-1.1810000000000005E-2</v>
      </c>
    </row>
    <row r="24" spans="1:6" x14ac:dyDescent="0.2">
      <c r="A24" s="1">
        <v>1</v>
      </c>
      <c r="B24" s="1">
        <v>2</v>
      </c>
      <c r="C24" s="1">
        <v>3</v>
      </c>
      <c r="D24" s="1">
        <v>9.5030000000000019</v>
      </c>
      <c r="E24" s="1">
        <v>-5.4700000000000018E-3</v>
      </c>
      <c r="F24" s="1">
        <v>-1.1810000000000005E-2</v>
      </c>
    </row>
    <row r="25" spans="1:6" x14ac:dyDescent="0.2">
      <c r="A25" s="1">
        <v>1</v>
      </c>
      <c r="B25" s="1">
        <v>2</v>
      </c>
      <c r="C25" s="1">
        <v>4</v>
      </c>
      <c r="D25" s="1">
        <v>9.4970000000000017</v>
      </c>
      <c r="E25" s="1">
        <v>-1.1990000000000006E-2</v>
      </c>
      <c r="F25" s="1">
        <v>-1.1810000000000005E-2</v>
      </c>
    </row>
    <row r="26" spans="1:6" x14ac:dyDescent="0.2">
      <c r="A26" s="1">
        <v>1</v>
      </c>
      <c r="B26" s="1">
        <v>3</v>
      </c>
      <c r="C26" s="1">
        <v>-5</v>
      </c>
      <c r="D26" s="1">
        <v>9.4910000000000014</v>
      </c>
      <c r="E26" s="1">
        <v>1.968000000000001E-2</v>
      </c>
      <c r="F26" s="1">
        <v>4.1250000000000016E-2</v>
      </c>
    </row>
    <row r="27" spans="1:6" x14ac:dyDescent="0.2">
      <c r="A27" s="1">
        <v>1</v>
      </c>
      <c r="B27" s="1">
        <v>3</v>
      </c>
      <c r="C27" s="1">
        <v>-4</v>
      </c>
      <c r="D27" s="1">
        <v>9.4920000000000027</v>
      </c>
      <c r="E27" s="1">
        <v>2.0650000000000009E-2</v>
      </c>
      <c r="F27" s="1">
        <v>4.1250000000000016E-2</v>
      </c>
    </row>
    <row r="28" spans="1:6" x14ac:dyDescent="0.2">
      <c r="A28" s="1">
        <v>1</v>
      </c>
      <c r="B28" s="1">
        <v>3</v>
      </c>
      <c r="C28" s="1">
        <v>-3</v>
      </c>
      <c r="D28" s="1">
        <v>9.4880000000000031</v>
      </c>
      <c r="E28" s="1">
        <v>1.6400000000000008E-2</v>
      </c>
      <c r="F28" s="1">
        <v>4.1250000000000016E-2</v>
      </c>
    </row>
    <row r="29" spans="1:6" x14ac:dyDescent="0.2">
      <c r="A29" s="1">
        <v>1</v>
      </c>
      <c r="B29" s="1">
        <v>3</v>
      </c>
      <c r="C29" s="1">
        <v>-2</v>
      </c>
      <c r="D29" s="1">
        <v>9.4880000000000031</v>
      </c>
      <c r="E29" s="1">
        <v>1.6550000000000006E-2</v>
      </c>
      <c r="F29" s="1">
        <v>4.1250000000000016E-2</v>
      </c>
    </row>
    <row r="30" spans="1:6" x14ac:dyDescent="0.2">
      <c r="A30" s="1">
        <v>1</v>
      </c>
      <c r="B30" s="1">
        <v>3</v>
      </c>
      <c r="C30" s="1">
        <v>-1</v>
      </c>
      <c r="D30" s="1">
        <v>9.4880000000000031</v>
      </c>
      <c r="E30" s="1">
        <v>1.6210000000000006E-2</v>
      </c>
      <c r="F30" s="1">
        <v>4.1250000000000016E-2</v>
      </c>
    </row>
    <row r="31" spans="1:6" x14ac:dyDescent="0.2">
      <c r="A31" s="1">
        <v>1</v>
      </c>
      <c r="B31" s="1">
        <v>3</v>
      </c>
      <c r="C31" s="1">
        <v>0</v>
      </c>
      <c r="D31" s="1">
        <v>9.5410000000000021</v>
      </c>
      <c r="E31" s="1">
        <v>-5.5480000000000022E-2</v>
      </c>
      <c r="F31" s="1">
        <v>-3.1840000000000014E-2</v>
      </c>
    </row>
    <row r="32" spans="1:6" x14ac:dyDescent="0.2">
      <c r="A32" s="1">
        <v>1</v>
      </c>
      <c r="B32" s="1">
        <v>3</v>
      </c>
      <c r="C32" s="1">
        <v>1</v>
      </c>
      <c r="D32" s="1">
        <v>9.5700000000000021</v>
      </c>
      <c r="E32" s="1">
        <v>-2.6590000000000009E-2</v>
      </c>
      <c r="F32" s="1">
        <v>-3.1840000000000014E-2</v>
      </c>
    </row>
    <row r="33" spans="1:6" x14ac:dyDescent="0.2">
      <c r="A33" s="1">
        <v>1</v>
      </c>
      <c r="B33" s="1">
        <v>3</v>
      </c>
      <c r="C33" s="1">
        <v>2</v>
      </c>
      <c r="D33" s="1">
        <v>9.5740000000000016</v>
      </c>
      <c r="E33" s="1">
        <v>-2.282000000000001E-2</v>
      </c>
      <c r="F33" s="1">
        <v>-3.1840000000000014E-2</v>
      </c>
    </row>
    <row r="34" spans="1:6" x14ac:dyDescent="0.2">
      <c r="A34" s="1">
        <v>1</v>
      </c>
      <c r="B34" s="1">
        <v>3</v>
      </c>
      <c r="C34" s="1">
        <v>3</v>
      </c>
      <c r="D34" s="1">
        <v>9.578000000000003</v>
      </c>
      <c r="E34" s="1">
        <v>-1.9310000000000008E-2</v>
      </c>
      <c r="F34" s="1">
        <v>-3.1840000000000014E-2</v>
      </c>
    </row>
    <row r="35" spans="1:6" x14ac:dyDescent="0.2">
      <c r="A35" s="1">
        <v>1</v>
      </c>
      <c r="B35" s="1">
        <v>3</v>
      </c>
      <c r="C35" s="1">
        <v>4</v>
      </c>
      <c r="D35" s="1">
        <v>9.5740000000000016</v>
      </c>
      <c r="E35" s="1">
        <v>-2.291000000000001E-2</v>
      </c>
      <c r="F35" s="1">
        <v>-3.1840000000000014E-2</v>
      </c>
    </row>
    <row r="36" spans="1:6" x14ac:dyDescent="0.2">
      <c r="A36" s="1">
        <v>1</v>
      </c>
      <c r="B36" s="1">
        <v>4</v>
      </c>
      <c r="C36" s="1">
        <v>-5</v>
      </c>
      <c r="D36" s="1">
        <v>9.5360000000000031</v>
      </c>
      <c r="E36" s="1">
        <v>1.7360000000000007E-2</v>
      </c>
      <c r="F36" s="1">
        <v>4.9680000000000023E-2</v>
      </c>
    </row>
    <row r="37" spans="1:6" x14ac:dyDescent="0.2">
      <c r="A37" s="1">
        <v>1</v>
      </c>
      <c r="B37" s="1">
        <v>4</v>
      </c>
      <c r="C37" s="1">
        <v>-4</v>
      </c>
      <c r="D37" s="1">
        <v>9.5500000000000025</v>
      </c>
      <c r="E37" s="1">
        <v>3.1190000000000013E-2</v>
      </c>
      <c r="F37" s="1">
        <v>4.9680000000000023E-2</v>
      </c>
    </row>
    <row r="38" spans="1:6" x14ac:dyDescent="0.2">
      <c r="A38" s="1">
        <v>1</v>
      </c>
      <c r="B38" s="1">
        <v>4</v>
      </c>
      <c r="C38" s="1">
        <v>-3</v>
      </c>
      <c r="D38" s="1">
        <v>9.5430000000000028</v>
      </c>
      <c r="E38" s="1">
        <v>2.394000000000001E-2</v>
      </c>
      <c r="F38" s="1">
        <v>4.9680000000000023E-2</v>
      </c>
    </row>
    <row r="39" spans="1:6" x14ac:dyDescent="0.2">
      <c r="A39" s="1">
        <v>1</v>
      </c>
      <c r="B39" s="1">
        <v>4</v>
      </c>
      <c r="C39" s="1">
        <v>-2</v>
      </c>
      <c r="D39" s="1">
        <v>9.5430000000000028</v>
      </c>
      <c r="E39" s="1">
        <v>2.3830000000000011E-2</v>
      </c>
      <c r="F39" s="1">
        <v>4.9680000000000023E-2</v>
      </c>
    </row>
    <row r="40" spans="1:6" x14ac:dyDescent="0.2">
      <c r="A40" s="1">
        <v>1</v>
      </c>
      <c r="B40" s="1">
        <v>4</v>
      </c>
      <c r="C40" s="1">
        <v>-1</v>
      </c>
      <c r="D40" s="1">
        <v>9.5350000000000019</v>
      </c>
      <c r="E40" s="1">
        <v>1.6640000000000005E-2</v>
      </c>
      <c r="F40" s="1">
        <v>4.9680000000000023E-2</v>
      </c>
    </row>
    <row r="41" spans="1:6" x14ac:dyDescent="0.2">
      <c r="A41" s="1">
        <v>1</v>
      </c>
      <c r="B41" s="1">
        <v>4</v>
      </c>
      <c r="C41" s="1">
        <v>0</v>
      </c>
      <c r="D41" s="1">
        <v>9.6640000000000015</v>
      </c>
      <c r="E41" s="1">
        <v>-6.865000000000003E-2</v>
      </c>
      <c r="F41" s="1">
        <v>-3.9520000000000013E-2</v>
      </c>
    </row>
    <row r="42" spans="1:6" x14ac:dyDescent="0.2">
      <c r="A42" s="1">
        <v>1</v>
      </c>
      <c r="B42" s="1">
        <v>4</v>
      </c>
      <c r="C42" s="1">
        <v>1</v>
      </c>
      <c r="D42" s="1">
        <v>9.6910000000000025</v>
      </c>
      <c r="E42" s="1">
        <v>-4.201000000000002E-2</v>
      </c>
      <c r="F42" s="1">
        <v>-3.9520000000000013E-2</v>
      </c>
    </row>
    <row r="43" spans="1:6" x14ac:dyDescent="0.2">
      <c r="A43" s="1">
        <v>1</v>
      </c>
      <c r="B43" s="1">
        <v>4</v>
      </c>
      <c r="C43" s="1">
        <v>2</v>
      </c>
      <c r="D43" s="1">
        <v>9.6980000000000022</v>
      </c>
      <c r="E43" s="1">
        <v>-3.4700000000000016E-2</v>
      </c>
      <c r="F43" s="1">
        <v>-3.9520000000000013E-2</v>
      </c>
    </row>
    <row r="44" spans="1:6" x14ac:dyDescent="0.2">
      <c r="A44" s="1">
        <v>1</v>
      </c>
      <c r="B44" s="1">
        <v>4</v>
      </c>
      <c r="C44" s="1">
        <v>3</v>
      </c>
      <c r="D44" s="1">
        <v>9.7160000000000029</v>
      </c>
      <c r="E44" s="1">
        <v>-1.7120000000000007E-2</v>
      </c>
      <c r="F44" s="1">
        <v>-3.9520000000000013E-2</v>
      </c>
    </row>
    <row r="45" spans="1:6" x14ac:dyDescent="0.2">
      <c r="A45" s="1">
        <v>1</v>
      </c>
      <c r="B45" s="1">
        <v>4</v>
      </c>
      <c r="C45" s="1">
        <v>4</v>
      </c>
      <c r="D45" s="1">
        <v>9.7090000000000032</v>
      </c>
      <c r="E45" s="1">
        <v>-2.4430000000000011E-2</v>
      </c>
      <c r="F45" s="1">
        <v>-3.9520000000000013E-2</v>
      </c>
    </row>
    <row r="46" spans="1:6" x14ac:dyDescent="0.2">
      <c r="A46" s="1">
        <v>2</v>
      </c>
      <c r="B46" s="1">
        <v>1</v>
      </c>
      <c r="C46" s="1">
        <v>-5</v>
      </c>
      <c r="D46" s="1">
        <v>9.5280000000000022</v>
      </c>
      <c r="E46" s="1">
        <v>-5.8100000000000018E-3</v>
      </c>
      <c r="F46" s="1">
        <v>-2.2590000000000009E-2</v>
      </c>
    </row>
    <row r="47" spans="1:6" x14ac:dyDescent="0.2">
      <c r="A47" s="1">
        <v>2</v>
      </c>
      <c r="B47" s="1">
        <v>1</v>
      </c>
      <c r="C47" s="1">
        <v>-4</v>
      </c>
      <c r="D47" s="1">
        <v>9.5320000000000018</v>
      </c>
      <c r="E47" s="1">
        <v>-2.0240000000000006E-3</v>
      </c>
      <c r="F47" s="1">
        <v>-2.2590000000000009E-2</v>
      </c>
    </row>
    <row r="48" spans="1:6" x14ac:dyDescent="0.2">
      <c r="A48" s="1">
        <v>2</v>
      </c>
      <c r="B48" s="1">
        <v>1</v>
      </c>
      <c r="C48" s="1">
        <v>-3</v>
      </c>
      <c r="D48" s="1">
        <v>9.5240000000000027</v>
      </c>
      <c r="E48" s="1">
        <v>-9.675000000000003E-3</v>
      </c>
      <c r="F48" s="1">
        <v>-2.2590000000000009E-2</v>
      </c>
    </row>
    <row r="49" spans="1:6" x14ac:dyDescent="0.2">
      <c r="A49" s="1">
        <v>2</v>
      </c>
      <c r="B49" s="1">
        <v>1</v>
      </c>
      <c r="C49" s="1">
        <v>-2</v>
      </c>
      <c r="D49" s="1">
        <v>9.522000000000002</v>
      </c>
      <c r="E49" s="1">
        <v>-1.1210000000000005E-2</v>
      </c>
      <c r="F49" s="1">
        <v>-2.2590000000000009E-2</v>
      </c>
    </row>
    <row r="50" spans="1:6" x14ac:dyDescent="0.2">
      <c r="A50" s="1">
        <v>2</v>
      </c>
      <c r="B50" s="1">
        <v>1</v>
      </c>
      <c r="C50" s="1">
        <v>-1</v>
      </c>
      <c r="D50" s="1">
        <v>9.5110000000000028</v>
      </c>
      <c r="E50" s="1">
        <v>-2.2050000000000011E-2</v>
      </c>
      <c r="F50" s="1">
        <v>-2.2590000000000009E-2</v>
      </c>
    </row>
    <row r="51" spans="1:6" x14ac:dyDescent="0.2">
      <c r="A51" s="1">
        <v>2</v>
      </c>
      <c r="B51" s="1">
        <v>1</v>
      </c>
      <c r="C51" s="1">
        <v>0</v>
      </c>
      <c r="D51" s="1">
        <v>9.4720000000000031</v>
      </c>
      <c r="E51" s="1">
        <v>-1.5280000000000007E-2</v>
      </c>
      <c r="F51" s="1">
        <v>3.0530000000000012E-2</v>
      </c>
    </row>
    <row r="52" spans="1:6" x14ac:dyDescent="0.2">
      <c r="A52" s="1">
        <v>2</v>
      </c>
      <c r="B52" s="1">
        <v>1</v>
      </c>
      <c r="C52" s="1">
        <v>1</v>
      </c>
      <c r="D52" s="1">
        <v>9.4950000000000028</v>
      </c>
      <c r="E52" s="1">
        <v>7.9540000000000027E-3</v>
      </c>
      <c r="F52" s="1">
        <v>3.0530000000000012E-2</v>
      </c>
    </row>
    <row r="53" spans="1:6" x14ac:dyDescent="0.2">
      <c r="A53" s="1">
        <v>2</v>
      </c>
      <c r="B53" s="1">
        <v>1</v>
      </c>
      <c r="C53" s="1">
        <v>2</v>
      </c>
      <c r="D53" s="1">
        <v>9.4950000000000028</v>
      </c>
      <c r="E53" s="1">
        <v>7.923000000000003E-3</v>
      </c>
      <c r="F53" s="1">
        <v>3.0530000000000012E-2</v>
      </c>
    </row>
    <row r="54" spans="1:6" x14ac:dyDescent="0.2">
      <c r="A54" s="1">
        <v>2</v>
      </c>
      <c r="B54" s="1">
        <v>1</v>
      </c>
      <c r="C54" s="1">
        <v>3</v>
      </c>
      <c r="D54" s="1">
        <v>9.4960000000000022</v>
      </c>
      <c r="E54" s="1">
        <v>9.080000000000003E-3</v>
      </c>
      <c r="F54" s="1">
        <v>3.0530000000000012E-2</v>
      </c>
    </row>
    <row r="55" spans="1:6" x14ac:dyDescent="0.2">
      <c r="A55" s="1">
        <v>2</v>
      </c>
      <c r="B55" s="1">
        <v>1</v>
      </c>
      <c r="C55" s="1">
        <v>4</v>
      </c>
      <c r="D55" s="1">
        <v>9.4930000000000021</v>
      </c>
      <c r="E55" s="1">
        <v>5.9650000000000024E-3</v>
      </c>
      <c r="F55" s="1">
        <v>3.0530000000000012E-2</v>
      </c>
    </row>
    <row r="56" spans="1:6" x14ac:dyDescent="0.2">
      <c r="A56" s="1">
        <v>2</v>
      </c>
      <c r="B56" s="1">
        <v>2</v>
      </c>
      <c r="C56" s="1">
        <v>-5</v>
      </c>
      <c r="D56" s="1">
        <v>9.599000000000002</v>
      </c>
      <c r="E56" s="1">
        <v>-7.4820000000000025E-3</v>
      </c>
      <c r="F56" s="1">
        <v>-8.5230000000000028E-3</v>
      </c>
    </row>
    <row r="57" spans="1:6" x14ac:dyDescent="0.2">
      <c r="A57" s="1">
        <v>2</v>
      </c>
      <c r="B57" s="1">
        <v>2</v>
      </c>
      <c r="C57" s="1">
        <v>-4</v>
      </c>
      <c r="D57" s="1">
        <v>9.6070000000000029</v>
      </c>
      <c r="E57" s="1">
        <v>1.3520000000000006E-4</v>
      </c>
      <c r="F57" s="1">
        <v>-8.5230000000000028E-3</v>
      </c>
    </row>
    <row r="58" spans="1:6" x14ac:dyDescent="0.2">
      <c r="A58" s="1">
        <v>2</v>
      </c>
      <c r="B58" s="1">
        <v>2</v>
      </c>
      <c r="C58" s="1">
        <v>-3</v>
      </c>
      <c r="D58" s="1">
        <v>9.6000000000000014</v>
      </c>
      <c r="E58" s="1">
        <v>-6.1020000000000024E-3</v>
      </c>
      <c r="F58" s="1">
        <v>-8.5230000000000028E-3</v>
      </c>
    </row>
    <row r="59" spans="1:6" x14ac:dyDescent="0.2">
      <c r="A59" s="1">
        <v>2</v>
      </c>
      <c r="B59" s="1">
        <v>2</v>
      </c>
      <c r="C59" s="1">
        <v>-2</v>
      </c>
      <c r="D59" s="1">
        <v>9.5980000000000025</v>
      </c>
      <c r="E59" s="1">
        <v>-8.8440000000000029E-3</v>
      </c>
      <c r="F59" s="1">
        <v>-8.5230000000000028E-3</v>
      </c>
    </row>
    <row r="60" spans="1:6" x14ac:dyDescent="0.2">
      <c r="A60" s="1">
        <v>2</v>
      </c>
      <c r="B60" s="1">
        <v>2</v>
      </c>
      <c r="C60" s="1">
        <v>-1</v>
      </c>
      <c r="D60" s="1">
        <v>9.5850000000000026</v>
      </c>
      <c r="E60" s="1">
        <v>-2.165000000000001E-2</v>
      </c>
      <c r="F60" s="1">
        <v>-8.5230000000000028E-3</v>
      </c>
    </row>
    <row r="61" spans="1:6" x14ac:dyDescent="0.2">
      <c r="A61" s="1">
        <v>2</v>
      </c>
      <c r="B61" s="1">
        <v>2</v>
      </c>
      <c r="C61" s="1">
        <v>0</v>
      </c>
      <c r="D61" s="1">
        <v>9.6130000000000031</v>
      </c>
      <c r="E61" s="1">
        <v>-1.2900000000000005E-2</v>
      </c>
      <c r="F61" s="1">
        <v>7.198000000000003E-3</v>
      </c>
    </row>
    <row r="62" spans="1:6" x14ac:dyDescent="0.2">
      <c r="A62" s="1">
        <v>2</v>
      </c>
      <c r="B62" s="1">
        <v>2</v>
      </c>
      <c r="C62" s="1">
        <v>1</v>
      </c>
      <c r="D62" s="1">
        <v>9.6330000000000027</v>
      </c>
      <c r="E62" s="1">
        <v>7.479000000000003E-3</v>
      </c>
      <c r="F62" s="1">
        <v>7.198000000000003E-3</v>
      </c>
    </row>
    <row r="63" spans="1:6" x14ac:dyDescent="0.2">
      <c r="A63" s="1">
        <v>2</v>
      </c>
      <c r="B63" s="1">
        <v>2</v>
      </c>
      <c r="C63" s="1">
        <v>2</v>
      </c>
      <c r="D63" s="1">
        <v>9.6320000000000014</v>
      </c>
      <c r="E63" s="1">
        <v>6.4360000000000025E-3</v>
      </c>
      <c r="F63" s="1">
        <v>7.198000000000003E-3</v>
      </c>
    </row>
    <row r="64" spans="1:6" x14ac:dyDescent="0.2">
      <c r="A64" s="1">
        <v>2</v>
      </c>
      <c r="B64" s="1">
        <v>2</v>
      </c>
      <c r="C64" s="1">
        <v>3</v>
      </c>
      <c r="D64" s="1">
        <v>9.6400000000000023</v>
      </c>
      <c r="E64" s="1">
        <v>1.4130000000000005E-2</v>
      </c>
      <c r="F64" s="1">
        <v>7.198000000000003E-3</v>
      </c>
    </row>
    <row r="65" spans="1:6" x14ac:dyDescent="0.2">
      <c r="A65" s="1">
        <v>2</v>
      </c>
      <c r="B65" s="1">
        <v>2</v>
      </c>
      <c r="C65" s="1">
        <v>4</v>
      </c>
      <c r="D65" s="1">
        <v>9.6300000000000026</v>
      </c>
      <c r="E65" s="1">
        <v>3.7100000000000015E-3</v>
      </c>
      <c r="F65" s="1">
        <v>7.198000000000003E-3</v>
      </c>
    </row>
    <row r="66" spans="1:6" x14ac:dyDescent="0.2">
      <c r="A66" s="1">
        <v>2</v>
      </c>
      <c r="B66" s="1">
        <v>3</v>
      </c>
      <c r="C66" s="1">
        <v>-5</v>
      </c>
      <c r="D66" s="1">
        <v>9.6440000000000019</v>
      </c>
      <c r="E66" s="1">
        <v>5.2480000000000018E-3</v>
      </c>
      <c r="F66" s="1">
        <v>1.3740000000000006E-2</v>
      </c>
    </row>
    <row r="67" spans="1:6" x14ac:dyDescent="0.2">
      <c r="A67" s="1">
        <v>2</v>
      </c>
      <c r="B67" s="1">
        <v>3</v>
      </c>
      <c r="C67" s="1">
        <v>-4</v>
      </c>
      <c r="D67" s="1">
        <v>9.647000000000002</v>
      </c>
      <c r="E67" s="1">
        <v>7.6340000000000028E-3</v>
      </c>
      <c r="F67" s="1">
        <v>1.3740000000000006E-2</v>
      </c>
    </row>
    <row r="68" spans="1:6" x14ac:dyDescent="0.2">
      <c r="A68" s="1">
        <v>2</v>
      </c>
      <c r="B68" s="1">
        <v>3</v>
      </c>
      <c r="C68" s="1">
        <v>-3</v>
      </c>
      <c r="D68" s="1">
        <v>9.642000000000003</v>
      </c>
      <c r="E68" s="1">
        <v>2.5420000000000009E-3</v>
      </c>
      <c r="F68" s="1">
        <v>1.3740000000000006E-2</v>
      </c>
    </row>
    <row r="69" spans="1:6" x14ac:dyDescent="0.2">
      <c r="A69" s="1">
        <v>2</v>
      </c>
      <c r="B69" s="1">
        <v>3</v>
      </c>
      <c r="C69" s="1">
        <v>-2</v>
      </c>
      <c r="D69" s="1">
        <v>9.6400000000000023</v>
      </c>
      <c r="E69" s="1">
        <v>1.0870000000000005E-3</v>
      </c>
      <c r="F69" s="1">
        <v>1.3740000000000006E-2</v>
      </c>
    </row>
    <row r="70" spans="1:6" x14ac:dyDescent="0.2">
      <c r="A70" s="1">
        <v>2</v>
      </c>
      <c r="B70" s="1">
        <v>3</v>
      </c>
      <c r="C70" s="1">
        <v>-1</v>
      </c>
      <c r="D70" s="1">
        <v>9.6350000000000016</v>
      </c>
      <c r="E70" s="1">
        <v>-4.6330000000000017E-3</v>
      </c>
      <c r="F70" s="1">
        <v>1.3740000000000006E-2</v>
      </c>
    </row>
    <row r="71" spans="1:6" x14ac:dyDescent="0.2">
      <c r="A71" s="1">
        <v>2</v>
      </c>
      <c r="B71" s="1">
        <v>3</v>
      </c>
      <c r="C71" s="1">
        <v>0</v>
      </c>
      <c r="D71" s="1">
        <v>9.6590000000000025</v>
      </c>
      <c r="E71" s="1">
        <v>-2.9830000000000013E-2</v>
      </c>
      <c r="F71" s="1">
        <v>-1.5610000000000006E-2</v>
      </c>
    </row>
    <row r="72" spans="1:6" x14ac:dyDescent="0.2">
      <c r="A72" s="1">
        <v>2</v>
      </c>
      <c r="B72" s="1">
        <v>3</v>
      </c>
      <c r="C72" s="1">
        <v>1</v>
      </c>
      <c r="D72" s="1">
        <v>9.6820000000000022</v>
      </c>
      <c r="E72" s="1">
        <v>-6.897000000000003E-3</v>
      </c>
      <c r="F72" s="1">
        <v>-1.5610000000000006E-2</v>
      </c>
    </row>
    <row r="73" spans="1:6" x14ac:dyDescent="0.2">
      <c r="A73" s="1">
        <v>2</v>
      </c>
      <c r="B73" s="1">
        <v>3</v>
      </c>
      <c r="C73" s="1">
        <v>2</v>
      </c>
      <c r="D73" s="1">
        <v>9.6820000000000022</v>
      </c>
      <c r="E73" s="1">
        <v>-7.3280000000000029E-3</v>
      </c>
      <c r="F73" s="1">
        <v>-1.5610000000000006E-2</v>
      </c>
    </row>
    <row r="74" spans="1:6" x14ac:dyDescent="0.2">
      <c r="A74" s="1">
        <v>2</v>
      </c>
      <c r="B74" s="1">
        <v>3</v>
      </c>
      <c r="C74" s="1">
        <v>3</v>
      </c>
      <c r="D74" s="1">
        <v>9.6900000000000031</v>
      </c>
      <c r="E74" s="1">
        <v>6.4210000000000027E-4</v>
      </c>
      <c r="F74" s="1">
        <v>-1.5610000000000006E-2</v>
      </c>
    </row>
    <row r="75" spans="1:6" x14ac:dyDescent="0.2">
      <c r="A75" s="1">
        <v>2</v>
      </c>
      <c r="B75" s="1">
        <v>3</v>
      </c>
      <c r="C75" s="1">
        <v>4</v>
      </c>
      <c r="D75" s="1">
        <v>9.6840000000000028</v>
      </c>
      <c r="E75" s="1">
        <v>-5.1530000000000022E-3</v>
      </c>
      <c r="F75" s="1">
        <v>-1.5610000000000006E-2</v>
      </c>
    </row>
    <row r="76" spans="1:6" x14ac:dyDescent="0.2">
      <c r="A76" s="1">
        <v>2</v>
      </c>
      <c r="B76" s="1">
        <v>4</v>
      </c>
      <c r="C76" s="1">
        <v>-5</v>
      </c>
      <c r="D76" s="1">
        <v>9.7330000000000023</v>
      </c>
      <c r="E76" s="1">
        <v>3.3070000000000013E-3</v>
      </c>
      <c r="F76" s="1">
        <v>4.0020000000000014E-2</v>
      </c>
    </row>
    <row r="77" spans="1:6" x14ac:dyDescent="0.2">
      <c r="A77" s="1">
        <v>2</v>
      </c>
      <c r="B77" s="1">
        <v>4</v>
      </c>
      <c r="C77" s="1">
        <v>-4</v>
      </c>
      <c r="D77" s="1">
        <v>9.7390000000000025</v>
      </c>
      <c r="E77" s="1">
        <v>9.949000000000003E-3</v>
      </c>
      <c r="F77" s="1">
        <v>4.0020000000000014E-2</v>
      </c>
    </row>
    <row r="78" spans="1:6" x14ac:dyDescent="0.2">
      <c r="A78" s="1">
        <v>2</v>
      </c>
      <c r="B78" s="1">
        <v>4</v>
      </c>
      <c r="C78" s="1">
        <v>-3</v>
      </c>
      <c r="D78" s="1">
        <v>9.7410000000000014</v>
      </c>
      <c r="E78" s="1">
        <v>1.1130000000000004E-2</v>
      </c>
      <c r="F78" s="1">
        <v>4.0020000000000014E-2</v>
      </c>
    </row>
    <row r="79" spans="1:6" x14ac:dyDescent="0.2">
      <c r="A79" s="1">
        <v>2</v>
      </c>
      <c r="B79" s="1">
        <v>4</v>
      </c>
      <c r="C79" s="1">
        <v>-2</v>
      </c>
      <c r="D79" s="1">
        <v>9.7340000000000018</v>
      </c>
      <c r="E79" s="1">
        <v>4.1590000000000012E-3</v>
      </c>
      <c r="F79" s="1">
        <v>4.0020000000000014E-2</v>
      </c>
    </row>
    <row r="80" spans="1:6" x14ac:dyDescent="0.2">
      <c r="A80" s="1">
        <v>2</v>
      </c>
      <c r="B80" s="1">
        <v>4</v>
      </c>
      <c r="C80" s="1">
        <v>-1</v>
      </c>
      <c r="D80" s="1">
        <v>9.7230000000000025</v>
      </c>
      <c r="E80" s="1">
        <v>-5.955000000000002E-3</v>
      </c>
      <c r="F80" s="1">
        <v>4.0020000000000014E-2</v>
      </c>
    </row>
    <row r="81" spans="1:6" x14ac:dyDescent="0.2">
      <c r="A81" s="1">
        <v>2</v>
      </c>
      <c r="B81" s="1">
        <v>4</v>
      </c>
      <c r="C81" s="1">
        <v>0</v>
      </c>
      <c r="D81" s="1">
        <v>9.7970000000000024</v>
      </c>
      <c r="E81" s="1">
        <v>-4.5470000000000017E-2</v>
      </c>
      <c r="F81" s="1">
        <v>-3.0550000000000011E-2</v>
      </c>
    </row>
    <row r="82" spans="1:6" x14ac:dyDescent="0.2">
      <c r="A82" s="1">
        <v>2</v>
      </c>
      <c r="B82" s="1">
        <v>4</v>
      </c>
      <c r="C82" s="1">
        <v>1</v>
      </c>
      <c r="D82" s="1">
        <v>9.8200000000000021</v>
      </c>
      <c r="E82" s="1">
        <v>-2.266000000000001E-2</v>
      </c>
      <c r="F82" s="1">
        <v>-3.0550000000000011E-2</v>
      </c>
    </row>
    <row r="83" spans="1:6" x14ac:dyDescent="0.2">
      <c r="A83" s="1">
        <v>2</v>
      </c>
      <c r="B83" s="1">
        <v>4</v>
      </c>
      <c r="C83" s="1">
        <v>2</v>
      </c>
      <c r="D83" s="1">
        <v>9.8240000000000016</v>
      </c>
      <c r="E83" s="1">
        <v>-1.8610000000000008E-2</v>
      </c>
      <c r="F83" s="1">
        <v>-3.0550000000000011E-2</v>
      </c>
    </row>
    <row r="84" spans="1:6" x14ac:dyDescent="0.2">
      <c r="A84" s="1">
        <v>2</v>
      </c>
      <c r="B84" s="1">
        <v>4</v>
      </c>
      <c r="C84" s="1">
        <v>3</v>
      </c>
      <c r="D84" s="1">
        <v>9.8480000000000025</v>
      </c>
      <c r="E84" s="1">
        <v>5.6430000000000022E-3</v>
      </c>
      <c r="F84" s="1">
        <v>-3.0550000000000011E-2</v>
      </c>
    </row>
    <row r="85" spans="1:6" x14ac:dyDescent="0.2">
      <c r="A85" s="1">
        <v>2</v>
      </c>
      <c r="B85" s="1">
        <v>4</v>
      </c>
      <c r="C85" s="1">
        <v>4</v>
      </c>
      <c r="D85" s="1">
        <v>9.8340000000000032</v>
      </c>
      <c r="E85" s="1">
        <v>-8.5990000000000025E-3</v>
      </c>
      <c r="F85" s="1">
        <v>-3.0550000000000011E-2</v>
      </c>
    </row>
    <row r="86" spans="1:6" x14ac:dyDescent="0.2">
      <c r="A86" s="1">
        <v>3</v>
      </c>
      <c r="B86" s="1">
        <v>1</v>
      </c>
      <c r="C86" s="1">
        <v>-5</v>
      </c>
      <c r="D86" s="1">
        <v>9.6560000000000024</v>
      </c>
      <c r="E86" s="1">
        <v>-1.7700000000000007E-3</v>
      </c>
      <c r="F86" s="1">
        <v>-4.4430000000000018E-2</v>
      </c>
    </row>
    <row r="87" spans="1:6" x14ac:dyDescent="0.2">
      <c r="A87" s="1">
        <v>3</v>
      </c>
      <c r="B87" s="1">
        <v>1</v>
      </c>
      <c r="C87" s="1">
        <v>-4</v>
      </c>
      <c r="D87" s="1">
        <v>9.6510000000000016</v>
      </c>
      <c r="E87" s="1">
        <v>-7.2480000000000027E-3</v>
      </c>
      <c r="F87" s="1">
        <v>-4.4430000000000018E-2</v>
      </c>
    </row>
    <row r="88" spans="1:6" x14ac:dyDescent="0.2">
      <c r="A88" s="1">
        <v>3</v>
      </c>
      <c r="B88" s="1">
        <v>1</v>
      </c>
      <c r="C88" s="1">
        <v>-3</v>
      </c>
      <c r="D88" s="1">
        <v>9.6500000000000021</v>
      </c>
      <c r="E88" s="1">
        <v>-7.8100000000000027E-3</v>
      </c>
      <c r="F88" s="1">
        <v>-4.4430000000000018E-2</v>
      </c>
    </row>
    <row r="89" spans="1:6" x14ac:dyDescent="0.2">
      <c r="A89" s="1">
        <v>3</v>
      </c>
      <c r="B89" s="1">
        <v>1</v>
      </c>
      <c r="C89" s="1">
        <v>-2</v>
      </c>
      <c r="D89" s="1">
        <v>9.647000000000002</v>
      </c>
      <c r="E89" s="1">
        <v>-1.0880000000000004E-2</v>
      </c>
      <c r="F89" s="1">
        <v>-4.4430000000000018E-2</v>
      </c>
    </row>
    <row r="90" spans="1:6" x14ac:dyDescent="0.2">
      <c r="A90" s="1">
        <v>3</v>
      </c>
      <c r="B90" s="1">
        <v>1</v>
      </c>
      <c r="C90" s="1">
        <v>-1</v>
      </c>
      <c r="D90" s="1">
        <v>9.6460000000000026</v>
      </c>
      <c r="E90" s="1">
        <v>-1.2190000000000005E-2</v>
      </c>
      <c r="F90" s="1">
        <v>-4.4430000000000018E-2</v>
      </c>
    </row>
    <row r="91" spans="1:6" x14ac:dyDescent="0.2">
      <c r="A91" s="1">
        <v>3</v>
      </c>
      <c r="B91" s="1">
        <v>1</v>
      </c>
      <c r="C91" s="1">
        <v>0</v>
      </c>
      <c r="D91" s="1">
        <v>9.5470000000000024</v>
      </c>
      <c r="E91" s="1">
        <v>-2.216000000000001E-2</v>
      </c>
      <c r="F91" s="1">
        <v>5.604000000000002E-2</v>
      </c>
    </row>
    <row r="92" spans="1:6" x14ac:dyDescent="0.2">
      <c r="A92" s="1">
        <v>3</v>
      </c>
      <c r="B92" s="1">
        <v>1</v>
      </c>
      <c r="C92" s="1">
        <v>1</v>
      </c>
      <c r="D92" s="1">
        <v>9.5760000000000023</v>
      </c>
      <c r="E92" s="1">
        <v>6.8880000000000026E-3</v>
      </c>
      <c r="F92" s="1">
        <v>5.604000000000002E-2</v>
      </c>
    </row>
    <row r="93" spans="1:6" x14ac:dyDescent="0.2">
      <c r="A93" s="1">
        <v>3</v>
      </c>
      <c r="B93" s="1">
        <v>1</v>
      </c>
      <c r="C93" s="1">
        <v>2</v>
      </c>
      <c r="D93" s="1">
        <v>9.5770000000000017</v>
      </c>
      <c r="E93" s="1">
        <v>7.8180000000000038E-3</v>
      </c>
      <c r="F93" s="1">
        <v>5.604000000000002E-2</v>
      </c>
    </row>
    <row r="94" spans="1:6" x14ac:dyDescent="0.2">
      <c r="A94" s="1">
        <v>3</v>
      </c>
      <c r="B94" s="1">
        <v>1</v>
      </c>
      <c r="C94" s="1">
        <v>3</v>
      </c>
      <c r="D94" s="1">
        <v>9.5740000000000016</v>
      </c>
      <c r="E94" s="1">
        <v>4.0450000000000017E-3</v>
      </c>
      <c r="F94" s="1">
        <v>5.604000000000002E-2</v>
      </c>
    </row>
    <row r="95" spans="1:6" x14ac:dyDescent="0.2">
      <c r="A95" s="1">
        <v>3</v>
      </c>
      <c r="B95" s="1">
        <v>1</v>
      </c>
      <c r="C95" s="1">
        <v>4</v>
      </c>
      <c r="D95" s="1">
        <v>9.5710000000000015</v>
      </c>
      <c r="E95" s="1">
        <v>2.0170000000000006E-3</v>
      </c>
      <c r="F95" s="1">
        <v>5.604000000000002E-2</v>
      </c>
    </row>
    <row r="96" spans="1:6" x14ac:dyDescent="0.2">
      <c r="A96" s="1">
        <v>3</v>
      </c>
      <c r="B96" s="1">
        <v>2</v>
      </c>
      <c r="C96" s="1">
        <v>-5</v>
      </c>
      <c r="D96" s="1">
        <v>9.6920000000000019</v>
      </c>
      <c r="E96" s="1">
        <v>-2.3610000000000007E-3</v>
      </c>
      <c r="F96" s="1">
        <v>-2.8960000000000014E-2</v>
      </c>
    </row>
    <row r="97" spans="1:6" x14ac:dyDescent="0.2">
      <c r="A97" s="1">
        <v>3</v>
      </c>
      <c r="B97" s="1">
        <v>2</v>
      </c>
      <c r="C97" s="1">
        <v>-4</v>
      </c>
      <c r="D97" s="1">
        <v>9.6970000000000027</v>
      </c>
      <c r="E97" s="1">
        <v>2.7180000000000012E-3</v>
      </c>
      <c r="F97" s="1">
        <v>-2.8960000000000014E-2</v>
      </c>
    </row>
    <row r="98" spans="1:6" x14ac:dyDescent="0.2">
      <c r="A98" s="1">
        <v>3</v>
      </c>
      <c r="B98" s="1">
        <v>2</v>
      </c>
      <c r="C98" s="1">
        <v>-3</v>
      </c>
      <c r="D98" s="1">
        <v>9.6930000000000032</v>
      </c>
      <c r="E98" s="1">
        <v>-1.3390000000000006E-3</v>
      </c>
      <c r="F98" s="1">
        <v>-2.8960000000000014E-2</v>
      </c>
    </row>
    <row r="99" spans="1:6" x14ac:dyDescent="0.2">
      <c r="A99" s="1">
        <v>3</v>
      </c>
      <c r="B99" s="1">
        <v>2</v>
      </c>
      <c r="C99" s="1">
        <v>-2</v>
      </c>
      <c r="D99" s="1">
        <v>9.6920000000000019</v>
      </c>
      <c r="E99" s="1">
        <v>-2.599000000000001E-3</v>
      </c>
      <c r="F99" s="1">
        <v>-2.8960000000000014E-2</v>
      </c>
    </row>
    <row r="100" spans="1:6" x14ac:dyDescent="0.2">
      <c r="A100" s="1">
        <v>3</v>
      </c>
      <c r="B100" s="1">
        <v>2</v>
      </c>
      <c r="C100" s="1">
        <v>-1</v>
      </c>
      <c r="D100" s="1">
        <v>9.6820000000000022</v>
      </c>
      <c r="E100" s="1">
        <v>-1.2600000000000005E-2</v>
      </c>
      <c r="F100" s="1">
        <v>-2.8960000000000014E-2</v>
      </c>
    </row>
    <row r="101" spans="1:6" x14ac:dyDescent="0.2">
      <c r="A101" s="1">
        <v>3</v>
      </c>
      <c r="B101" s="1">
        <v>2</v>
      </c>
      <c r="C101" s="1">
        <v>0</v>
      </c>
      <c r="D101" s="1">
        <v>9.6540000000000017</v>
      </c>
      <c r="E101" s="1">
        <v>-2.284000000000001E-2</v>
      </c>
      <c r="F101" s="1">
        <v>2.9360000000000011E-2</v>
      </c>
    </row>
    <row r="102" spans="1:6" x14ac:dyDescent="0.2">
      <c r="A102" s="1">
        <v>3</v>
      </c>
      <c r="B102" s="1">
        <v>2</v>
      </c>
      <c r="C102" s="1">
        <v>1</v>
      </c>
      <c r="D102" s="1">
        <v>9.674000000000003</v>
      </c>
      <c r="E102" s="1">
        <v>-3.6440000000000014E-3</v>
      </c>
      <c r="F102" s="1">
        <v>2.9360000000000011E-2</v>
      </c>
    </row>
    <row r="103" spans="1:6" x14ac:dyDescent="0.2">
      <c r="A103" s="1">
        <v>3</v>
      </c>
      <c r="B103" s="1">
        <v>2</v>
      </c>
      <c r="C103" s="1">
        <v>2</v>
      </c>
      <c r="D103" s="1">
        <v>9.6750000000000025</v>
      </c>
      <c r="E103" s="1">
        <v>-1.8010000000000007E-3</v>
      </c>
      <c r="F103" s="1">
        <v>2.9360000000000011E-2</v>
      </c>
    </row>
    <row r="104" spans="1:6" x14ac:dyDescent="0.2">
      <c r="A104" s="1">
        <v>3</v>
      </c>
      <c r="B104" s="1">
        <v>2</v>
      </c>
      <c r="C104" s="1">
        <v>3</v>
      </c>
      <c r="D104" s="1">
        <v>9.6840000000000028</v>
      </c>
      <c r="E104" s="1">
        <v>7.2260000000000024E-3</v>
      </c>
      <c r="F104" s="1">
        <v>2.9360000000000011E-2</v>
      </c>
    </row>
    <row r="105" spans="1:6" x14ac:dyDescent="0.2">
      <c r="A105" s="1">
        <v>3</v>
      </c>
      <c r="B105" s="1">
        <v>2</v>
      </c>
      <c r="C105" s="1">
        <v>4</v>
      </c>
      <c r="D105" s="1">
        <v>9.6760000000000019</v>
      </c>
      <c r="E105" s="1">
        <v>-1.1260000000000005E-3</v>
      </c>
      <c r="F105" s="1">
        <v>2.9360000000000011E-2</v>
      </c>
    </row>
    <row r="106" spans="1:6" x14ac:dyDescent="0.2">
      <c r="A106" s="1">
        <v>3</v>
      </c>
      <c r="B106" s="1">
        <v>3</v>
      </c>
      <c r="C106" s="1">
        <v>-5</v>
      </c>
      <c r="D106" s="1">
        <v>9.7870000000000026</v>
      </c>
      <c r="E106" s="1">
        <v>-3.2350000000000013E-3</v>
      </c>
      <c r="F106" s="1">
        <v>-1.9940000000000005E-3</v>
      </c>
    </row>
    <row r="107" spans="1:6" x14ac:dyDescent="0.2">
      <c r="A107" s="1">
        <v>3</v>
      </c>
      <c r="B107" s="1">
        <v>3</v>
      </c>
      <c r="C107" s="1">
        <v>-4</v>
      </c>
      <c r="D107" s="1">
        <v>9.7910000000000021</v>
      </c>
      <c r="E107" s="1">
        <v>1.1540000000000005E-3</v>
      </c>
      <c r="F107" s="1">
        <v>-1.9940000000000005E-3</v>
      </c>
    </row>
    <row r="108" spans="1:6" x14ac:dyDescent="0.2">
      <c r="A108" s="1">
        <v>3</v>
      </c>
      <c r="B108" s="1">
        <v>3</v>
      </c>
      <c r="C108" s="1">
        <v>-3</v>
      </c>
      <c r="D108" s="1">
        <v>9.7930000000000028</v>
      </c>
      <c r="E108" s="1">
        <v>2.5970000000000008E-3</v>
      </c>
      <c r="F108" s="1">
        <v>-1.9940000000000005E-3</v>
      </c>
    </row>
    <row r="109" spans="1:6" x14ac:dyDescent="0.2">
      <c r="A109" s="1">
        <v>3</v>
      </c>
      <c r="B109" s="1">
        <v>3</v>
      </c>
      <c r="C109" s="1">
        <v>-2</v>
      </c>
      <c r="D109" s="1">
        <v>9.7900000000000027</v>
      </c>
      <c r="E109" s="1">
        <v>-2.7420000000000016E-4</v>
      </c>
      <c r="F109" s="1">
        <v>-1.9940000000000005E-3</v>
      </c>
    </row>
    <row r="110" spans="1:6" x14ac:dyDescent="0.2">
      <c r="A110" s="1">
        <v>3</v>
      </c>
      <c r="B110" s="1">
        <v>3</v>
      </c>
      <c r="C110" s="1">
        <v>-1</v>
      </c>
      <c r="D110" s="1">
        <v>9.7820000000000018</v>
      </c>
      <c r="E110" s="1">
        <v>-7.642000000000003E-3</v>
      </c>
      <c r="F110" s="1">
        <v>-1.9940000000000005E-3</v>
      </c>
    </row>
    <row r="111" spans="1:6" x14ac:dyDescent="0.2">
      <c r="A111" s="1">
        <v>3</v>
      </c>
      <c r="B111" s="1">
        <v>3</v>
      </c>
      <c r="C111" s="1">
        <v>0</v>
      </c>
      <c r="D111" s="1">
        <v>9.7810000000000024</v>
      </c>
      <c r="E111" s="1">
        <v>-2.4550000000000009E-2</v>
      </c>
      <c r="F111" s="1">
        <v>1.2620000000000004E-2</v>
      </c>
    </row>
    <row r="112" spans="1:6" x14ac:dyDescent="0.2">
      <c r="A112" s="1">
        <v>3</v>
      </c>
      <c r="B112" s="1">
        <v>3</v>
      </c>
      <c r="C112" s="1">
        <v>1</v>
      </c>
      <c r="D112" s="1">
        <v>9.799000000000003</v>
      </c>
      <c r="E112" s="1">
        <v>-6.5460000000000023E-3</v>
      </c>
      <c r="F112" s="1">
        <v>1.2620000000000004E-2</v>
      </c>
    </row>
    <row r="113" spans="1:6" x14ac:dyDescent="0.2">
      <c r="A113" s="1">
        <v>3</v>
      </c>
      <c r="B113" s="1">
        <v>3</v>
      </c>
      <c r="C113" s="1">
        <v>2</v>
      </c>
      <c r="D113" s="1">
        <v>9.8010000000000019</v>
      </c>
      <c r="E113" s="1">
        <v>-4.3710000000000016E-3</v>
      </c>
      <c r="F113" s="1">
        <v>1.2620000000000004E-2</v>
      </c>
    </row>
    <row r="114" spans="1:6" x14ac:dyDescent="0.2">
      <c r="A114" s="1">
        <v>3</v>
      </c>
      <c r="B114" s="1">
        <v>3</v>
      </c>
      <c r="C114" s="1">
        <v>3</v>
      </c>
      <c r="D114" s="1">
        <v>9.8180000000000032</v>
      </c>
      <c r="E114" s="1">
        <v>1.2370000000000006E-2</v>
      </c>
      <c r="F114" s="1">
        <v>1.2620000000000004E-2</v>
      </c>
    </row>
    <row r="115" spans="1:6" x14ac:dyDescent="0.2">
      <c r="A115" s="1">
        <v>3</v>
      </c>
      <c r="B115" s="1">
        <v>3</v>
      </c>
      <c r="C115" s="1">
        <v>4</v>
      </c>
      <c r="D115" s="1">
        <v>9.8060000000000027</v>
      </c>
      <c r="E115" s="1">
        <v>1.1070000000000003E-3</v>
      </c>
      <c r="F115" s="1">
        <v>1.2620000000000004E-2</v>
      </c>
    </row>
    <row r="116" spans="1:6" x14ac:dyDescent="0.2">
      <c r="A116" s="1">
        <v>3</v>
      </c>
      <c r="B116" s="1">
        <v>4</v>
      </c>
      <c r="C116" s="1">
        <v>-5</v>
      </c>
      <c r="D116" s="1">
        <v>9.9680000000000017</v>
      </c>
      <c r="E116" s="1">
        <v>-1.4640000000000005E-3</v>
      </c>
      <c r="F116" s="1">
        <v>5.341000000000002E-2</v>
      </c>
    </row>
    <row r="117" spans="1:6" x14ac:dyDescent="0.2">
      <c r="A117" s="1">
        <v>3</v>
      </c>
      <c r="B117" s="1">
        <v>4</v>
      </c>
      <c r="C117" s="1">
        <v>-4</v>
      </c>
      <c r="D117" s="1">
        <v>9.9720000000000031</v>
      </c>
      <c r="E117" s="1">
        <v>2.5320000000000008E-3</v>
      </c>
      <c r="F117" s="1">
        <v>5.341000000000002E-2</v>
      </c>
    </row>
    <row r="118" spans="1:6" x14ac:dyDescent="0.2">
      <c r="A118" s="1">
        <v>3</v>
      </c>
      <c r="B118" s="1">
        <v>4</v>
      </c>
      <c r="C118" s="1">
        <v>-3</v>
      </c>
      <c r="D118" s="1">
        <v>9.9810000000000016</v>
      </c>
      <c r="E118" s="1">
        <v>1.1240000000000005E-2</v>
      </c>
      <c r="F118" s="1">
        <v>5.341000000000002E-2</v>
      </c>
    </row>
    <row r="119" spans="1:6" x14ac:dyDescent="0.2">
      <c r="A119" s="1">
        <v>3</v>
      </c>
      <c r="B119" s="1">
        <v>4</v>
      </c>
      <c r="C119" s="1">
        <v>-2</v>
      </c>
      <c r="D119" s="1">
        <v>9.9710000000000019</v>
      </c>
      <c r="E119" s="1">
        <v>1.9410000000000007E-3</v>
      </c>
      <c r="F119" s="1">
        <v>5.341000000000002E-2</v>
      </c>
    </row>
    <row r="120" spans="1:6" x14ac:dyDescent="0.2">
      <c r="A120" s="1">
        <v>3</v>
      </c>
      <c r="B120" s="1">
        <v>4</v>
      </c>
      <c r="C120" s="1">
        <v>-1</v>
      </c>
      <c r="D120" s="1">
        <v>9.9660000000000029</v>
      </c>
      <c r="E120" s="1">
        <v>-2.8580000000000012E-3</v>
      </c>
      <c r="F120" s="1">
        <v>5.341000000000002E-2</v>
      </c>
    </row>
    <row r="121" spans="1:6" x14ac:dyDescent="0.2">
      <c r="A121" s="1">
        <v>3</v>
      </c>
      <c r="B121" s="1">
        <v>4</v>
      </c>
      <c r="C121" s="1">
        <v>0</v>
      </c>
      <c r="D121" s="1">
        <v>9.9950000000000028</v>
      </c>
      <c r="E121" s="1">
        <v>-3.6960000000000014E-2</v>
      </c>
      <c r="F121" s="1">
        <v>2.2760000000000007E-3</v>
      </c>
    </row>
    <row r="122" spans="1:6" x14ac:dyDescent="0.2">
      <c r="A122" s="1">
        <v>3</v>
      </c>
      <c r="B122" s="1">
        <v>4</v>
      </c>
      <c r="C122" s="1">
        <v>1</v>
      </c>
      <c r="D122" s="1">
        <v>10.020000000000001</v>
      </c>
      <c r="E122" s="1">
        <v>-1.4380000000000006E-2</v>
      </c>
      <c r="F122" s="1">
        <v>2.2760000000000007E-3</v>
      </c>
    </row>
    <row r="123" spans="1:6" x14ac:dyDescent="0.2">
      <c r="A123" s="1">
        <v>3</v>
      </c>
      <c r="B123" s="1">
        <v>4</v>
      </c>
      <c r="C123" s="1">
        <v>2</v>
      </c>
      <c r="D123" s="1">
        <v>10.020000000000001</v>
      </c>
      <c r="E123" s="1">
        <v>-1.2970000000000006E-2</v>
      </c>
      <c r="F123" s="1">
        <v>2.2760000000000007E-3</v>
      </c>
    </row>
    <row r="124" spans="1:6" x14ac:dyDescent="0.2">
      <c r="A124" s="1">
        <v>3</v>
      </c>
      <c r="B124" s="1">
        <v>4</v>
      </c>
      <c r="C124" s="1">
        <v>3</v>
      </c>
      <c r="D124" s="1">
        <v>10.050000000000002</v>
      </c>
      <c r="E124" s="1">
        <v>1.9900000000000008E-2</v>
      </c>
      <c r="F124" s="1">
        <v>2.2760000000000007E-3</v>
      </c>
    </row>
    <row r="125" spans="1:6" x14ac:dyDescent="0.2">
      <c r="A125" s="1">
        <v>3</v>
      </c>
      <c r="B125" s="1">
        <v>4</v>
      </c>
      <c r="C125" s="1">
        <v>4</v>
      </c>
      <c r="D125" s="1">
        <v>10.030000000000001</v>
      </c>
      <c r="E125" s="1">
        <v>-1.6360000000000005E-3</v>
      </c>
      <c r="F125" s="1">
        <v>2.2760000000000007E-3</v>
      </c>
    </row>
    <row r="126" spans="1:6" x14ac:dyDescent="0.2">
      <c r="A126" s="1">
        <v>4</v>
      </c>
      <c r="B126" s="1">
        <v>1</v>
      </c>
      <c r="C126" s="1">
        <v>-5</v>
      </c>
      <c r="D126" s="1">
        <v>9.8230000000000022</v>
      </c>
      <c r="E126" s="1">
        <v>-8.4470000000000031E-3</v>
      </c>
      <c r="F126" s="1">
        <v>-6.4280000000000032E-2</v>
      </c>
    </row>
    <row r="127" spans="1:6" x14ac:dyDescent="0.2">
      <c r="A127" s="1">
        <v>4</v>
      </c>
      <c r="B127" s="1">
        <v>1</v>
      </c>
      <c r="C127" s="1">
        <v>-4</v>
      </c>
      <c r="D127" s="1">
        <v>9.828000000000003</v>
      </c>
      <c r="E127" s="1">
        <v>-2.7080000000000012E-3</v>
      </c>
      <c r="F127" s="1">
        <v>-6.4280000000000032E-2</v>
      </c>
    </row>
    <row r="128" spans="1:6" x14ac:dyDescent="0.2">
      <c r="A128" s="1">
        <v>4</v>
      </c>
      <c r="B128" s="1">
        <v>1</v>
      </c>
      <c r="C128" s="1">
        <v>-3</v>
      </c>
      <c r="D128" s="1">
        <v>9.8200000000000021</v>
      </c>
      <c r="E128" s="1">
        <v>-1.0960000000000004E-2</v>
      </c>
      <c r="F128" s="1">
        <v>-6.4280000000000032E-2</v>
      </c>
    </row>
    <row r="129" spans="1:6" x14ac:dyDescent="0.2">
      <c r="A129" s="1">
        <v>4</v>
      </c>
      <c r="B129" s="1">
        <v>1</v>
      </c>
      <c r="C129" s="1">
        <v>-2</v>
      </c>
      <c r="D129" s="1">
        <v>9.8190000000000026</v>
      </c>
      <c r="E129" s="1">
        <v>-1.1940000000000004E-2</v>
      </c>
      <c r="F129" s="1">
        <v>-6.4280000000000032E-2</v>
      </c>
    </row>
    <row r="130" spans="1:6" x14ac:dyDescent="0.2">
      <c r="A130" s="1">
        <v>4</v>
      </c>
      <c r="B130" s="1">
        <v>1</v>
      </c>
      <c r="C130" s="1">
        <v>-1</v>
      </c>
      <c r="D130" s="1">
        <v>9.8080000000000016</v>
      </c>
      <c r="E130" s="1">
        <v>-2.3070000000000011E-2</v>
      </c>
      <c r="F130" s="1">
        <v>-6.4280000000000032E-2</v>
      </c>
    </row>
    <row r="131" spans="1:6" x14ac:dyDescent="0.2">
      <c r="A131" s="1">
        <v>4</v>
      </c>
      <c r="B131" s="1">
        <v>1</v>
      </c>
      <c r="C131" s="1">
        <v>0</v>
      </c>
      <c r="D131" s="1">
        <v>9.6590000000000025</v>
      </c>
      <c r="E131" s="1">
        <v>-1.9120000000000009E-2</v>
      </c>
      <c r="F131" s="1">
        <v>7.4180000000000038E-2</v>
      </c>
    </row>
    <row r="132" spans="1:6" x14ac:dyDescent="0.2">
      <c r="A132" s="1">
        <v>4</v>
      </c>
      <c r="B132" s="1">
        <v>1</v>
      </c>
      <c r="C132" s="1">
        <v>1</v>
      </c>
      <c r="D132" s="1">
        <v>9.6820000000000022</v>
      </c>
      <c r="E132" s="1">
        <v>4.1600000000000014E-3</v>
      </c>
      <c r="F132" s="1">
        <v>7.4180000000000038E-2</v>
      </c>
    </row>
    <row r="133" spans="1:6" x14ac:dyDescent="0.2">
      <c r="A133" s="1">
        <v>4</v>
      </c>
      <c r="B133" s="1">
        <v>1</v>
      </c>
      <c r="C133" s="1">
        <v>2</v>
      </c>
      <c r="D133" s="1">
        <v>9.6870000000000029</v>
      </c>
      <c r="E133" s="1">
        <v>9.0750000000000032E-3</v>
      </c>
      <c r="F133" s="1">
        <v>7.4180000000000038E-2</v>
      </c>
    </row>
    <row r="134" spans="1:6" x14ac:dyDescent="0.2">
      <c r="A134" s="1">
        <v>4</v>
      </c>
      <c r="B134" s="1">
        <v>1</v>
      </c>
      <c r="C134" s="1">
        <v>3</v>
      </c>
      <c r="D134" s="1">
        <v>9.6940000000000026</v>
      </c>
      <c r="E134" s="1">
        <v>1.5780000000000006E-2</v>
      </c>
      <c r="F134" s="1">
        <v>7.4180000000000038E-2</v>
      </c>
    </row>
    <row r="135" spans="1:6" x14ac:dyDescent="0.2">
      <c r="A135" s="1">
        <v>4</v>
      </c>
      <c r="B135" s="1">
        <v>1</v>
      </c>
      <c r="C135" s="1">
        <v>4</v>
      </c>
      <c r="D135" s="1">
        <v>9.6850000000000023</v>
      </c>
      <c r="E135" s="1">
        <v>7.3210000000000029E-3</v>
      </c>
      <c r="F135" s="1">
        <v>7.4180000000000038E-2</v>
      </c>
    </row>
    <row r="136" spans="1:6" x14ac:dyDescent="0.2">
      <c r="A136" s="1">
        <v>4</v>
      </c>
      <c r="B136" s="1">
        <v>2</v>
      </c>
      <c r="C136" s="1">
        <v>-5</v>
      </c>
      <c r="D136" s="1">
        <v>9.8590000000000018</v>
      </c>
      <c r="E136" s="1">
        <v>-8.969000000000003E-3</v>
      </c>
      <c r="F136" s="1">
        <v>-5.325000000000002E-2</v>
      </c>
    </row>
    <row r="137" spans="1:6" x14ac:dyDescent="0.2">
      <c r="A137" s="1">
        <v>4</v>
      </c>
      <c r="B137" s="1">
        <v>2</v>
      </c>
      <c r="C137" s="1">
        <v>-4</v>
      </c>
      <c r="D137" s="1">
        <v>9.8670000000000027</v>
      </c>
      <c r="E137" s="1">
        <v>-8.7660000000000038E-4</v>
      </c>
      <c r="F137" s="1">
        <v>-5.325000000000002E-2</v>
      </c>
    </row>
    <row r="138" spans="1:6" x14ac:dyDescent="0.2">
      <c r="A138" s="1">
        <v>4</v>
      </c>
      <c r="B138" s="1">
        <v>2</v>
      </c>
      <c r="C138" s="1">
        <v>-3</v>
      </c>
      <c r="D138" s="1">
        <v>9.8670000000000027</v>
      </c>
      <c r="E138" s="1">
        <v>-9.9080000000000045E-4</v>
      </c>
      <c r="F138" s="1">
        <v>-5.325000000000002E-2</v>
      </c>
    </row>
    <row r="139" spans="1:6" x14ac:dyDescent="0.2">
      <c r="A139" s="1">
        <v>4</v>
      </c>
      <c r="B139" s="1">
        <v>2</v>
      </c>
      <c r="C139" s="1">
        <v>-2</v>
      </c>
      <c r="D139" s="1">
        <v>9.8620000000000019</v>
      </c>
      <c r="E139" s="1">
        <v>-6.8120000000000029E-3</v>
      </c>
      <c r="F139" s="1">
        <v>-5.325000000000002E-2</v>
      </c>
    </row>
    <row r="140" spans="1:6" x14ac:dyDescent="0.2">
      <c r="A140" s="1">
        <v>4</v>
      </c>
      <c r="B140" s="1">
        <v>2</v>
      </c>
      <c r="C140" s="1">
        <v>-1</v>
      </c>
      <c r="D140" s="1">
        <v>9.849000000000002</v>
      </c>
      <c r="E140" s="1">
        <v>-1.935000000000001E-2</v>
      </c>
      <c r="F140" s="1">
        <v>-5.325000000000002E-2</v>
      </c>
    </row>
    <row r="141" spans="1:6" x14ac:dyDescent="0.2">
      <c r="A141" s="1">
        <v>4</v>
      </c>
      <c r="B141" s="1">
        <v>2</v>
      </c>
      <c r="C141" s="1">
        <v>0</v>
      </c>
      <c r="D141" s="1">
        <v>9.7860000000000031</v>
      </c>
      <c r="E141" s="1">
        <v>-2.233000000000001E-2</v>
      </c>
      <c r="F141" s="1">
        <v>6.5070000000000031E-2</v>
      </c>
    </row>
    <row r="142" spans="1:6" x14ac:dyDescent="0.2">
      <c r="A142" s="1">
        <v>4</v>
      </c>
      <c r="B142" s="1">
        <v>2</v>
      </c>
      <c r="C142" s="1">
        <v>1</v>
      </c>
      <c r="D142" s="1">
        <v>9.8020000000000032</v>
      </c>
      <c r="E142" s="1">
        <v>-5.9630000000000022E-3</v>
      </c>
      <c r="F142" s="1">
        <v>6.5070000000000031E-2</v>
      </c>
    </row>
    <row r="143" spans="1:6" x14ac:dyDescent="0.2">
      <c r="A143" s="1">
        <v>4</v>
      </c>
      <c r="B143" s="1">
        <v>2</v>
      </c>
      <c r="C143" s="1">
        <v>2</v>
      </c>
      <c r="D143" s="1">
        <v>9.8080000000000016</v>
      </c>
      <c r="E143" s="1">
        <v>-6.9590000000000038E-4</v>
      </c>
      <c r="F143" s="1">
        <v>6.5070000000000031E-2</v>
      </c>
    </row>
    <row r="144" spans="1:6" x14ac:dyDescent="0.2">
      <c r="A144" s="1">
        <v>4</v>
      </c>
      <c r="B144" s="1">
        <v>2</v>
      </c>
      <c r="C144" s="1">
        <v>3</v>
      </c>
      <c r="D144" s="1">
        <v>9.8300000000000018</v>
      </c>
      <c r="E144" s="1">
        <v>2.163000000000001E-2</v>
      </c>
      <c r="F144" s="1">
        <v>6.5070000000000031E-2</v>
      </c>
    </row>
    <row r="145" spans="1:6" x14ac:dyDescent="0.2">
      <c r="A145" s="1">
        <v>4</v>
      </c>
      <c r="B145" s="1">
        <v>2</v>
      </c>
      <c r="C145" s="1">
        <v>4</v>
      </c>
      <c r="D145" s="1">
        <v>9.8120000000000029</v>
      </c>
      <c r="E145" s="1">
        <v>3.7270000000000016E-3</v>
      </c>
      <c r="F145" s="1">
        <v>6.5070000000000031E-2</v>
      </c>
    </row>
    <row r="146" spans="1:6" x14ac:dyDescent="0.2">
      <c r="A146" s="1">
        <v>4</v>
      </c>
      <c r="B146" s="1">
        <v>3</v>
      </c>
      <c r="C146" s="1">
        <v>-5</v>
      </c>
      <c r="D146" s="1">
        <v>10.020000000000001</v>
      </c>
      <c r="E146" s="1">
        <v>-7.557000000000003E-3</v>
      </c>
      <c r="F146" s="1">
        <v>-2.0080000000000008E-2</v>
      </c>
    </row>
    <row r="147" spans="1:6" x14ac:dyDescent="0.2">
      <c r="A147" s="1">
        <v>4</v>
      </c>
      <c r="B147" s="1">
        <v>3</v>
      </c>
      <c r="C147" s="1">
        <v>-4</v>
      </c>
      <c r="D147" s="1">
        <v>10.020000000000001</v>
      </c>
      <c r="E147" s="1">
        <v>-3.5250000000000012E-3</v>
      </c>
      <c r="F147" s="1">
        <v>-2.0080000000000008E-2</v>
      </c>
    </row>
    <row r="148" spans="1:6" x14ac:dyDescent="0.2">
      <c r="A148" s="1">
        <v>4</v>
      </c>
      <c r="B148" s="1">
        <v>3</v>
      </c>
      <c r="C148" s="1">
        <v>-3</v>
      </c>
      <c r="D148" s="1">
        <v>10.030000000000001</v>
      </c>
      <c r="E148" s="1">
        <v>3.0700000000000011E-3</v>
      </c>
      <c r="F148" s="1">
        <v>-2.0080000000000008E-2</v>
      </c>
    </row>
    <row r="149" spans="1:6" x14ac:dyDescent="0.2">
      <c r="A149" s="1">
        <v>4</v>
      </c>
      <c r="B149" s="1">
        <v>3</v>
      </c>
      <c r="C149" s="1">
        <v>-2</v>
      </c>
      <c r="D149" s="1">
        <v>10.020000000000001</v>
      </c>
      <c r="E149" s="1">
        <v>-5.6900000000000023E-3</v>
      </c>
      <c r="F149" s="1">
        <v>-2.0080000000000008E-2</v>
      </c>
    </row>
    <row r="150" spans="1:6" x14ac:dyDescent="0.2">
      <c r="A150" s="1">
        <v>4</v>
      </c>
      <c r="B150" s="1">
        <v>3</v>
      </c>
      <c r="C150" s="1">
        <v>-1</v>
      </c>
      <c r="D150" s="1">
        <v>10.020000000000001</v>
      </c>
      <c r="E150" s="1">
        <v>-1.0730000000000005E-2</v>
      </c>
      <c r="F150" s="1">
        <v>-2.0080000000000008E-2</v>
      </c>
    </row>
    <row r="151" spans="1:6" x14ac:dyDescent="0.2">
      <c r="A151" s="1">
        <v>4</v>
      </c>
      <c r="B151" s="1">
        <v>3</v>
      </c>
      <c r="C151" s="1">
        <v>0</v>
      </c>
      <c r="D151" s="1">
        <v>9.985000000000003</v>
      </c>
      <c r="E151" s="1">
        <v>-2.1950000000000008E-2</v>
      </c>
      <c r="F151" s="1">
        <v>6.7880000000000024E-2</v>
      </c>
    </row>
    <row r="152" spans="1:6" x14ac:dyDescent="0.2">
      <c r="A152" s="1">
        <v>4</v>
      </c>
      <c r="B152" s="1">
        <v>3</v>
      </c>
      <c r="C152" s="1">
        <v>1</v>
      </c>
      <c r="D152" s="1">
        <v>10.000000000000002</v>
      </c>
      <c r="E152" s="1">
        <v>-5.3330000000000018E-3</v>
      </c>
      <c r="F152" s="1">
        <v>6.7880000000000024E-2</v>
      </c>
    </row>
    <row r="153" spans="1:6" x14ac:dyDescent="0.2">
      <c r="A153" s="1">
        <v>4</v>
      </c>
      <c r="B153" s="1">
        <v>3</v>
      </c>
      <c r="C153" s="1">
        <v>2</v>
      </c>
      <c r="D153" s="1">
        <v>10.010000000000002</v>
      </c>
      <c r="E153" s="1">
        <v>-2.0020000000000007E-3</v>
      </c>
      <c r="F153" s="1">
        <v>6.7880000000000024E-2</v>
      </c>
    </row>
    <row r="154" spans="1:6" x14ac:dyDescent="0.2">
      <c r="A154" s="1">
        <v>4</v>
      </c>
      <c r="B154" s="1">
        <v>3</v>
      </c>
      <c r="C154" s="1">
        <v>3</v>
      </c>
      <c r="D154" s="1">
        <v>10.030000000000001</v>
      </c>
      <c r="E154" s="1">
        <v>2.5940000000000012E-2</v>
      </c>
      <c r="F154" s="1">
        <v>6.7880000000000024E-2</v>
      </c>
    </row>
    <row r="155" spans="1:6" x14ac:dyDescent="0.2">
      <c r="A155" s="1">
        <v>4</v>
      </c>
      <c r="B155" s="1">
        <v>3</v>
      </c>
      <c r="C155" s="1">
        <v>4</v>
      </c>
      <c r="D155" s="1">
        <v>10.010000000000002</v>
      </c>
      <c r="E155" s="1">
        <v>5.9080000000000027E-3</v>
      </c>
      <c r="F155" s="1">
        <v>6.7880000000000024E-2</v>
      </c>
    </row>
    <row r="156" spans="1:6" x14ac:dyDescent="0.2">
      <c r="A156" s="1">
        <v>4</v>
      </c>
      <c r="B156" s="1">
        <v>4</v>
      </c>
      <c r="C156" s="1">
        <v>-5</v>
      </c>
      <c r="D156" s="1">
        <v>10.220000000000002</v>
      </c>
      <c r="E156" s="1">
        <v>-6.1310000000000019E-3</v>
      </c>
      <c r="F156" s="1">
        <v>3.1070000000000014E-2</v>
      </c>
    </row>
    <row r="157" spans="1:6" x14ac:dyDescent="0.2">
      <c r="A157" s="1">
        <v>4</v>
      </c>
      <c r="B157" s="1">
        <v>4</v>
      </c>
      <c r="C157" s="1">
        <v>-4</v>
      </c>
      <c r="D157" s="1">
        <v>10.230000000000002</v>
      </c>
      <c r="E157" s="1">
        <v>8.1690000000000039E-4</v>
      </c>
      <c r="F157" s="1">
        <v>3.1070000000000014E-2</v>
      </c>
    </row>
    <row r="158" spans="1:6" x14ac:dyDescent="0.2">
      <c r="A158" s="1">
        <v>4</v>
      </c>
      <c r="B158" s="1">
        <v>4</v>
      </c>
      <c r="C158" s="1">
        <v>-3</v>
      </c>
      <c r="D158" s="1">
        <v>10.240000000000002</v>
      </c>
      <c r="E158" s="1">
        <v>1.1680000000000005E-2</v>
      </c>
      <c r="F158" s="1">
        <v>3.1070000000000014E-2</v>
      </c>
    </row>
    <row r="159" spans="1:6" x14ac:dyDescent="0.2">
      <c r="A159" s="1">
        <v>4</v>
      </c>
      <c r="B159" s="1">
        <v>4</v>
      </c>
      <c r="C159" s="1">
        <v>-2</v>
      </c>
      <c r="D159" s="1">
        <v>10.220000000000002</v>
      </c>
      <c r="E159" s="1">
        <v>-4.5150000000000017E-3</v>
      </c>
      <c r="F159" s="1">
        <v>3.1070000000000014E-2</v>
      </c>
    </row>
    <row r="160" spans="1:6" x14ac:dyDescent="0.2">
      <c r="A160" s="1">
        <v>4</v>
      </c>
      <c r="B160" s="1">
        <v>4</v>
      </c>
      <c r="C160" s="1">
        <v>-1</v>
      </c>
      <c r="D160" s="1">
        <v>10.220000000000002</v>
      </c>
      <c r="E160" s="1">
        <v>-2.154000000000001E-3</v>
      </c>
      <c r="F160" s="1">
        <v>3.1070000000000014E-2</v>
      </c>
    </row>
    <row r="161" spans="1:6" x14ac:dyDescent="0.2">
      <c r="A161" s="1">
        <v>4</v>
      </c>
      <c r="B161" s="1">
        <v>4</v>
      </c>
      <c r="C161" s="1">
        <v>0</v>
      </c>
      <c r="D161" s="1">
        <v>10.210000000000003</v>
      </c>
      <c r="E161" s="1">
        <v>-3.6790000000000017E-2</v>
      </c>
      <c r="F161" s="1">
        <v>5.2160000000000019E-2</v>
      </c>
    </row>
    <row r="162" spans="1:6" x14ac:dyDescent="0.2">
      <c r="A162" s="1">
        <v>4</v>
      </c>
      <c r="B162" s="1">
        <v>4</v>
      </c>
      <c r="C162" s="1">
        <v>1</v>
      </c>
      <c r="D162" s="1">
        <v>10.230000000000002</v>
      </c>
      <c r="E162" s="1">
        <v>-1.5410000000000007E-2</v>
      </c>
      <c r="F162" s="1">
        <v>5.2160000000000019E-2</v>
      </c>
    </row>
    <row r="163" spans="1:6" x14ac:dyDescent="0.2">
      <c r="A163" s="1">
        <v>4</v>
      </c>
      <c r="B163" s="1">
        <v>4</v>
      </c>
      <c r="C163" s="1">
        <v>2</v>
      </c>
      <c r="D163" s="1">
        <v>10.240000000000002</v>
      </c>
      <c r="E163" s="1">
        <v>-6.7840000000000027E-3</v>
      </c>
      <c r="F163" s="1">
        <v>5.2160000000000019E-2</v>
      </c>
    </row>
    <row r="164" spans="1:6" x14ac:dyDescent="0.2">
      <c r="A164" s="1">
        <v>4</v>
      </c>
      <c r="B164" s="1">
        <v>4</v>
      </c>
      <c r="C164" s="1">
        <v>3</v>
      </c>
      <c r="D164" s="1">
        <v>10.280000000000001</v>
      </c>
      <c r="E164" s="1">
        <v>3.5890000000000012E-2</v>
      </c>
      <c r="F164" s="1">
        <v>5.2160000000000019E-2</v>
      </c>
    </row>
    <row r="165" spans="1:6" x14ac:dyDescent="0.2">
      <c r="A165" s="1">
        <v>4</v>
      </c>
      <c r="B165" s="1">
        <v>4</v>
      </c>
      <c r="C165" s="1">
        <v>4</v>
      </c>
      <c r="D165" s="1">
        <v>10.250000000000002</v>
      </c>
      <c r="E165" s="1">
        <v>2.4010000000000008E-3</v>
      </c>
      <c r="F165" s="1">
        <v>5.2160000000000019E-2</v>
      </c>
    </row>
  </sheetData>
  <mergeCells count="1">
    <mergeCell ref="D4:F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F9E3D-963B-4F22-9F82-6D0552F1EB68}">
  <dimension ref="A1:I406"/>
  <sheetViews>
    <sheetView zoomScale="85" zoomScaleNormal="85" workbookViewId="0">
      <selection activeCell="A4" sqref="A4"/>
    </sheetView>
  </sheetViews>
  <sheetFormatPr baseColWidth="10" defaultColWidth="8.83203125" defaultRowHeight="15" x14ac:dyDescent="0.2"/>
  <cols>
    <col min="1" max="5" width="12.5" customWidth="1"/>
    <col min="6" max="6" width="13.5" customWidth="1"/>
    <col min="7" max="7" width="12.5" customWidth="1"/>
  </cols>
  <sheetData>
    <row r="1" spans="1:9" x14ac:dyDescent="0.2">
      <c r="A1" t="s">
        <v>16</v>
      </c>
    </row>
    <row r="2" spans="1:9" x14ac:dyDescent="0.2">
      <c r="A2" t="s">
        <v>21</v>
      </c>
      <c r="B2">
        <v>1600</v>
      </c>
    </row>
    <row r="5" spans="1:9" x14ac:dyDescent="0.2">
      <c r="C5" s="9" t="s">
        <v>2</v>
      </c>
      <c r="D5" s="9"/>
      <c r="E5" s="9"/>
    </row>
    <row r="6" spans="1:9" ht="32" x14ac:dyDescent="0.2">
      <c r="A6" s="3" t="s">
        <v>11</v>
      </c>
      <c r="B6" s="3" t="s">
        <v>12</v>
      </c>
      <c r="C6" s="3" t="s">
        <v>13</v>
      </c>
      <c r="D6" s="3" t="s">
        <v>14</v>
      </c>
      <c r="E6" s="3" t="s">
        <v>15</v>
      </c>
      <c r="F6" s="3" t="s">
        <v>9</v>
      </c>
    </row>
    <row r="7" spans="1:9" x14ac:dyDescent="0.2">
      <c r="A7" s="1">
        <v>1</v>
      </c>
      <c r="B7" s="1">
        <v>1</v>
      </c>
      <c r="C7" s="1">
        <v>-7.871000000000003E-2</v>
      </c>
      <c r="D7" s="1">
        <v>-6.0900000000000024E-2</v>
      </c>
      <c r="E7" s="1">
        <v>-1.8610000000000008E-2</v>
      </c>
      <c r="F7" s="5">
        <v>34500</v>
      </c>
      <c r="G7" s="1"/>
    </row>
    <row r="8" spans="1:9" x14ac:dyDescent="0.2">
      <c r="A8" s="1">
        <v>1</v>
      </c>
      <c r="B8" s="1">
        <v>2</v>
      </c>
      <c r="C8" s="1">
        <v>-5.6330000000000026E-2</v>
      </c>
      <c r="D8" s="1">
        <v>-6.7920000000000022E-2</v>
      </c>
      <c r="E8" s="1">
        <v>-4.897000000000002E-2</v>
      </c>
      <c r="F8" s="5">
        <v>45500</v>
      </c>
      <c r="G8" s="1"/>
      <c r="I8" s="4"/>
    </row>
    <row r="9" spans="1:9" x14ac:dyDescent="0.2">
      <c r="A9" s="1">
        <v>1</v>
      </c>
      <c r="B9" s="1">
        <v>3</v>
      </c>
      <c r="C9" s="1">
        <v>-7.1960000000000027E-3</v>
      </c>
      <c r="D9" s="1">
        <v>-4.9450000000000022E-2</v>
      </c>
      <c r="E9" s="1">
        <v>-5.477000000000002E-2</v>
      </c>
      <c r="F9" s="5">
        <v>30500</v>
      </c>
      <c r="G9" s="1"/>
    </row>
    <row r="10" spans="1:9" x14ac:dyDescent="0.2">
      <c r="A10" s="1">
        <v>1</v>
      </c>
      <c r="B10" s="1">
        <v>4</v>
      </c>
      <c r="C10" s="1">
        <v>4.4770000000000018E-2</v>
      </c>
      <c r="D10" s="1">
        <v>-3.6650000000000016E-2</v>
      </c>
      <c r="E10" s="1">
        <v>-3.5550000000000012E-2</v>
      </c>
      <c r="F10" s="5">
        <v>60000</v>
      </c>
      <c r="G10" s="1"/>
    </row>
    <row r="11" spans="1:9" x14ac:dyDescent="0.2">
      <c r="A11" s="1">
        <v>1</v>
      </c>
      <c r="B11" s="1">
        <v>5</v>
      </c>
      <c r="C11" s="1">
        <v>3.6030000000000013E-2</v>
      </c>
      <c r="D11" s="1">
        <v>-4.770000000000002E-2</v>
      </c>
      <c r="E11" s="1">
        <v>-4.4610000000000018E-2</v>
      </c>
      <c r="F11" s="5">
        <v>15500</v>
      </c>
      <c r="G11" s="1"/>
    </row>
    <row r="12" spans="1:9" x14ac:dyDescent="0.2">
      <c r="A12" s="1">
        <v>1</v>
      </c>
      <c r="B12" s="1">
        <v>6</v>
      </c>
      <c r="C12" s="1">
        <v>5.5920000000000025E-2</v>
      </c>
      <c r="D12" s="1">
        <v>-5.9230000000000026E-2</v>
      </c>
      <c r="E12" s="1">
        <v>-3.6880000000000017E-2</v>
      </c>
      <c r="F12" s="5">
        <v>13500</v>
      </c>
      <c r="G12" s="1"/>
    </row>
    <row r="13" spans="1:9" x14ac:dyDescent="0.2">
      <c r="A13" s="1">
        <v>1</v>
      </c>
      <c r="B13" s="1">
        <v>7</v>
      </c>
      <c r="C13" s="1">
        <v>3.9000000000000014E-2</v>
      </c>
      <c r="D13" s="1">
        <v>-6.388000000000002E-2</v>
      </c>
      <c r="E13" s="1">
        <v>-7.6080000000000036E-2</v>
      </c>
      <c r="F13" s="5">
        <v>16500</v>
      </c>
      <c r="G13" s="1"/>
    </row>
    <row r="14" spans="1:9" x14ac:dyDescent="0.2">
      <c r="A14" s="1">
        <v>1</v>
      </c>
      <c r="B14" s="1">
        <v>8</v>
      </c>
      <c r="C14" s="1">
        <v>6.3560000000000033E-2</v>
      </c>
      <c r="D14" s="1">
        <v>-7.5930000000000025E-2</v>
      </c>
      <c r="E14" s="1">
        <v>-6.2240000000000024E-2</v>
      </c>
      <c r="F14" s="5">
        <v>28500</v>
      </c>
      <c r="G14" s="1"/>
    </row>
    <row r="15" spans="1:9" x14ac:dyDescent="0.2">
      <c r="A15" s="1">
        <v>1</v>
      </c>
      <c r="B15" s="1">
        <v>9</v>
      </c>
      <c r="C15" s="1">
        <v>0.12180000000000003</v>
      </c>
      <c r="D15" s="1">
        <v>-5.0050000000000018E-2</v>
      </c>
      <c r="E15" s="1">
        <v>-4.8580000000000019E-2</v>
      </c>
      <c r="F15" s="5">
        <v>26500</v>
      </c>
      <c r="G15" s="1"/>
    </row>
    <row r="16" spans="1:9" x14ac:dyDescent="0.2">
      <c r="A16" s="1">
        <v>1</v>
      </c>
      <c r="B16" s="1">
        <v>10</v>
      </c>
      <c r="C16" s="1">
        <v>8.551000000000003E-2</v>
      </c>
      <c r="D16" s="1">
        <v>-7.6850000000000029E-2</v>
      </c>
      <c r="E16" s="1">
        <v>-6.883000000000003E-2</v>
      </c>
      <c r="F16" s="5">
        <v>16000</v>
      </c>
      <c r="G16" s="1"/>
    </row>
    <row r="17" spans="1:7" x14ac:dyDescent="0.2">
      <c r="A17" s="1">
        <v>1</v>
      </c>
      <c r="B17" s="1">
        <v>11</v>
      </c>
      <c r="C17" s="1">
        <v>3.0630000000000011E-2</v>
      </c>
      <c r="D17" s="1">
        <v>-0.12630000000000005</v>
      </c>
      <c r="E17" s="1">
        <v>-8.4980000000000042E-2</v>
      </c>
      <c r="F17" s="5">
        <v>14500</v>
      </c>
      <c r="G17" s="1"/>
    </row>
    <row r="18" spans="1:7" x14ac:dyDescent="0.2">
      <c r="A18" s="1">
        <v>1</v>
      </c>
      <c r="B18" s="1">
        <v>12</v>
      </c>
      <c r="C18" s="1">
        <v>9.1280000000000042E-2</v>
      </c>
      <c r="D18" s="1">
        <v>-7.7070000000000027E-2</v>
      </c>
      <c r="E18" s="1">
        <v>-9.2580000000000037E-2</v>
      </c>
      <c r="F18" s="5">
        <v>24000</v>
      </c>
      <c r="G18" s="1"/>
    </row>
    <row r="19" spans="1:7" x14ac:dyDescent="0.2">
      <c r="A19" s="1">
        <v>1</v>
      </c>
      <c r="B19" s="1">
        <v>13</v>
      </c>
      <c r="C19" s="1">
        <v>0.10760000000000003</v>
      </c>
      <c r="D19" s="1">
        <v>-0.10280000000000003</v>
      </c>
      <c r="E19" s="1">
        <v>-7.2310000000000027E-2</v>
      </c>
      <c r="F19" s="5">
        <v>17000</v>
      </c>
      <c r="G19" s="1"/>
    </row>
    <row r="20" spans="1:7" x14ac:dyDescent="0.2">
      <c r="A20" s="1">
        <v>1</v>
      </c>
      <c r="B20" s="1">
        <v>14</v>
      </c>
      <c r="C20" s="1">
        <v>0.10730000000000003</v>
      </c>
      <c r="D20" s="1">
        <v>-8.2630000000000037E-2</v>
      </c>
      <c r="E20" s="1">
        <v>-0.11430000000000004</v>
      </c>
      <c r="F20" s="5">
        <v>20000</v>
      </c>
      <c r="G20" s="1"/>
    </row>
    <row r="21" spans="1:7" x14ac:dyDescent="0.2">
      <c r="A21" s="1">
        <v>1</v>
      </c>
      <c r="B21" s="1">
        <v>15</v>
      </c>
      <c r="C21" s="1">
        <v>6.7820000000000033E-2</v>
      </c>
      <c r="D21" s="1">
        <v>-8.2910000000000039E-2</v>
      </c>
      <c r="E21" s="1">
        <v>-0.16850000000000007</v>
      </c>
      <c r="F21" s="5">
        <v>24000</v>
      </c>
      <c r="G21" s="1"/>
    </row>
    <row r="22" spans="1:7" x14ac:dyDescent="0.2">
      <c r="A22" s="1">
        <v>1</v>
      </c>
      <c r="B22" s="1">
        <v>16</v>
      </c>
      <c r="C22" s="1">
        <v>0.14380000000000004</v>
      </c>
      <c r="D22" s="1">
        <v>-9.0510000000000035E-2</v>
      </c>
      <c r="E22" s="1">
        <v>-0.11170000000000004</v>
      </c>
      <c r="F22" s="5">
        <v>19500</v>
      </c>
      <c r="G22" s="1"/>
    </row>
    <row r="23" spans="1:7" x14ac:dyDescent="0.2">
      <c r="A23" s="1">
        <v>1</v>
      </c>
      <c r="B23" s="1">
        <v>17</v>
      </c>
      <c r="C23" s="1">
        <v>0.20540000000000005</v>
      </c>
      <c r="D23" s="1">
        <v>-9.7030000000000047E-2</v>
      </c>
      <c r="E23" s="1">
        <v>-6.8420000000000022E-2</v>
      </c>
      <c r="F23" s="5">
        <v>8400</v>
      </c>
      <c r="G23" s="1"/>
    </row>
    <row r="24" spans="1:7" x14ac:dyDescent="0.2">
      <c r="A24" s="1">
        <v>1</v>
      </c>
      <c r="B24" s="1">
        <v>18</v>
      </c>
      <c r="C24" s="1">
        <v>0.15860000000000005</v>
      </c>
      <c r="D24" s="1">
        <v>-9.429000000000004E-2</v>
      </c>
      <c r="E24" s="1">
        <v>-0.15080000000000005</v>
      </c>
      <c r="F24" s="5">
        <v>4800</v>
      </c>
      <c r="G24" s="1"/>
    </row>
    <row r="25" spans="1:7" x14ac:dyDescent="0.2">
      <c r="A25" s="1">
        <v>1</v>
      </c>
      <c r="B25" s="1">
        <v>19</v>
      </c>
      <c r="C25" s="1">
        <v>0.21800000000000008</v>
      </c>
      <c r="D25" s="1">
        <v>-0.10240000000000003</v>
      </c>
      <c r="E25" s="1">
        <v>-0.13330000000000003</v>
      </c>
      <c r="F25" s="5">
        <v>6100</v>
      </c>
      <c r="G25" s="1"/>
    </row>
    <row r="26" spans="1:7" x14ac:dyDescent="0.2">
      <c r="A26" s="1">
        <v>1</v>
      </c>
      <c r="B26" s="1">
        <v>20</v>
      </c>
      <c r="C26" s="1">
        <v>0.27460000000000007</v>
      </c>
      <c r="D26" s="1">
        <v>-0.14810000000000004</v>
      </c>
      <c r="E26" s="1">
        <v>-0.13890000000000005</v>
      </c>
      <c r="F26" s="5">
        <v>3500</v>
      </c>
      <c r="G26" s="1"/>
    </row>
    <row r="27" spans="1:7" x14ac:dyDescent="0.2">
      <c r="A27" s="1">
        <v>2</v>
      </c>
      <c r="B27" s="1">
        <v>1</v>
      </c>
      <c r="C27" s="1">
        <v>-8.9450000000000043E-2</v>
      </c>
      <c r="D27" s="1">
        <v>-4.8190000000000018E-2</v>
      </c>
      <c r="E27" s="1">
        <v>1.2740000000000005E-2</v>
      </c>
      <c r="F27" s="5">
        <v>39500</v>
      </c>
      <c r="G27" s="1"/>
    </row>
    <row r="28" spans="1:7" x14ac:dyDescent="0.2">
      <c r="A28" s="1">
        <v>2</v>
      </c>
      <c r="B28" s="1">
        <v>2</v>
      </c>
      <c r="C28" s="1">
        <v>-6.6120000000000026E-2</v>
      </c>
      <c r="D28" s="1">
        <v>-5.493000000000002E-2</v>
      </c>
      <c r="E28" s="1">
        <v>-1.2190000000000005E-2</v>
      </c>
      <c r="F28" s="5">
        <v>24500</v>
      </c>
      <c r="G28" s="1"/>
    </row>
    <row r="29" spans="1:7" x14ac:dyDescent="0.2">
      <c r="A29" s="1">
        <v>2</v>
      </c>
      <c r="B29" s="1">
        <v>3</v>
      </c>
      <c r="C29" s="1">
        <v>-2.742000000000001E-2</v>
      </c>
      <c r="D29" s="1">
        <v>-4.6820000000000021E-2</v>
      </c>
      <c r="E29" s="1">
        <v>-1.9080000000000007E-2</v>
      </c>
      <c r="F29" s="5">
        <v>29500</v>
      </c>
      <c r="G29" s="1"/>
    </row>
    <row r="30" spans="1:7" x14ac:dyDescent="0.2">
      <c r="A30" s="1">
        <v>2</v>
      </c>
      <c r="B30" s="1">
        <v>4</v>
      </c>
      <c r="C30" s="1">
        <v>5.0980000000000018E-3</v>
      </c>
      <c r="D30" s="1">
        <v>-4.2340000000000017E-2</v>
      </c>
      <c r="E30" s="1">
        <v>-7.5000000000000032E-3</v>
      </c>
      <c r="F30" s="5">
        <v>37500</v>
      </c>
      <c r="G30" s="1"/>
    </row>
    <row r="31" spans="1:7" x14ac:dyDescent="0.2">
      <c r="A31" s="1">
        <v>2</v>
      </c>
      <c r="B31" s="1">
        <v>5</v>
      </c>
      <c r="C31" s="1">
        <v>6.5950000000000028E-3</v>
      </c>
      <c r="D31" s="1">
        <v>-3.7230000000000013E-2</v>
      </c>
      <c r="E31" s="1">
        <v>-2.3970000000000009E-2</v>
      </c>
      <c r="F31" s="5">
        <v>22000</v>
      </c>
      <c r="G31" s="1"/>
    </row>
    <row r="32" spans="1:7" x14ac:dyDescent="0.2">
      <c r="A32" s="1">
        <v>2</v>
      </c>
      <c r="B32" s="1">
        <v>6</v>
      </c>
      <c r="C32" s="1">
        <v>2.1160000000000009E-2</v>
      </c>
      <c r="D32" s="1">
        <v>-5.0210000000000019E-2</v>
      </c>
      <c r="E32" s="1">
        <v>-1.6100000000000007E-2</v>
      </c>
      <c r="F32" s="5">
        <v>12500</v>
      </c>
      <c r="G32" s="1"/>
    </row>
    <row r="33" spans="1:7" x14ac:dyDescent="0.2">
      <c r="A33" s="1">
        <v>2</v>
      </c>
      <c r="B33" s="1">
        <v>7</v>
      </c>
      <c r="C33" s="1">
        <v>2.521000000000001E-2</v>
      </c>
      <c r="D33" s="1">
        <v>-4.5290000000000018E-2</v>
      </c>
      <c r="E33" s="1">
        <v>-4.4250000000000018E-2</v>
      </c>
      <c r="F33" s="5">
        <v>16500</v>
      </c>
      <c r="G33" s="1"/>
    </row>
    <row r="34" spans="1:7" x14ac:dyDescent="0.2">
      <c r="A34" s="1">
        <v>2</v>
      </c>
      <c r="B34" s="1">
        <v>8</v>
      </c>
      <c r="C34" s="1">
        <v>2.9990000000000013E-2</v>
      </c>
      <c r="D34" s="1">
        <v>-6.0360000000000025E-2</v>
      </c>
      <c r="E34" s="1">
        <v>-5.2290000000000024E-2</v>
      </c>
      <c r="F34" s="5">
        <v>27500</v>
      </c>
      <c r="G34" s="1"/>
    </row>
    <row r="35" spans="1:7" x14ac:dyDescent="0.2">
      <c r="A35" s="1">
        <v>2</v>
      </c>
      <c r="B35" s="1">
        <v>9</v>
      </c>
      <c r="C35" s="1">
        <v>5.7830000000000027E-2</v>
      </c>
      <c r="D35" s="1">
        <v>-6.0280000000000028E-2</v>
      </c>
      <c r="E35" s="1">
        <v>-3.8380000000000018E-2</v>
      </c>
      <c r="F35" s="5">
        <v>30500</v>
      </c>
      <c r="G35" s="1"/>
    </row>
    <row r="36" spans="1:7" x14ac:dyDescent="0.2">
      <c r="A36" s="1">
        <v>2</v>
      </c>
      <c r="B36" s="1">
        <v>10</v>
      </c>
      <c r="C36" s="1">
        <v>4.4990000000000016E-2</v>
      </c>
      <c r="D36" s="1">
        <v>-7.1310000000000026E-2</v>
      </c>
      <c r="E36" s="1">
        <v>-5.2760000000000022E-2</v>
      </c>
      <c r="F36" s="5">
        <v>15500</v>
      </c>
      <c r="G36" s="1"/>
    </row>
    <row r="37" spans="1:7" x14ac:dyDescent="0.2">
      <c r="A37" s="1">
        <v>2</v>
      </c>
      <c r="B37" s="1">
        <v>11</v>
      </c>
      <c r="C37" s="1">
        <v>1.5360000000000006E-2</v>
      </c>
      <c r="D37" s="1">
        <v>-0.11100000000000003</v>
      </c>
      <c r="E37" s="1">
        <v>-5.5010000000000024E-2</v>
      </c>
      <c r="F37" s="5">
        <v>14000</v>
      </c>
      <c r="G37" s="1"/>
    </row>
    <row r="38" spans="1:7" x14ac:dyDescent="0.2">
      <c r="A38" s="1">
        <v>2</v>
      </c>
      <c r="B38" s="1">
        <v>12</v>
      </c>
      <c r="C38" s="1">
        <v>5.5680000000000021E-2</v>
      </c>
      <c r="D38" s="1">
        <v>-7.4510000000000035E-2</v>
      </c>
      <c r="E38" s="1">
        <v>-6.6800000000000026E-2</v>
      </c>
      <c r="F38" s="5">
        <v>28000</v>
      </c>
      <c r="G38" s="1"/>
    </row>
    <row r="39" spans="1:7" x14ac:dyDescent="0.2">
      <c r="A39" s="1">
        <v>2</v>
      </c>
      <c r="B39" s="1">
        <v>13</v>
      </c>
      <c r="C39" s="1">
        <v>7.8680000000000028E-2</v>
      </c>
      <c r="D39" s="1">
        <v>-7.5860000000000039E-2</v>
      </c>
      <c r="E39" s="1">
        <v>-6.7340000000000025E-2</v>
      </c>
      <c r="F39" s="5">
        <v>18500</v>
      </c>
      <c r="G39" s="1"/>
    </row>
    <row r="40" spans="1:7" x14ac:dyDescent="0.2">
      <c r="A40" s="1">
        <v>2</v>
      </c>
      <c r="B40" s="1">
        <v>14</v>
      </c>
      <c r="C40" s="1">
        <v>7.5670000000000029E-2</v>
      </c>
      <c r="D40" s="1">
        <v>-7.0400000000000032E-2</v>
      </c>
      <c r="E40" s="1">
        <v>-9.4080000000000039E-2</v>
      </c>
      <c r="F40" s="5">
        <v>21000</v>
      </c>
      <c r="G40" s="1"/>
    </row>
    <row r="41" spans="1:7" x14ac:dyDescent="0.2">
      <c r="A41" s="1">
        <v>2</v>
      </c>
      <c r="B41" s="1">
        <v>15</v>
      </c>
      <c r="C41" s="1">
        <v>5.7450000000000022E-2</v>
      </c>
      <c r="D41" s="1">
        <v>-7.7060000000000031E-2</v>
      </c>
      <c r="E41" s="1">
        <v>-0.12540000000000004</v>
      </c>
      <c r="F41" s="5">
        <v>21500</v>
      </c>
      <c r="G41" s="1"/>
    </row>
    <row r="42" spans="1:7" x14ac:dyDescent="0.2">
      <c r="A42" s="1">
        <v>2</v>
      </c>
      <c r="B42" s="1">
        <v>16</v>
      </c>
      <c r="C42" s="1">
        <v>9.941000000000004E-2</v>
      </c>
      <c r="D42" s="1">
        <v>-8.6420000000000038E-2</v>
      </c>
      <c r="E42" s="1">
        <v>-9.8940000000000042E-2</v>
      </c>
      <c r="F42" s="5">
        <v>20000</v>
      </c>
      <c r="G42" s="1"/>
    </row>
    <row r="43" spans="1:7" x14ac:dyDescent="0.2">
      <c r="A43" s="1">
        <v>2</v>
      </c>
      <c r="B43" s="1">
        <v>17</v>
      </c>
      <c r="C43" s="1">
        <v>0.14430000000000004</v>
      </c>
      <c r="D43" s="1">
        <v>-9.0360000000000038E-2</v>
      </c>
      <c r="E43" s="1">
        <v>-7.7290000000000039E-2</v>
      </c>
      <c r="F43" s="5">
        <v>8400</v>
      </c>
      <c r="G43" s="1"/>
    </row>
    <row r="44" spans="1:7" x14ac:dyDescent="0.2">
      <c r="A44" s="1">
        <v>2</v>
      </c>
      <c r="B44" s="1">
        <v>18</v>
      </c>
      <c r="C44" s="1">
        <v>0.12040000000000003</v>
      </c>
      <c r="D44" s="1">
        <v>-0.10080000000000003</v>
      </c>
      <c r="E44" s="1">
        <v>-0.12150000000000004</v>
      </c>
      <c r="F44" s="5">
        <v>4700</v>
      </c>
      <c r="G44" s="1"/>
    </row>
    <row r="45" spans="1:7" x14ac:dyDescent="0.2">
      <c r="A45" s="1">
        <v>2</v>
      </c>
      <c r="B45" s="1">
        <v>19</v>
      </c>
      <c r="C45" s="1">
        <v>0.18920000000000006</v>
      </c>
      <c r="D45" s="1">
        <v>-0.10950000000000004</v>
      </c>
      <c r="E45" s="1">
        <v>-9.7010000000000041E-2</v>
      </c>
      <c r="F45" s="5">
        <v>6200</v>
      </c>
      <c r="G45" s="1"/>
    </row>
    <row r="46" spans="1:7" x14ac:dyDescent="0.2">
      <c r="A46" s="1">
        <v>2</v>
      </c>
      <c r="B46" s="1">
        <v>20</v>
      </c>
      <c r="C46" s="1">
        <v>0.28650000000000009</v>
      </c>
      <c r="D46" s="1">
        <v>-0.13480000000000003</v>
      </c>
      <c r="E46" s="1">
        <v>-8.3500000000000033E-2</v>
      </c>
      <c r="F46" s="5">
        <v>3800</v>
      </c>
      <c r="G46" s="1"/>
    </row>
    <row r="47" spans="1:7" x14ac:dyDescent="0.2">
      <c r="A47" s="1">
        <v>3</v>
      </c>
      <c r="B47" s="1">
        <v>1</v>
      </c>
      <c r="C47" s="1">
        <v>-7.915000000000004E-2</v>
      </c>
      <c r="D47" s="1">
        <v>-1.9720000000000008E-2</v>
      </c>
      <c r="E47" s="1">
        <v>3.3580000000000013E-2</v>
      </c>
      <c r="F47" s="5">
        <v>21000</v>
      </c>
      <c r="G47" s="1"/>
    </row>
    <row r="48" spans="1:7" x14ac:dyDescent="0.2">
      <c r="A48" s="1">
        <v>3</v>
      </c>
      <c r="B48" s="1">
        <v>2</v>
      </c>
      <c r="C48" s="1">
        <v>-4.829000000000002E-2</v>
      </c>
      <c r="D48" s="1">
        <v>-1.4800000000000006E-2</v>
      </c>
      <c r="E48" s="1">
        <v>3.4590000000000011E-3</v>
      </c>
      <c r="F48" s="5">
        <v>23500</v>
      </c>
      <c r="G48" s="1"/>
    </row>
    <row r="49" spans="1:7" x14ac:dyDescent="0.2">
      <c r="A49" s="1">
        <v>3</v>
      </c>
      <c r="B49" s="1">
        <v>3</v>
      </c>
      <c r="C49" s="1">
        <v>-1.6470000000000005E-2</v>
      </c>
      <c r="D49" s="1">
        <v>-1.3430000000000006E-2</v>
      </c>
      <c r="E49" s="1">
        <v>-3.0810000000000013E-3</v>
      </c>
      <c r="F49" s="5">
        <v>29000</v>
      </c>
      <c r="G49" s="1"/>
    </row>
    <row r="50" spans="1:7" x14ac:dyDescent="0.2">
      <c r="A50" s="1">
        <v>3</v>
      </c>
      <c r="B50" s="1">
        <v>4</v>
      </c>
      <c r="C50" s="1">
        <v>9.0270000000000038E-3</v>
      </c>
      <c r="D50" s="1">
        <v>-5.9110000000000022E-3</v>
      </c>
      <c r="E50" s="1">
        <v>-2.641000000000001E-3</v>
      </c>
      <c r="F50" s="5">
        <v>48000</v>
      </c>
      <c r="G50" s="1"/>
    </row>
    <row r="51" spans="1:7" x14ac:dyDescent="0.2">
      <c r="A51" s="1">
        <v>3</v>
      </c>
      <c r="B51" s="1">
        <v>5</v>
      </c>
      <c r="C51" s="1">
        <v>2.6890000000000011E-2</v>
      </c>
      <c r="D51" s="1">
        <v>4.6760000000000013E-3</v>
      </c>
      <c r="E51" s="1">
        <v>-6.6410000000000028E-3</v>
      </c>
      <c r="F51" s="5">
        <v>28500</v>
      </c>
      <c r="G51" s="1"/>
    </row>
    <row r="52" spans="1:7" x14ac:dyDescent="0.2">
      <c r="A52" s="1">
        <v>3</v>
      </c>
      <c r="B52" s="1">
        <v>6</v>
      </c>
      <c r="C52" s="1">
        <v>1.3630000000000005E-2</v>
      </c>
      <c r="D52" s="1">
        <v>-9.8210000000000033E-3</v>
      </c>
      <c r="E52" s="1">
        <v>-2.5680000000000012E-2</v>
      </c>
      <c r="F52" s="5">
        <v>39000</v>
      </c>
      <c r="G52" s="1"/>
    </row>
    <row r="53" spans="1:7" x14ac:dyDescent="0.2">
      <c r="A53" s="1">
        <v>3</v>
      </c>
      <c r="B53" s="1">
        <v>7</v>
      </c>
      <c r="C53" s="1">
        <v>2.0000000000000007E-2</v>
      </c>
      <c r="D53" s="1">
        <v>-3.0940000000000013E-2</v>
      </c>
      <c r="E53" s="1">
        <v>-2.9060000000000013E-2</v>
      </c>
      <c r="F53" s="5">
        <v>16500</v>
      </c>
      <c r="G53" s="1"/>
    </row>
    <row r="54" spans="1:7" x14ac:dyDescent="0.2">
      <c r="A54" s="1">
        <v>3</v>
      </c>
      <c r="B54" s="1">
        <v>8</v>
      </c>
      <c r="C54" s="1">
        <v>3.0690000000000012E-2</v>
      </c>
      <c r="D54" s="1">
        <v>-3.3650000000000013E-2</v>
      </c>
      <c r="E54" s="1">
        <v>-4.0840000000000015E-2</v>
      </c>
      <c r="F54" s="5">
        <v>44000</v>
      </c>
      <c r="G54" s="1"/>
    </row>
    <row r="55" spans="1:7" x14ac:dyDescent="0.2">
      <c r="A55" s="1">
        <v>3</v>
      </c>
      <c r="B55" s="1">
        <v>9</v>
      </c>
      <c r="C55" s="1">
        <v>6.5700000000000022E-2</v>
      </c>
      <c r="D55" s="1">
        <v>-1.7630000000000007E-2</v>
      </c>
      <c r="E55" s="1">
        <v>-3.9130000000000019E-2</v>
      </c>
      <c r="F55" s="5">
        <v>48500</v>
      </c>
      <c r="G55" s="1"/>
    </row>
    <row r="56" spans="1:7" x14ac:dyDescent="0.2">
      <c r="A56" s="1">
        <v>3</v>
      </c>
      <c r="B56" s="1">
        <v>10</v>
      </c>
      <c r="C56" s="1">
        <v>4.1290000000000014E-2</v>
      </c>
      <c r="D56" s="1">
        <v>-2.9060000000000013E-2</v>
      </c>
      <c r="E56" s="1">
        <v>-6.0820000000000027E-2</v>
      </c>
      <c r="F56" s="5">
        <v>33000</v>
      </c>
      <c r="G56" s="1"/>
    </row>
    <row r="57" spans="1:7" x14ac:dyDescent="0.2">
      <c r="A57" s="1">
        <v>3</v>
      </c>
      <c r="B57" s="1">
        <v>11</v>
      </c>
      <c r="C57" s="1">
        <v>2.9820000000000013E-2</v>
      </c>
      <c r="D57" s="1">
        <v>-4.625000000000002E-2</v>
      </c>
      <c r="E57" s="1">
        <v>-6.7740000000000022E-2</v>
      </c>
      <c r="F57" s="5">
        <v>13500</v>
      </c>
      <c r="G57" s="1"/>
    </row>
    <row r="58" spans="1:7" x14ac:dyDescent="0.2">
      <c r="A58" s="1">
        <v>3</v>
      </c>
      <c r="B58" s="1">
        <v>12</v>
      </c>
      <c r="C58" s="1">
        <v>5.5050000000000023E-2</v>
      </c>
      <c r="D58" s="1">
        <v>-5.298000000000002E-2</v>
      </c>
      <c r="E58" s="1">
        <v>-5.2260000000000022E-2</v>
      </c>
      <c r="F58" s="5">
        <v>26500</v>
      </c>
      <c r="G58" s="1"/>
    </row>
    <row r="59" spans="1:7" x14ac:dyDescent="0.2">
      <c r="A59" s="1">
        <v>3</v>
      </c>
      <c r="B59" s="1">
        <v>13</v>
      </c>
      <c r="C59" s="1">
        <v>8.5820000000000035E-2</v>
      </c>
      <c r="D59" s="1">
        <v>-5.1300000000000019E-2</v>
      </c>
      <c r="E59" s="1">
        <v>-4.6060000000000018E-2</v>
      </c>
      <c r="F59" s="5">
        <v>9700</v>
      </c>
      <c r="G59" s="1"/>
    </row>
    <row r="60" spans="1:7" x14ac:dyDescent="0.2">
      <c r="A60" s="1">
        <v>3</v>
      </c>
      <c r="B60" s="1">
        <v>14</v>
      </c>
      <c r="C60" s="1">
        <v>6.8220000000000031E-2</v>
      </c>
      <c r="D60" s="1">
        <v>-4.8610000000000021E-2</v>
      </c>
      <c r="E60" s="1">
        <v>-8.8030000000000039E-2</v>
      </c>
      <c r="F60" s="5">
        <v>19500</v>
      </c>
      <c r="G60" s="1"/>
    </row>
    <row r="61" spans="1:7" x14ac:dyDescent="0.2">
      <c r="A61" s="1">
        <v>3</v>
      </c>
      <c r="B61" s="1">
        <v>15</v>
      </c>
      <c r="C61" s="1">
        <v>5.0210000000000019E-2</v>
      </c>
      <c r="D61" s="1">
        <v>-4.4250000000000018E-2</v>
      </c>
      <c r="E61" s="1">
        <v>-0.12730000000000005</v>
      </c>
      <c r="F61" s="5">
        <v>21500</v>
      </c>
      <c r="G61" s="1"/>
    </row>
    <row r="62" spans="1:7" x14ac:dyDescent="0.2">
      <c r="A62" s="1">
        <v>3</v>
      </c>
      <c r="B62" s="1">
        <v>16</v>
      </c>
      <c r="C62" s="1">
        <v>8.4990000000000038E-2</v>
      </c>
      <c r="D62" s="1">
        <v>-5.0330000000000021E-2</v>
      </c>
      <c r="E62" s="1">
        <v>-0.11240000000000004</v>
      </c>
      <c r="F62" s="5">
        <v>22500</v>
      </c>
      <c r="G62" s="1"/>
    </row>
    <row r="63" spans="1:7" x14ac:dyDescent="0.2">
      <c r="A63" s="1">
        <v>3</v>
      </c>
      <c r="B63" s="1">
        <v>17</v>
      </c>
      <c r="C63" s="1">
        <v>0.13800000000000004</v>
      </c>
      <c r="D63" s="1">
        <v>-6.4340000000000022E-2</v>
      </c>
      <c r="E63" s="1">
        <v>-7.5220000000000037E-2</v>
      </c>
      <c r="F63" s="5">
        <v>7200</v>
      </c>
      <c r="G63" s="1"/>
    </row>
    <row r="64" spans="1:7" x14ac:dyDescent="0.2">
      <c r="A64" s="1">
        <v>3</v>
      </c>
      <c r="B64" s="1">
        <v>18</v>
      </c>
      <c r="C64" s="1">
        <v>9.0660000000000032E-2</v>
      </c>
      <c r="D64" s="1">
        <v>-5.3310000000000024E-2</v>
      </c>
      <c r="E64" s="1">
        <v>-0.16170000000000004</v>
      </c>
      <c r="F64" s="5">
        <v>5500</v>
      </c>
      <c r="G64" s="1"/>
    </row>
    <row r="65" spans="1:7" x14ac:dyDescent="0.2">
      <c r="A65" s="1">
        <v>3</v>
      </c>
      <c r="B65" s="1">
        <v>19</v>
      </c>
      <c r="C65" s="1">
        <v>0.15050000000000005</v>
      </c>
      <c r="D65" s="1">
        <v>-6.9270000000000026E-2</v>
      </c>
      <c r="E65" s="1">
        <v>-0.13790000000000005</v>
      </c>
      <c r="F65" s="5">
        <v>5700</v>
      </c>
      <c r="G65" s="1"/>
    </row>
    <row r="66" spans="1:7" x14ac:dyDescent="0.2">
      <c r="A66" s="1">
        <v>3</v>
      </c>
      <c r="B66" s="1">
        <v>20</v>
      </c>
      <c r="C66" s="1">
        <v>0.26030000000000009</v>
      </c>
      <c r="D66" s="1">
        <v>-0.11110000000000003</v>
      </c>
      <c r="E66" s="1">
        <v>-0.10360000000000004</v>
      </c>
      <c r="F66" s="5">
        <v>3500</v>
      </c>
      <c r="G66" s="1"/>
    </row>
    <row r="67" spans="1:7" x14ac:dyDescent="0.2">
      <c r="A67" s="1">
        <v>4</v>
      </c>
      <c r="B67" s="1">
        <v>1</v>
      </c>
      <c r="C67" s="1">
        <v>-0.10680000000000003</v>
      </c>
      <c r="D67" s="1">
        <v>-3.8700000000000019E-2</v>
      </c>
      <c r="E67" s="1">
        <v>4.7640000000000023E-2</v>
      </c>
      <c r="F67" s="5">
        <v>39000</v>
      </c>
      <c r="G67" s="1"/>
    </row>
    <row r="68" spans="1:7" x14ac:dyDescent="0.2">
      <c r="A68" s="1">
        <v>4</v>
      </c>
      <c r="B68" s="1">
        <v>2</v>
      </c>
      <c r="C68" s="1">
        <v>-5.672000000000002E-2</v>
      </c>
      <c r="D68" s="1">
        <v>-2.3630000000000009E-2</v>
      </c>
      <c r="E68" s="1">
        <v>2.0390000000000009E-2</v>
      </c>
      <c r="F68" s="5">
        <v>32500</v>
      </c>
      <c r="G68" s="1"/>
    </row>
    <row r="69" spans="1:7" x14ac:dyDescent="0.2">
      <c r="A69" s="1">
        <v>4</v>
      </c>
      <c r="B69" s="1">
        <v>3</v>
      </c>
      <c r="C69" s="1">
        <v>-3.6870000000000014E-2</v>
      </c>
      <c r="D69" s="1">
        <v>-3.1030000000000012E-2</v>
      </c>
      <c r="E69" s="1">
        <v>1.1660000000000005E-2</v>
      </c>
      <c r="F69" s="5">
        <v>40000</v>
      </c>
      <c r="G69" s="1"/>
    </row>
    <row r="70" spans="1:7" x14ac:dyDescent="0.2">
      <c r="A70" s="1">
        <v>4</v>
      </c>
      <c r="B70" s="1">
        <v>4</v>
      </c>
      <c r="C70" s="1">
        <v>-3.6320000000000012E-2</v>
      </c>
      <c r="D70" s="1">
        <v>-5.1420000000000021E-2</v>
      </c>
      <c r="E70" s="1">
        <v>1.4940000000000007E-2</v>
      </c>
      <c r="F70" s="5">
        <v>36500</v>
      </c>
      <c r="G70" s="1"/>
    </row>
    <row r="71" spans="1:7" x14ac:dyDescent="0.2">
      <c r="A71" s="1">
        <v>4</v>
      </c>
      <c r="B71" s="1">
        <v>5</v>
      </c>
      <c r="C71" s="1">
        <v>-1.3980000000000006E-2</v>
      </c>
      <c r="D71" s="1">
        <v>-3.0710000000000012E-2</v>
      </c>
      <c r="E71" s="1">
        <v>6.0560000000000024E-3</v>
      </c>
      <c r="F71" s="5">
        <v>35500</v>
      </c>
      <c r="G71" s="1"/>
    </row>
    <row r="72" spans="1:7" x14ac:dyDescent="0.2">
      <c r="A72" s="1">
        <v>4</v>
      </c>
      <c r="B72" s="1">
        <v>6</v>
      </c>
      <c r="C72" s="1">
        <v>1.7000000000000008E-2</v>
      </c>
      <c r="D72" s="1">
        <v>-3.9160000000000014E-2</v>
      </c>
      <c r="E72" s="1">
        <v>2.333000000000001E-2</v>
      </c>
      <c r="F72" s="5">
        <v>20500</v>
      </c>
      <c r="G72" s="1"/>
    </row>
    <row r="73" spans="1:7" x14ac:dyDescent="0.2">
      <c r="A73" s="1">
        <v>4</v>
      </c>
      <c r="B73" s="1">
        <v>7</v>
      </c>
      <c r="C73" s="1">
        <v>-5.1170000000000018E-3</v>
      </c>
      <c r="D73" s="1">
        <v>-5.0990000000000021E-2</v>
      </c>
      <c r="E73" s="1">
        <v>-1.3390000000000006E-2</v>
      </c>
      <c r="F73" s="5">
        <v>26500</v>
      </c>
      <c r="G73" s="1"/>
    </row>
    <row r="74" spans="1:7" x14ac:dyDescent="0.2">
      <c r="A74" s="1">
        <v>4</v>
      </c>
      <c r="B74" s="1">
        <v>8</v>
      </c>
      <c r="C74" s="1">
        <v>4.6710000000000022E-2</v>
      </c>
      <c r="D74" s="1">
        <v>-3.7170000000000016E-2</v>
      </c>
      <c r="E74" s="1">
        <v>-2.3460000000000009E-3</v>
      </c>
      <c r="F74" s="5">
        <v>53500</v>
      </c>
      <c r="G74" s="1"/>
    </row>
    <row r="75" spans="1:7" x14ac:dyDescent="0.2">
      <c r="A75" s="1">
        <v>4</v>
      </c>
      <c r="B75" s="1">
        <v>9</v>
      </c>
      <c r="C75" s="1">
        <v>6.8600000000000022E-2</v>
      </c>
      <c r="D75" s="1">
        <v>-3.8600000000000016E-2</v>
      </c>
      <c r="E75" s="1">
        <v>5.4570000000000018E-3</v>
      </c>
      <c r="F75" s="5">
        <v>45500</v>
      </c>
      <c r="G75" s="1"/>
    </row>
    <row r="76" spans="1:7" x14ac:dyDescent="0.2">
      <c r="A76" s="1">
        <v>4</v>
      </c>
      <c r="B76" s="1">
        <v>10</v>
      </c>
      <c r="C76" s="1">
        <v>4.8760000000000025E-4</v>
      </c>
      <c r="D76" s="1">
        <v>-6.9240000000000024E-2</v>
      </c>
      <c r="E76" s="1">
        <v>-4.2460000000000019E-2</v>
      </c>
      <c r="F76" s="5">
        <v>45000</v>
      </c>
      <c r="G76" s="1"/>
    </row>
    <row r="77" spans="1:7" x14ac:dyDescent="0.2">
      <c r="A77" s="1">
        <v>4</v>
      </c>
      <c r="B77" s="1">
        <v>11</v>
      </c>
      <c r="C77" s="1">
        <v>2.4890000000000009E-2</v>
      </c>
      <c r="D77" s="1">
        <v>-7.9770000000000035E-2</v>
      </c>
      <c r="E77" s="1">
        <v>-1.7340000000000008E-2</v>
      </c>
      <c r="F77" s="5">
        <v>23500</v>
      </c>
      <c r="G77" s="1"/>
    </row>
    <row r="78" spans="1:7" x14ac:dyDescent="0.2">
      <c r="A78" s="1">
        <v>4</v>
      </c>
      <c r="B78" s="1">
        <v>12</v>
      </c>
      <c r="C78" s="1">
        <v>3.8780000000000016E-2</v>
      </c>
      <c r="D78" s="1">
        <v>-7.5160000000000032E-2</v>
      </c>
      <c r="E78" s="1">
        <v>-2.7110000000000013E-2</v>
      </c>
      <c r="F78" s="5">
        <v>55000</v>
      </c>
      <c r="G78" s="1"/>
    </row>
    <row r="79" spans="1:7" x14ac:dyDescent="0.2">
      <c r="A79" s="1">
        <v>4</v>
      </c>
      <c r="B79" s="1">
        <v>13</v>
      </c>
      <c r="C79" s="1">
        <v>7.5060000000000029E-2</v>
      </c>
      <c r="D79" s="1">
        <v>-6.8340000000000026E-2</v>
      </c>
      <c r="E79" s="1">
        <v>-1.8580000000000006E-2</v>
      </c>
      <c r="F79" s="5">
        <v>21000</v>
      </c>
      <c r="G79" s="1"/>
    </row>
    <row r="80" spans="1:7" x14ac:dyDescent="0.2">
      <c r="A80" s="1">
        <v>4</v>
      </c>
      <c r="B80" s="1">
        <v>14</v>
      </c>
      <c r="C80" s="1">
        <v>-1.0120000000000004E-2</v>
      </c>
      <c r="D80" s="1">
        <v>-9.157000000000004E-2</v>
      </c>
      <c r="E80" s="1">
        <v>-0.10550000000000004</v>
      </c>
      <c r="F80" s="5">
        <v>65500</v>
      </c>
      <c r="G80" s="1"/>
    </row>
    <row r="81" spans="1:7" x14ac:dyDescent="0.2">
      <c r="A81" s="1">
        <v>4</v>
      </c>
      <c r="B81" s="1">
        <v>15</v>
      </c>
      <c r="C81" s="1">
        <v>8.2600000000000035E-2</v>
      </c>
      <c r="D81" s="1">
        <v>-7.2640000000000024E-2</v>
      </c>
      <c r="E81" s="1">
        <v>-4.6100000000000016E-2</v>
      </c>
      <c r="F81" s="5">
        <v>43000</v>
      </c>
      <c r="G81" s="1"/>
    </row>
    <row r="82" spans="1:7" x14ac:dyDescent="0.2">
      <c r="A82" s="1">
        <v>4</v>
      </c>
      <c r="B82" s="1">
        <v>16</v>
      </c>
      <c r="C82" s="1">
        <v>8.2840000000000039E-2</v>
      </c>
      <c r="D82" s="1">
        <v>-7.1260000000000032E-2</v>
      </c>
      <c r="E82" s="1">
        <v>-7.3750000000000038E-2</v>
      </c>
      <c r="F82" s="5">
        <v>50000</v>
      </c>
      <c r="G82" s="1"/>
    </row>
    <row r="83" spans="1:7" x14ac:dyDescent="0.2">
      <c r="A83" s="1">
        <v>4</v>
      </c>
      <c r="B83" s="1">
        <v>17</v>
      </c>
      <c r="C83" s="1">
        <v>0.10270000000000003</v>
      </c>
      <c r="D83" s="1">
        <v>-0.10110000000000004</v>
      </c>
      <c r="E83" s="1">
        <v>-5.3600000000000023E-2</v>
      </c>
      <c r="F83" s="5">
        <v>27500</v>
      </c>
      <c r="G83" s="1"/>
    </row>
    <row r="84" spans="1:7" x14ac:dyDescent="0.2">
      <c r="A84" s="1">
        <v>4</v>
      </c>
      <c r="B84" s="1">
        <v>18</v>
      </c>
      <c r="C84" s="1">
        <v>9.8560000000000036E-2</v>
      </c>
      <c r="D84" s="1">
        <v>-0.11820000000000004</v>
      </c>
      <c r="E84" s="1">
        <v>-6.7300000000000026E-2</v>
      </c>
      <c r="F84" s="5">
        <v>11000</v>
      </c>
      <c r="G84" s="1"/>
    </row>
    <row r="85" spans="1:7" x14ac:dyDescent="0.2">
      <c r="A85" s="1">
        <v>4</v>
      </c>
      <c r="B85" s="1">
        <v>19</v>
      </c>
      <c r="C85" s="1">
        <v>0.13130000000000006</v>
      </c>
      <c r="D85" s="1">
        <v>-0.11580000000000004</v>
      </c>
      <c r="E85" s="1">
        <v>-8.4300000000000042E-2</v>
      </c>
      <c r="F85" s="5">
        <v>19500</v>
      </c>
      <c r="G85" s="1"/>
    </row>
    <row r="86" spans="1:7" x14ac:dyDescent="0.2">
      <c r="A86" s="1">
        <v>4</v>
      </c>
      <c r="B86" s="1">
        <v>20</v>
      </c>
      <c r="C86" s="1">
        <v>0.15290000000000004</v>
      </c>
      <c r="D86" s="1">
        <v>-0.16990000000000005</v>
      </c>
      <c r="E86" s="1">
        <v>-0.10400000000000004</v>
      </c>
      <c r="F86" s="5">
        <v>18000</v>
      </c>
      <c r="G86" s="1"/>
    </row>
    <row r="87" spans="1:7" x14ac:dyDescent="0.2">
      <c r="A87" s="1">
        <v>5</v>
      </c>
      <c r="B87" s="1">
        <v>1</v>
      </c>
      <c r="C87" s="1">
        <v>-0.11380000000000004</v>
      </c>
      <c r="D87" s="1">
        <v>-2.9410000000000013E-2</v>
      </c>
      <c r="E87" s="1">
        <v>4.0370000000000017E-2</v>
      </c>
      <c r="F87" s="5">
        <v>8800</v>
      </c>
      <c r="G87" s="1"/>
    </row>
    <row r="88" spans="1:7" x14ac:dyDescent="0.2">
      <c r="A88" s="1">
        <v>5</v>
      </c>
      <c r="B88" s="1">
        <v>2</v>
      </c>
      <c r="C88" s="1">
        <v>-3.5000000000000017E-2</v>
      </c>
      <c r="D88" s="1">
        <v>6.2640000000000022E-3</v>
      </c>
      <c r="E88" s="1">
        <v>2.5600000000000012E-2</v>
      </c>
      <c r="F88" s="5">
        <v>16000</v>
      </c>
      <c r="G88" s="1"/>
    </row>
    <row r="89" spans="1:7" x14ac:dyDescent="0.2">
      <c r="A89" s="1">
        <v>5</v>
      </c>
      <c r="B89" s="1">
        <v>3</v>
      </c>
      <c r="C89" s="1">
        <v>-2.8060000000000012E-2</v>
      </c>
      <c r="D89" s="1">
        <v>-4.995000000000002E-3</v>
      </c>
      <c r="E89" s="1">
        <v>5.3760000000000023E-3</v>
      </c>
      <c r="F89" s="5">
        <v>24000</v>
      </c>
      <c r="G89" s="1"/>
    </row>
    <row r="90" spans="1:7" x14ac:dyDescent="0.2">
      <c r="A90" s="1">
        <v>5</v>
      </c>
      <c r="B90" s="1">
        <v>4</v>
      </c>
      <c r="C90" s="1">
        <v>-2.651000000000001E-3</v>
      </c>
      <c r="D90" s="1">
        <v>-6.9010000000000026E-3</v>
      </c>
      <c r="E90" s="1">
        <v>1.5070000000000007E-2</v>
      </c>
      <c r="F90" s="5">
        <v>30000</v>
      </c>
      <c r="G90" s="1"/>
    </row>
    <row r="91" spans="1:7" x14ac:dyDescent="0.2">
      <c r="A91" s="1">
        <v>5</v>
      </c>
      <c r="B91" s="1">
        <v>5</v>
      </c>
      <c r="C91" s="1">
        <v>1.0050000000000003E-2</v>
      </c>
      <c r="D91" s="1">
        <v>8.7310000000000046E-4</v>
      </c>
      <c r="E91" s="1">
        <v>9.3570000000000042E-3</v>
      </c>
      <c r="F91" s="5">
        <v>9300</v>
      </c>
      <c r="G91" s="1"/>
    </row>
    <row r="92" spans="1:7" x14ac:dyDescent="0.2">
      <c r="A92" s="1">
        <v>5</v>
      </c>
      <c r="B92" s="1">
        <v>6</v>
      </c>
      <c r="C92" s="1">
        <v>8.5540000000000026E-3</v>
      </c>
      <c r="D92" s="1">
        <v>-7.459000000000003E-3</v>
      </c>
      <c r="E92" s="1">
        <v>-3.3680000000000012E-3</v>
      </c>
      <c r="F92" s="5">
        <v>17000</v>
      </c>
      <c r="G92" s="1"/>
    </row>
    <row r="93" spans="1:7" x14ac:dyDescent="0.2">
      <c r="A93" s="1">
        <v>5</v>
      </c>
      <c r="B93" s="1">
        <v>7</v>
      </c>
      <c r="C93" s="1">
        <v>8.6690000000000031E-3</v>
      </c>
      <c r="D93" s="1">
        <v>-3.0700000000000012E-2</v>
      </c>
      <c r="E93" s="1">
        <v>-8.2570000000000039E-3</v>
      </c>
      <c r="F93" s="5">
        <v>10500</v>
      </c>
      <c r="G93" s="1"/>
    </row>
    <row r="94" spans="1:7" x14ac:dyDescent="0.2">
      <c r="A94" s="1">
        <v>5</v>
      </c>
      <c r="B94" s="1">
        <v>8</v>
      </c>
      <c r="C94" s="1">
        <v>0.16090000000000004</v>
      </c>
      <c r="D94" s="1">
        <v>6.0780000000000028E-2</v>
      </c>
      <c r="E94" s="1">
        <v>2.6120000000000011E-2</v>
      </c>
      <c r="F94" s="5">
        <v>27500</v>
      </c>
      <c r="G94" s="1"/>
    </row>
    <row r="95" spans="1:7" x14ac:dyDescent="0.2">
      <c r="A95" s="1">
        <v>5</v>
      </c>
      <c r="B95" s="1">
        <v>9</v>
      </c>
      <c r="C95" s="1">
        <v>7.3720000000000036E-2</v>
      </c>
      <c r="D95" s="1">
        <v>1.2340000000000005E-2</v>
      </c>
      <c r="E95" s="1">
        <v>-3.1840000000000014E-2</v>
      </c>
      <c r="F95" s="5">
        <v>47000</v>
      </c>
      <c r="G95" s="1"/>
    </row>
    <row r="96" spans="1:7" x14ac:dyDescent="0.2">
      <c r="A96" s="1">
        <v>5</v>
      </c>
      <c r="B96" s="1">
        <v>10</v>
      </c>
      <c r="C96" s="1">
        <v>3.4640000000000018E-2</v>
      </c>
      <c r="D96" s="1">
        <v>-2.9550000000000014E-2</v>
      </c>
      <c r="E96" s="1">
        <v>-3.8200000000000019E-2</v>
      </c>
      <c r="F96" s="5">
        <v>24000</v>
      </c>
      <c r="G96" s="1"/>
    </row>
    <row r="97" spans="1:7" x14ac:dyDescent="0.2">
      <c r="A97" s="1">
        <v>5</v>
      </c>
      <c r="B97" s="1">
        <v>11</v>
      </c>
      <c r="C97" s="1">
        <v>5.5730000000000023E-2</v>
      </c>
      <c r="D97" s="1">
        <v>-2.4130000000000009E-2</v>
      </c>
      <c r="E97" s="1">
        <v>-3.2620000000000017E-2</v>
      </c>
      <c r="F97" s="5">
        <v>10500</v>
      </c>
      <c r="G97" s="1"/>
    </row>
    <row r="98" spans="1:7" x14ac:dyDescent="0.2">
      <c r="A98" s="1">
        <v>5</v>
      </c>
      <c r="B98" s="1">
        <v>12</v>
      </c>
      <c r="C98" s="1">
        <v>4.702000000000002E-2</v>
      </c>
      <c r="D98" s="1">
        <v>-5.4370000000000022E-2</v>
      </c>
      <c r="E98" s="1">
        <v>-2.8150000000000012E-2</v>
      </c>
      <c r="F98" s="5">
        <v>22000</v>
      </c>
      <c r="G98" s="1"/>
    </row>
    <row r="99" spans="1:7" x14ac:dyDescent="0.2">
      <c r="A99" s="1">
        <v>5</v>
      </c>
      <c r="B99" s="1">
        <v>13</v>
      </c>
      <c r="C99" s="1">
        <v>6.1580000000000024E-2</v>
      </c>
      <c r="D99" s="1">
        <v>-4.1000000000000016E-2</v>
      </c>
      <c r="E99" s="1">
        <v>-4.4380000000000017E-2</v>
      </c>
      <c r="F99" s="5">
        <v>7700</v>
      </c>
      <c r="G99" s="1"/>
    </row>
    <row r="100" spans="1:7" x14ac:dyDescent="0.2">
      <c r="A100" s="1">
        <v>5</v>
      </c>
      <c r="B100" s="1">
        <v>14</v>
      </c>
      <c r="C100" s="1">
        <v>5.1820000000000019E-2</v>
      </c>
      <c r="D100" s="1">
        <v>-4.548000000000002E-2</v>
      </c>
      <c r="E100" s="1">
        <v>-7.8680000000000028E-2</v>
      </c>
      <c r="F100" s="5">
        <v>21000</v>
      </c>
      <c r="G100" s="1"/>
    </row>
    <row r="101" spans="1:7" x14ac:dyDescent="0.2">
      <c r="A101" s="1">
        <v>5</v>
      </c>
      <c r="B101" s="1">
        <v>15</v>
      </c>
      <c r="C101" s="1">
        <v>7.5470000000000037E-2</v>
      </c>
      <c r="D101" s="1">
        <v>-3.0690000000000012E-2</v>
      </c>
      <c r="E101" s="1">
        <v>-8.4720000000000031E-2</v>
      </c>
      <c r="F101" s="5">
        <v>15500</v>
      </c>
      <c r="G101" s="1"/>
    </row>
    <row r="102" spans="1:7" x14ac:dyDescent="0.2">
      <c r="A102" s="1">
        <v>5</v>
      </c>
      <c r="B102" s="1">
        <v>16</v>
      </c>
      <c r="C102" s="1">
        <v>0.11160000000000003</v>
      </c>
      <c r="D102" s="1">
        <v>-3.9830000000000018E-2</v>
      </c>
      <c r="E102" s="1">
        <v>-6.8050000000000027E-2</v>
      </c>
      <c r="F102" s="5">
        <v>23500</v>
      </c>
      <c r="G102" s="1"/>
    </row>
    <row r="103" spans="1:7" x14ac:dyDescent="0.2">
      <c r="A103" s="1">
        <v>5</v>
      </c>
      <c r="B103" s="1">
        <v>17</v>
      </c>
      <c r="C103" s="1">
        <v>0.15690000000000004</v>
      </c>
      <c r="D103" s="1">
        <v>-5.6600000000000025E-2</v>
      </c>
      <c r="E103" s="1">
        <v>-3.4350000000000012E-2</v>
      </c>
      <c r="F103" s="5">
        <v>5700</v>
      </c>
      <c r="G103" s="1"/>
    </row>
    <row r="104" spans="1:7" x14ac:dyDescent="0.2">
      <c r="A104" s="1">
        <v>5</v>
      </c>
      <c r="B104" s="1">
        <v>18</v>
      </c>
      <c r="C104" s="1">
        <v>0.10050000000000003</v>
      </c>
      <c r="D104" s="1">
        <v>-6.9400000000000031E-2</v>
      </c>
      <c r="E104" s="1">
        <v>-0.10610000000000003</v>
      </c>
      <c r="F104" s="5">
        <v>4300</v>
      </c>
      <c r="G104" s="1"/>
    </row>
    <row r="105" spans="1:7" x14ac:dyDescent="0.2">
      <c r="A105" s="1">
        <v>5</v>
      </c>
      <c r="B105" s="1">
        <v>19</v>
      </c>
      <c r="C105" s="1">
        <v>0.19910000000000005</v>
      </c>
      <c r="D105" s="1">
        <v>-8.4910000000000038E-3</v>
      </c>
      <c r="E105" s="1">
        <v>-0.10770000000000003</v>
      </c>
      <c r="F105" s="5">
        <v>11500</v>
      </c>
      <c r="G105" s="1"/>
    </row>
    <row r="106" spans="1:7" x14ac:dyDescent="0.2">
      <c r="A106" s="1">
        <v>5</v>
      </c>
      <c r="B106" s="1">
        <v>20</v>
      </c>
      <c r="C106" s="1">
        <v>0.27600000000000008</v>
      </c>
      <c r="D106" s="1">
        <v>-9.5550000000000038E-2</v>
      </c>
      <c r="E106" s="1">
        <v>-6.2070000000000028E-2</v>
      </c>
      <c r="F106" s="5">
        <v>2800</v>
      </c>
      <c r="G106" s="1"/>
    </row>
    <row r="107" spans="1:7" x14ac:dyDescent="0.2">
      <c r="A107" s="1">
        <v>6</v>
      </c>
      <c r="B107" s="1">
        <v>1</v>
      </c>
      <c r="C107" s="1">
        <v>-0.12440000000000004</v>
      </c>
      <c r="D107" s="1">
        <v>-1.9630000000000009E-2</v>
      </c>
      <c r="E107" s="1">
        <v>4.2860000000000016E-2</v>
      </c>
      <c r="F107" s="5">
        <v>8600</v>
      </c>
      <c r="G107" s="1"/>
    </row>
    <row r="108" spans="1:7" x14ac:dyDescent="0.2">
      <c r="A108" s="1">
        <v>6</v>
      </c>
      <c r="B108" s="1">
        <v>2</v>
      </c>
      <c r="C108" s="1">
        <v>-6.3370000000000024E-2</v>
      </c>
      <c r="D108" s="1">
        <v>-1.5590000000000007E-2</v>
      </c>
      <c r="E108" s="1">
        <v>3.8000000000000013E-2</v>
      </c>
      <c r="F108" s="5">
        <v>9700</v>
      </c>
      <c r="G108" s="1"/>
    </row>
    <row r="109" spans="1:7" x14ac:dyDescent="0.2">
      <c r="A109" s="1">
        <v>6</v>
      </c>
      <c r="B109" s="1">
        <v>3</v>
      </c>
      <c r="C109" s="1">
        <v>-2.3820000000000011E-2</v>
      </c>
      <c r="D109" s="1">
        <v>6.5770000000000021E-3</v>
      </c>
      <c r="E109" s="1">
        <v>1.7930000000000008E-2</v>
      </c>
      <c r="F109" s="5">
        <v>46000</v>
      </c>
      <c r="G109" s="1"/>
    </row>
    <row r="110" spans="1:7" x14ac:dyDescent="0.2">
      <c r="A110" s="1">
        <v>6</v>
      </c>
      <c r="B110" s="1">
        <v>4</v>
      </c>
      <c r="C110" s="1">
        <v>-1.5820000000000008E-2</v>
      </c>
      <c r="D110" s="1">
        <v>2.912000000000001E-3</v>
      </c>
      <c r="E110" s="1">
        <v>1.4070000000000006E-2</v>
      </c>
      <c r="F110" s="5">
        <v>23500</v>
      </c>
      <c r="G110" s="1"/>
    </row>
    <row r="111" spans="1:7" x14ac:dyDescent="0.2">
      <c r="A111" s="1">
        <v>6</v>
      </c>
      <c r="B111" s="1">
        <v>5</v>
      </c>
      <c r="C111" s="1">
        <v>5.0100000000000023E-3</v>
      </c>
      <c r="D111" s="1">
        <v>3.5140000000000015E-3</v>
      </c>
      <c r="E111" s="1">
        <v>2.0920000000000008E-2</v>
      </c>
      <c r="F111" s="5">
        <v>24500</v>
      </c>
      <c r="G111" s="1"/>
    </row>
    <row r="112" spans="1:7" x14ac:dyDescent="0.2">
      <c r="A112" s="1">
        <v>6</v>
      </c>
      <c r="B112" s="1">
        <v>6</v>
      </c>
      <c r="C112" s="1">
        <v>1.0660000000000003E-3</v>
      </c>
      <c r="D112" s="1">
        <v>-8.381000000000003E-3</v>
      </c>
      <c r="E112" s="1">
        <v>9.2050000000000031E-3</v>
      </c>
      <c r="F112" s="5">
        <v>12000</v>
      </c>
      <c r="G112" s="1"/>
    </row>
    <row r="113" spans="1:7" x14ac:dyDescent="0.2">
      <c r="A113" s="1">
        <v>6</v>
      </c>
      <c r="B113" s="1">
        <v>7</v>
      </c>
      <c r="C113" s="1">
        <v>1.1090000000000004E-2</v>
      </c>
      <c r="D113" s="1">
        <v>-1.1740000000000006E-2</v>
      </c>
      <c r="E113" s="1">
        <v>-1.3060000000000006E-4</v>
      </c>
      <c r="F113" s="5">
        <v>13500</v>
      </c>
      <c r="G113" s="1"/>
    </row>
    <row r="114" spans="1:7" x14ac:dyDescent="0.2">
      <c r="A114" s="1">
        <v>6</v>
      </c>
      <c r="B114" s="1">
        <v>8</v>
      </c>
      <c r="C114" s="1">
        <v>3.9000000000000016E-3</v>
      </c>
      <c r="D114" s="1">
        <v>-2.9750000000000013E-2</v>
      </c>
      <c r="E114" s="1">
        <v>-1.8710000000000008E-2</v>
      </c>
      <c r="F114" s="5">
        <v>17000</v>
      </c>
      <c r="G114" s="1"/>
    </row>
    <row r="115" spans="1:7" x14ac:dyDescent="0.2">
      <c r="A115" s="1">
        <v>6</v>
      </c>
      <c r="B115" s="1">
        <v>9</v>
      </c>
      <c r="C115" s="1">
        <v>6.7320000000000033E-2</v>
      </c>
      <c r="D115" s="1">
        <v>5.0170000000000015E-3</v>
      </c>
      <c r="E115" s="1">
        <v>-1.0940000000000005E-2</v>
      </c>
      <c r="F115" s="5">
        <v>47000</v>
      </c>
      <c r="G115" s="1"/>
    </row>
    <row r="116" spans="1:7" x14ac:dyDescent="0.2">
      <c r="A116" s="1">
        <v>6</v>
      </c>
      <c r="B116" s="1">
        <v>10</v>
      </c>
      <c r="C116" s="1">
        <v>2.1150000000000009E-2</v>
      </c>
      <c r="D116" s="1">
        <v>-1.4130000000000005E-2</v>
      </c>
      <c r="E116" s="1">
        <v>-4.924000000000002E-2</v>
      </c>
      <c r="F116" s="5">
        <v>25500</v>
      </c>
      <c r="G116" s="1"/>
    </row>
    <row r="117" spans="1:7" x14ac:dyDescent="0.2">
      <c r="A117" s="1">
        <v>6</v>
      </c>
      <c r="B117" s="1">
        <v>11</v>
      </c>
      <c r="C117" s="1">
        <v>2.7280000000000013E-2</v>
      </c>
      <c r="D117" s="1">
        <v>-2.7380000000000012E-2</v>
      </c>
      <c r="E117" s="1">
        <v>-3.6120000000000013E-2</v>
      </c>
      <c r="F117" s="5">
        <v>10000</v>
      </c>
      <c r="G117" s="1"/>
    </row>
    <row r="118" spans="1:7" x14ac:dyDescent="0.2">
      <c r="A118" s="1">
        <v>6</v>
      </c>
      <c r="B118" s="1">
        <v>12</v>
      </c>
      <c r="C118" s="1">
        <v>2.453000000000001E-2</v>
      </c>
      <c r="D118" s="1">
        <v>-4.5400000000000017E-2</v>
      </c>
      <c r="E118" s="1">
        <v>-3.8170000000000016E-2</v>
      </c>
      <c r="F118" s="5">
        <v>21500</v>
      </c>
      <c r="G118" s="1"/>
    </row>
    <row r="119" spans="1:7" x14ac:dyDescent="0.2">
      <c r="A119" s="1">
        <v>6</v>
      </c>
      <c r="B119" s="1">
        <v>13</v>
      </c>
      <c r="C119" s="1">
        <v>7.7530000000000029E-2</v>
      </c>
      <c r="D119" s="1">
        <v>-2.5150000000000009E-2</v>
      </c>
      <c r="E119" s="1">
        <v>-2.3890000000000008E-2</v>
      </c>
      <c r="F119" s="5">
        <v>7800</v>
      </c>
      <c r="G119" s="1"/>
    </row>
    <row r="120" spans="1:7" x14ac:dyDescent="0.2">
      <c r="A120" s="1">
        <v>6</v>
      </c>
      <c r="B120" s="1">
        <v>14</v>
      </c>
      <c r="C120" s="1">
        <v>5.5890000000000023E-2</v>
      </c>
      <c r="D120" s="1">
        <v>-2.9300000000000014E-2</v>
      </c>
      <c r="E120" s="1">
        <v>-7.0890000000000036E-2</v>
      </c>
      <c r="F120" s="5">
        <v>15000</v>
      </c>
      <c r="G120" s="1"/>
    </row>
    <row r="121" spans="1:7" x14ac:dyDescent="0.2">
      <c r="A121" s="1">
        <v>6</v>
      </c>
      <c r="B121" s="1">
        <v>15</v>
      </c>
      <c r="C121" s="1">
        <v>5.7670000000000027E-2</v>
      </c>
      <c r="D121" s="1">
        <v>-2.1660000000000009E-2</v>
      </c>
      <c r="E121" s="1">
        <v>-8.6260000000000031E-2</v>
      </c>
      <c r="F121" s="5">
        <v>16000</v>
      </c>
      <c r="G121" s="1"/>
    </row>
    <row r="122" spans="1:7" x14ac:dyDescent="0.2">
      <c r="A122" s="1">
        <v>6</v>
      </c>
      <c r="B122" s="1">
        <v>16</v>
      </c>
      <c r="C122" s="1">
        <v>7.1160000000000029E-2</v>
      </c>
      <c r="D122" s="1">
        <v>-4.5130000000000017E-2</v>
      </c>
      <c r="E122" s="1">
        <v>-7.8600000000000031E-2</v>
      </c>
      <c r="F122" s="5">
        <v>10500</v>
      </c>
      <c r="G122" s="1"/>
    </row>
    <row r="123" spans="1:7" x14ac:dyDescent="0.2">
      <c r="A123" s="1">
        <v>6</v>
      </c>
      <c r="B123" s="1">
        <v>17</v>
      </c>
      <c r="C123" s="1">
        <v>0.12670000000000003</v>
      </c>
      <c r="D123" s="1">
        <v>-4.9680000000000023E-2</v>
      </c>
      <c r="E123" s="1">
        <v>-4.5560000000000017E-2</v>
      </c>
      <c r="F123" s="5">
        <v>5100</v>
      </c>
      <c r="G123" s="1"/>
    </row>
    <row r="124" spans="1:7" x14ac:dyDescent="0.2">
      <c r="A124" s="1">
        <v>6</v>
      </c>
      <c r="B124" s="1">
        <v>18</v>
      </c>
      <c r="C124" s="1">
        <v>0.11480000000000004</v>
      </c>
      <c r="D124" s="1">
        <v>-4.2500000000000017E-2</v>
      </c>
      <c r="E124" s="1">
        <v>-9.1370000000000035E-2</v>
      </c>
      <c r="F124" s="5">
        <v>2800</v>
      </c>
      <c r="G124" s="1"/>
    </row>
    <row r="125" spans="1:7" x14ac:dyDescent="0.2">
      <c r="A125" s="1">
        <v>6</v>
      </c>
      <c r="B125" s="1">
        <v>19</v>
      </c>
      <c r="C125" s="1">
        <v>0.13260000000000005</v>
      </c>
      <c r="D125" s="1">
        <v>-4.430000000000002E-2</v>
      </c>
      <c r="E125" s="1">
        <v>-0.12260000000000004</v>
      </c>
      <c r="F125" s="5">
        <v>3400</v>
      </c>
      <c r="G125" s="1"/>
    </row>
    <row r="126" spans="1:7" x14ac:dyDescent="0.2">
      <c r="A126" s="1">
        <v>6</v>
      </c>
      <c r="B126" s="1">
        <v>20</v>
      </c>
      <c r="C126" s="1">
        <v>0.2829000000000001</v>
      </c>
      <c r="D126" s="1">
        <v>-8.3670000000000036E-2</v>
      </c>
      <c r="E126" s="1">
        <v>-5.4870000000000023E-2</v>
      </c>
      <c r="F126" s="5">
        <v>2400</v>
      </c>
      <c r="G126" s="1"/>
    </row>
    <row r="127" spans="1:7" x14ac:dyDescent="0.2">
      <c r="A127" s="1">
        <v>7</v>
      </c>
      <c r="B127" s="1">
        <v>1</v>
      </c>
      <c r="C127" s="1">
        <v>-0.12250000000000004</v>
      </c>
      <c r="D127" s="1">
        <v>-2.4420000000000011E-2</v>
      </c>
      <c r="E127" s="1">
        <v>7.9420000000000032E-2</v>
      </c>
      <c r="F127" s="5">
        <v>8800</v>
      </c>
      <c r="G127" s="1"/>
    </row>
    <row r="128" spans="1:7" x14ac:dyDescent="0.2">
      <c r="A128" s="1">
        <v>7</v>
      </c>
      <c r="B128" s="1">
        <v>2</v>
      </c>
      <c r="C128" s="1">
        <v>-6.5440000000000026E-2</v>
      </c>
      <c r="D128" s="1">
        <v>-1.5120000000000007E-2</v>
      </c>
      <c r="E128" s="1">
        <v>6.303000000000003E-2</v>
      </c>
      <c r="F128" s="5">
        <v>12000</v>
      </c>
      <c r="G128" s="1"/>
    </row>
    <row r="129" spans="1:7" x14ac:dyDescent="0.2">
      <c r="A129" s="1">
        <v>7</v>
      </c>
      <c r="B129" s="1">
        <v>3</v>
      </c>
      <c r="C129" s="1">
        <v>-3.5420000000000014E-2</v>
      </c>
      <c r="D129" s="1">
        <v>-2.0240000000000006E-3</v>
      </c>
      <c r="E129" s="1">
        <v>4.677000000000002E-2</v>
      </c>
      <c r="F129" s="5">
        <v>15000</v>
      </c>
      <c r="G129" s="1"/>
    </row>
    <row r="130" spans="1:7" x14ac:dyDescent="0.2">
      <c r="A130" s="1">
        <v>7</v>
      </c>
      <c r="B130" s="1">
        <v>4</v>
      </c>
      <c r="C130" s="1">
        <v>-2.7650000000000011E-2</v>
      </c>
      <c r="D130" s="1">
        <v>-1.4580000000000006E-2</v>
      </c>
      <c r="E130" s="1">
        <v>4.5760000000000016E-2</v>
      </c>
      <c r="F130" s="5">
        <v>24500</v>
      </c>
      <c r="G130" s="1"/>
    </row>
    <row r="131" spans="1:7" x14ac:dyDescent="0.2">
      <c r="A131" s="1">
        <v>7</v>
      </c>
      <c r="B131" s="1">
        <v>5</v>
      </c>
      <c r="C131" s="1">
        <v>-1.8160000000000006E-2</v>
      </c>
      <c r="D131" s="1">
        <v>3.5050000000000012E-3</v>
      </c>
      <c r="E131" s="1">
        <v>2.5280000000000011E-2</v>
      </c>
      <c r="F131" s="5">
        <v>11500</v>
      </c>
      <c r="G131" s="1"/>
    </row>
    <row r="132" spans="1:7" x14ac:dyDescent="0.2">
      <c r="A132" s="1">
        <v>7</v>
      </c>
      <c r="B132" s="1">
        <v>6</v>
      </c>
      <c r="C132" s="1">
        <v>4.6530000000000018E-3</v>
      </c>
      <c r="D132" s="1">
        <v>-1.8500000000000009E-2</v>
      </c>
      <c r="E132" s="1">
        <v>4.5030000000000021E-2</v>
      </c>
      <c r="F132" s="5">
        <v>14500</v>
      </c>
      <c r="G132" s="1"/>
    </row>
    <row r="133" spans="1:7" x14ac:dyDescent="0.2">
      <c r="A133" s="1">
        <v>7</v>
      </c>
      <c r="B133" s="1">
        <v>7</v>
      </c>
      <c r="C133" s="1">
        <v>7.6890000000000031E-3</v>
      </c>
      <c r="D133" s="1">
        <v>-1.3250000000000005E-2</v>
      </c>
      <c r="E133" s="1">
        <v>2.079000000000001E-2</v>
      </c>
      <c r="F133" s="5">
        <v>15500</v>
      </c>
      <c r="G133" s="1"/>
    </row>
    <row r="134" spans="1:7" x14ac:dyDescent="0.2">
      <c r="A134" s="1">
        <v>7</v>
      </c>
      <c r="B134" s="1">
        <v>8</v>
      </c>
      <c r="C134" s="1">
        <v>1.9650000000000006E-3</v>
      </c>
      <c r="D134" s="1">
        <v>-2.214000000000001E-2</v>
      </c>
      <c r="E134" s="1">
        <v>4.3490000000000013E-3</v>
      </c>
      <c r="F134" s="5">
        <v>34000</v>
      </c>
      <c r="G134" s="1"/>
    </row>
    <row r="135" spans="1:7" x14ac:dyDescent="0.2">
      <c r="A135" s="1">
        <v>7</v>
      </c>
      <c r="B135" s="1">
        <v>9</v>
      </c>
      <c r="C135" s="1">
        <v>1.9660000000000007E-2</v>
      </c>
      <c r="D135" s="1">
        <v>-2.2470000000000011E-2</v>
      </c>
      <c r="E135" s="1">
        <v>-1.7750000000000008E-3</v>
      </c>
      <c r="F135" s="5">
        <v>22000</v>
      </c>
      <c r="G135" s="1"/>
    </row>
    <row r="136" spans="1:7" x14ac:dyDescent="0.2">
      <c r="A136" s="1">
        <v>7</v>
      </c>
      <c r="B136" s="1">
        <v>10</v>
      </c>
      <c r="C136" s="1">
        <v>1.6600000000000007E-2</v>
      </c>
      <c r="D136" s="1">
        <v>-2.385000000000001E-2</v>
      </c>
      <c r="E136" s="1">
        <v>-1.5150000000000007E-2</v>
      </c>
      <c r="F136" s="5">
        <v>16500</v>
      </c>
      <c r="G136" s="1"/>
    </row>
    <row r="137" spans="1:7" x14ac:dyDescent="0.2">
      <c r="A137" s="1">
        <v>7</v>
      </c>
      <c r="B137" s="1">
        <v>11</v>
      </c>
      <c r="C137" s="1">
        <v>-2.6470000000000011E-2</v>
      </c>
      <c r="D137" s="1">
        <v>-6.2360000000000027E-2</v>
      </c>
      <c r="E137" s="1">
        <v>-2.8840000000000011E-2</v>
      </c>
      <c r="F137" s="5">
        <v>18500</v>
      </c>
      <c r="G137" s="1"/>
    </row>
    <row r="138" spans="1:7" x14ac:dyDescent="0.2">
      <c r="A138" s="1">
        <v>7</v>
      </c>
      <c r="B138" s="1">
        <v>12</v>
      </c>
      <c r="C138" s="1">
        <v>1.5910000000000007E-2</v>
      </c>
      <c r="D138" s="1">
        <v>-4.3410000000000018E-2</v>
      </c>
      <c r="E138" s="1">
        <v>-2.4340000000000011E-2</v>
      </c>
      <c r="F138" s="5">
        <v>20000</v>
      </c>
      <c r="G138" s="1"/>
    </row>
    <row r="139" spans="1:7" x14ac:dyDescent="0.2">
      <c r="A139" s="1">
        <v>7</v>
      </c>
      <c r="B139" s="1">
        <v>13</v>
      </c>
      <c r="C139" s="1">
        <v>4.9050000000000017E-2</v>
      </c>
      <c r="D139" s="1">
        <v>-3.1840000000000014E-2</v>
      </c>
      <c r="E139" s="1">
        <v>-2.104000000000001E-2</v>
      </c>
      <c r="F139" s="5">
        <v>9900</v>
      </c>
      <c r="G139" s="1"/>
    </row>
    <row r="140" spans="1:7" x14ac:dyDescent="0.2">
      <c r="A140" s="1">
        <v>7</v>
      </c>
      <c r="B140" s="1">
        <v>14</v>
      </c>
      <c r="C140" s="1">
        <v>3.4510000000000013E-2</v>
      </c>
      <c r="D140" s="1">
        <v>-3.5110000000000016E-2</v>
      </c>
      <c r="E140" s="1">
        <v>-5.536000000000002E-2</v>
      </c>
      <c r="F140" s="5">
        <v>19000</v>
      </c>
      <c r="G140" s="1"/>
    </row>
    <row r="141" spans="1:7" x14ac:dyDescent="0.2">
      <c r="A141" s="1">
        <v>7</v>
      </c>
      <c r="B141" s="1">
        <v>15</v>
      </c>
      <c r="C141" s="1">
        <v>5.1550000000000019E-2</v>
      </c>
      <c r="D141" s="1">
        <v>-2.9040000000000014E-2</v>
      </c>
      <c r="E141" s="1">
        <v>-6.0950000000000025E-2</v>
      </c>
      <c r="F141" s="5">
        <v>26000</v>
      </c>
      <c r="G141" s="1"/>
    </row>
    <row r="142" spans="1:7" x14ac:dyDescent="0.2">
      <c r="A142" s="1">
        <v>7</v>
      </c>
      <c r="B142" s="1">
        <v>16</v>
      </c>
      <c r="C142" s="1">
        <v>4.8830000000000019E-2</v>
      </c>
      <c r="D142" s="1">
        <v>-4.106000000000002E-2</v>
      </c>
      <c r="E142" s="1">
        <v>-8.1050000000000039E-2</v>
      </c>
      <c r="F142" s="5">
        <v>29500</v>
      </c>
      <c r="G142" s="1"/>
    </row>
    <row r="143" spans="1:7" x14ac:dyDescent="0.2">
      <c r="A143" s="1">
        <v>7</v>
      </c>
      <c r="B143" s="1">
        <v>17</v>
      </c>
      <c r="C143" s="1">
        <v>7.5070000000000026E-2</v>
      </c>
      <c r="D143" s="1">
        <v>-7.0240000000000025E-2</v>
      </c>
      <c r="E143" s="1">
        <v>-5.4300000000000022E-2</v>
      </c>
      <c r="F143" s="5">
        <v>6200</v>
      </c>
      <c r="G143" s="1"/>
    </row>
    <row r="144" spans="1:7" x14ac:dyDescent="0.2">
      <c r="A144" s="1">
        <v>7</v>
      </c>
      <c r="B144" s="1">
        <v>18</v>
      </c>
      <c r="C144" s="1">
        <v>3.7720000000000017E-2</v>
      </c>
      <c r="D144" s="1">
        <v>-6.5770000000000023E-2</v>
      </c>
      <c r="E144" s="1">
        <v>-0.12410000000000004</v>
      </c>
      <c r="F144" s="5">
        <v>6200</v>
      </c>
      <c r="G144" s="1"/>
    </row>
    <row r="145" spans="1:7" x14ac:dyDescent="0.2">
      <c r="A145" s="1">
        <v>7</v>
      </c>
      <c r="B145" s="1">
        <v>19</v>
      </c>
      <c r="C145" s="1">
        <v>9.7110000000000044E-2</v>
      </c>
      <c r="D145" s="1">
        <v>-6.4270000000000022E-2</v>
      </c>
      <c r="E145" s="1">
        <v>-0.12150000000000004</v>
      </c>
      <c r="F145" s="5">
        <v>9600</v>
      </c>
      <c r="G145" s="1"/>
    </row>
    <row r="146" spans="1:7" x14ac:dyDescent="0.2">
      <c r="A146" s="1">
        <v>7</v>
      </c>
      <c r="B146" s="1">
        <v>20</v>
      </c>
      <c r="C146" s="1">
        <v>0.18950000000000006</v>
      </c>
      <c r="D146" s="1">
        <v>-7.4490000000000028E-2</v>
      </c>
      <c r="E146" s="1">
        <v>-0.12860000000000005</v>
      </c>
      <c r="F146" s="5">
        <v>3900</v>
      </c>
      <c r="G146" s="1"/>
    </row>
    <row r="147" spans="1:7" x14ac:dyDescent="0.2">
      <c r="A147" s="1">
        <v>8</v>
      </c>
      <c r="B147" s="1">
        <v>1</v>
      </c>
      <c r="C147" s="1">
        <v>-0.13360000000000005</v>
      </c>
      <c r="D147" s="1">
        <v>-1.0020000000000005E-2</v>
      </c>
      <c r="E147" s="1">
        <v>7.5790000000000038E-2</v>
      </c>
      <c r="F147" s="5">
        <v>14000</v>
      </c>
      <c r="G147" s="1"/>
    </row>
    <row r="148" spans="1:7" x14ac:dyDescent="0.2">
      <c r="A148" s="1">
        <v>8</v>
      </c>
      <c r="B148" s="1">
        <v>2</v>
      </c>
      <c r="C148" s="1">
        <v>-7.6460000000000028E-2</v>
      </c>
      <c r="D148" s="1">
        <v>3.6750000000000012E-3</v>
      </c>
      <c r="E148" s="1">
        <v>6.0150000000000023E-2</v>
      </c>
      <c r="F148" s="5">
        <v>18000</v>
      </c>
      <c r="G148" s="1"/>
    </row>
    <row r="149" spans="1:7" x14ac:dyDescent="0.2">
      <c r="A149" s="1">
        <v>8</v>
      </c>
      <c r="B149" s="1">
        <v>3</v>
      </c>
      <c r="C149" s="1">
        <v>-4.2810000000000015E-2</v>
      </c>
      <c r="D149" s="1">
        <v>1.1500000000000005E-2</v>
      </c>
      <c r="E149" s="1">
        <v>5.103000000000002E-2</v>
      </c>
      <c r="F149" s="5">
        <v>34000</v>
      </c>
      <c r="G149" s="1"/>
    </row>
    <row r="150" spans="1:7" x14ac:dyDescent="0.2">
      <c r="A150" s="1">
        <v>8</v>
      </c>
      <c r="B150" s="1">
        <v>4</v>
      </c>
      <c r="C150" s="1">
        <v>-4.131000000000002E-2</v>
      </c>
      <c r="D150" s="1">
        <v>4.184000000000002E-3</v>
      </c>
      <c r="E150" s="1">
        <v>4.1260000000000019E-2</v>
      </c>
      <c r="F150" s="5">
        <v>47500</v>
      </c>
      <c r="G150" s="1"/>
    </row>
    <row r="151" spans="1:7" x14ac:dyDescent="0.2">
      <c r="A151" s="1">
        <v>8</v>
      </c>
      <c r="B151" s="1">
        <v>5</v>
      </c>
      <c r="C151" s="1">
        <v>1.8180000000000009E-2</v>
      </c>
      <c r="D151" s="1">
        <v>3.3340000000000015E-2</v>
      </c>
      <c r="E151" s="1">
        <v>5.8940000000000027E-2</v>
      </c>
      <c r="F151" s="5">
        <v>25500</v>
      </c>
      <c r="G151" s="1"/>
    </row>
    <row r="152" spans="1:7" x14ac:dyDescent="0.2">
      <c r="A152" s="1">
        <v>8</v>
      </c>
      <c r="B152" s="1">
        <v>6</v>
      </c>
      <c r="C152" s="1">
        <v>8.6000000000000035E-3</v>
      </c>
      <c r="D152" s="1">
        <v>7.2790000000000025E-3</v>
      </c>
      <c r="E152" s="1">
        <v>5.2010000000000021E-2</v>
      </c>
      <c r="F152" s="5">
        <v>13500</v>
      </c>
      <c r="G152" s="1"/>
    </row>
    <row r="153" spans="1:7" x14ac:dyDescent="0.2">
      <c r="A153" s="1">
        <v>8</v>
      </c>
      <c r="B153" s="1">
        <v>7</v>
      </c>
      <c r="C153" s="1">
        <v>-6.269000000000002E-3</v>
      </c>
      <c r="D153" s="1">
        <v>-1.2170000000000005E-2</v>
      </c>
      <c r="E153" s="1">
        <v>2.641000000000001E-2</v>
      </c>
      <c r="F153" s="5">
        <v>29000</v>
      </c>
      <c r="G153" s="1"/>
    </row>
    <row r="154" spans="1:7" x14ac:dyDescent="0.2">
      <c r="A154" s="1">
        <v>8</v>
      </c>
      <c r="B154" s="1">
        <v>8</v>
      </c>
      <c r="C154" s="1">
        <v>-8.5810000000000036E-3</v>
      </c>
      <c r="D154" s="1">
        <v>-1.4040000000000006E-2</v>
      </c>
      <c r="E154" s="1">
        <v>5.3720000000000018E-3</v>
      </c>
      <c r="F154" s="5">
        <v>26500</v>
      </c>
      <c r="G154" s="1"/>
    </row>
    <row r="155" spans="1:7" x14ac:dyDescent="0.2">
      <c r="A155" s="1">
        <v>8</v>
      </c>
      <c r="B155" s="1">
        <v>9</v>
      </c>
      <c r="C155" s="1">
        <v>3.9690000000000017E-2</v>
      </c>
      <c r="D155" s="1">
        <v>1.7600000000000008E-2</v>
      </c>
      <c r="E155" s="1">
        <v>3.5110000000000015E-3</v>
      </c>
      <c r="F155" s="5">
        <v>119000</v>
      </c>
      <c r="G155" s="1"/>
    </row>
    <row r="156" spans="1:7" x14ac:dyDescent="0.2">
      <c r="A156" s="1">
        <v>8</v>
      </c>
      <c r="B156" s="1">
        <v>10</v>
      </c>
      <c r="C156" s="1">
        <v>2.5160000000000012E-2</v>
      </c>
      <c r="D156" s="1">
        <v>3.7910000000000016E-4</v>
      </c>
      <c r="E156" s="1">
        <v>-4.5900000000000021E-3</v>
      </c>
      <c r="F156" s="5">
        <v>39000</v>
      </c>
      <c r="G156" s="1"/>
    </row>
    <row r="157" spans="1:7" x14ac:dyDescent="0.2">
      <c r="A157" s="1">
        <v>8</v>
      </c>
      <c r="B157" s="1">
        <v>11</v>
      </c>
      <c r="C157" s="1">
        <v>9.3650000000000035E-3</v>
      </c>
      <c r="D157" s="1">
        <v>-1.4840000000000006E-2</v>
      </c>
      <c r="E157" s="1">
        <v>-1.5180000000000006E-2</v>
      </c>
      <c r="F157" s="5">
        <v>21500</v>
      </c>
      <c r="G157" s="1"/>
    </row>
    <row r="158" spans="1:7" x14ac:dyDescent="0.2">
      <c r="A158" s="1">
        <v>8</v>
      </c>
      <c r="B158" s="1">
        <v>12</v>
      </c>
      <c r="C158" s="1">
        <v>1.8150000000000006E-2</v>
      </c>
      <c r="D158" s="1">
        <v>-2.0080000000000008E-2</v>
      </c>
      <c r="E158" s="1">
        <v>-1.9540000000000009E-2</v>
      </c>
      <c r="F158" s="5">
        <v>47500</v>
      </c>
      <c r="G158" s="1"/>
    </row>
    <row r="159" spans="1:7" x14ac:dyDescent="0.2">
      <c r="A159" s="1">
        <v>8</v>
      </c>
      <c r="B159" s="1">
        <v>13</v>
      </c>
      <c r="C159" s="1">
        <v>3.5220000000000015E-2</v>
      </c>
      <c r="D159" s="1">
        <v>-2.7270000000000013E-2</v>
      </c>
      <c r="E159" s="1">
        <v>-1.4180000000000005E-2</v>
      </c>
      <c r="F159" s="5">
        <v>18500</v>
      </c>
      <c r="G159" s="1"/>
    </row>
    <row r="160" spans="1:7" x14ac:dyDescent="0.2">
      <c r="A160" s="1">
        <v>8</v>
      </c>
      <c r="B160" s="1">
        <v>14</v>
      </c>
      <c r="C160" s="1">
        <v>3.5960000000000013E-2</v>
      </c>
      <c r="D160" s="1">
        <v>-2.8170000000000011E-2</v>
      </c>
      <c r="E160" s="1">
        <v>-3.6450000000000017E-2</v>
      </c>
      <c r="F160" s="5">
        <v>26000</v>
      </c>
      <c r="G160" s="1"/>
    </row>
    <row r="161" spans="1:7" x14ac:dyDescent="0.2">
      <c r="A161" s="1">
        <v>8</v>
      </c>
      <c r="B161" s="1">
        <v>15</v>
      </c>
      <c r="C161" s="1">
        <v>1.4430000000000005E-2</v>
      </c>
      <c r="D161" s="1">
        <v>-4.0830000000000019E-2</v>
      </c>
      <c r="E161" s="1">
        <v>-6.3100000000000031E-2</v>
      </c>
      <c r="F161" s="5">
        <v>41500</v>
      </c>
      <c r="G161" s="1"/>
    </row>
    <row r="162" spans="1:7" x14ac:dyDescent="0.2">
      <c r="A162" s="1">
        <v>8</v>
      </c>
      <c r="B162" s="1">
        <v>16</v>
      </c>
      <c r="C162" s="1">
        <v>4.6280000000000023E-2</v>
      </c>
      <c r="D162" s="1">
        <v>-2.4980000000000009E-2</v>
      </c>
      <c r="E162" s="1">
        <v>-7.3940000000000033E-2</v>
      </c>
      <c r="F162" s="5">
        <v>42500</v>
      </c>
      <c r="G162" s="1"/>
    </row>
    <row r="163" spans="1:7" x14ac:dyDescent="0.2">
      <c r="A163" s="1">
        <v>8</v>
      </c>
      <c r="B163" s="1">
        <v>17</v>
      </c>
      <c r="C163" s="1">
        <v>6.3350000000000031E-2</v>
      </c>
      <c r="D163" s="1">
        <v>-5.0500000000000024E-2</v>
      </c>
      <c r="E163" s="1">
        <v>-5.8670000000000028E-2</v>
      </c>
      <c r="F163" s="5">
        <v>13000</v>
      </c>
      <c r="G163" s="1"/>
    </row>
    <row r="164" spans="1:7" x14ac:dyDescent="0.2">
      <c r="A164" s="1">
        <v>8</v>
      </c>
      <c r="B164" s="1">
        <v>18</v>
      </c>
      <c r="C164" s="1">
        <v>6.4080000000000026E-2</v>
      </c>
      <c r="D164" s="1">
        <v>-4.387000000000002E-2</v>
      </c>
      <c r="E164" s="1">
        <v>-9.429000000000004E-2</v>
      </c>
      <c r="F164" s="5">
        <v>8300</v>
      </c>
      <c r="G164" s="1"/>
    </row>
    <row r="165" spans="1:7" x14ac:dyDescent="0.2">
      <c r="A165" s="1">
        <v>8</v>
      </c>
      <c r="B165" s="1">
        <v>19</v>
      </c>
      <c r="C165" s="1">
        <v>8.3000000000000032E-2</v>
      </c>
      <c r="D165" s="1">
        <v>-6.4400000000000027E-2</v>
      </c>
      <c r="E165" s="1">
        <v>-0.10170000000000003</v>
      </c>
      <c r="F165" s="5">
        <v>11000</v>
      </c>
      <c r="G165" s="1"/>
    </row>
    <row r="166" spans="1:7" x14ac:dyDescent="0.2">
      <c r="A166" s="1">
        <v>8</v>
      </c>
      <c r="B166" s="1">
        <v>20</v>
      </c>
      <c r="C166" s="1">
        <v>0.16580000000000006</v>
      </c>
      <c r="D166" s="1">
        <v>-8.6840000000000042E-2</v>
      </c>
      <c r="E166" s="1">
        <v>-0.10900000000000004</v>
      </c>
      <c r="F166" s="5">
        <v>6600</v>
      </c>
      <c r="G166" s="1"/>
    </row>
    <row r="167" spans="1:7" x14ac:dyDescent="0.2">
      <c r="A167" s="1">
        <v>9</v>
      </c>
      <c r="B167" s="1">
        <v>1</v>
      </c>
      <c r="C167" s="1">
        <v>-0.10850000000000004</v>
      </c>
      <c r="D167" s="1">
        <v>1.5840000000000007E-2</v>
      </c>
      <c r="E167" s="1">
        <v>9.175000000000004E-2</v>
      </c>
      <c r="F167" s="5">
        <v>11500</v>
      </c>
      <c r="G167" s="1"/>
    </row>
    <row r="168" spans="1:7" x14ac:dyDescent="0.2">
      <c r="A168" s="1">
        <v>9</v>
      </c>
      <c r="B168" s="1">
        <v>2</v>
      </c>
      <c r="C168" s="1">
        <v>-6.9570000000000035E-2</v>
      </c>
      <c r="D168" s="1">
        <v>9.5360000000000028E-3</v>
      </c>
      <c r="E168" s="1">
        <v>7.4640000000000026E-2</v>
      </c>
      <c r="F168" s="5">
        <v>22000</v>
      </c>
      <c r="G168" s="1"/>
    </row>
    <row r="169" spans="1:7" x14ac:dyDescent="0.2">
      <c r="A169" s="1">
        <v>9</v>
      </c>
      <c r="B169" s="1">
        <v>3</v>
      </c>
      <c r="C169" s="1">
        <v>-3.5750000000000018E-2</v>
      </c>
      <c r="D169" s="1">
        <v>2.2350000000000009E-2</v>
      </c>
      <c r="E169" s="1">
        <v>6.3850000000000032E-2</v>
      </c>
      <c r="F169" s="5">
        <v>34500</v>
      </c>
      <c r="G169" s="1"/>
    </row>
    <row r="170" spans="1:7" x14ac:dyDescent="0.2">
      <c r="A170" s="1">
        <v>9</v>
      </c>
      <c r="B170" s="1">
        <v>4</v>
      </c>
      <c r="C170" s="1">
        <v>-5.0140000000000018E-2</v>
      </c>
      <c r="D170" s="1">
        <v>8.0550000000000031E-3</v>
      </c>
      <c r="E170" s="1">
        <v>4.3560000000000015E-2</v>
      </c>
      <c r="F170" s="5">
        <v>39000</v>
      </c>
      <c r="G170" s="1"/>
    </row>
    <row r="171" spans="1:7" x14ac:dyDescent="0.2">
      <c r="A171" s="1">
        <v>9</v>
      </c>
      <c r="B171" s="1">
        <v>5</v>
      </c>
      <c r="C171" s="1">
        <v>2.0240000000000008E-2</v>
      </c>
      <c r="D171" s="1">
        <v>5.6700000000000021E-2</v>
      </c>
      <c r="E171" s="1">
        <v>5.7660000000000024E-2</v>
      </c>
      <c r="F171" s="5">
        <v>54000</v>
      </c>
      <c r="G171" s="1"/>
    </row>
    <row r="172" spans="1:7" x14ac:dyDescent="0.2">
      <c r="A172" s="1">
        <v>9</v>
      </c>
      <c r="B172" s="1">
        <v>6</v>
      </c>
      <c r="C172" s="1">
        <v>-1.0760000000000004E-2</v>
      </c>
      <c r="D172" s="1">
        <v>1.9420000000000007E-2</v>
      </c>
      <c r="E172" s="1">
        <v>4.1350000000000019E-2</v>
      </c>
      <c r="F172" s="5">
        <v>28000</v>
      </c>
      <c r="G172" s="1"/>
    </row>
    <row r="173" spans="1:7" x14ac:dyDescent="0.2">
      <c r="A173" s="1">
        <v>9</v>
      </c>
      <c r="B173" s="1">
        <v>7</v>
      </c>
      <c r="C173" s="1">
        <v>-1.1290000000000005E-2</v>
      </c>
      <c r="D173" s="1">
        <v>-6.2540000000000026E-3</v>
      </c>
      <c r="E173" s="1">
        <v>3.7680000000000019E-2</v>
      </c>
      <c r="F173" s="5">
        <v>19500</v>
      </c>
      <c r="G173" s="1"/>
    </row>
    <row r="174" spans="1:7" x14ac:dyDescent="0.2">
      <c r="A174" s="1">
        <v>9</v>
      </c>
      <c r="B174" s="1">
        <v>8</v>
      </c>
      <c r="C174" s="1">
        <v>9.0350000000000041E-2</v>
      </c>
      <c r="D174" s="1">
        <v>6.4460000000000031E-2</v>
      </c>
      <c r="E174" s="1">
        <v>4.4380000000000017E-2</v>
      </c>
      <c r="F174" s="5">
        <v>122000</v>
      </c>
      <c r="G174" s="1"/>
    </row>
    <row r="175" spans="1:7" x14ac:dyDescent="0.2">
      <c r="A175" s="1">
        <v>9</v>
      </c>
      <c r="B175" s="1">
        <v>9</v>
      </c>
      <c r="C175" s="1">
        <v>1.2260000000000005E-2</v>
      </c>
      <c r="D175" s="1">
        <v>-1.1390000000000004E-2</v>
      </c>
      <c r="E175" s="1">
        <v>2.2760000000000009E-2</v>
      </c>
      <c r="F175" s="5">
        <v>23000</v>
      </c>
      <c r="G175" s="1"/>
    </row>
    <row r="176" spans="1:7" x14ac:dyDescent="0.2">
      <c r="A176" s="1">
        <v>9</v>
      </c>
      <c r="B176" s="1">
        <v>10</v>
      </c>
      <c r="C176" s="1">
        <v>2.8850000000000011E-2</v>
      </c>
      <c r="D176" s="1">
        <v>1.7390000000000006E-2</v>
      </c>
      <c r="E176" s="1">
        <v>6.7460000000000035E-4</v>
      </c>
      <c r="F176" s="5">
        <v>50000</v>
      </c>
      <c r="G176" s="1"/>
    </row>
    <row r="177" spans="1:7" x14ac:dyDescent="0.2">
      <c r="A177" s="1">
        <v>9</v>
      </c>
      <c r="B177" s="1">
        <v>11</v>
      </c>
      <c r="C177" s="1">
        <v>1.4740000000000007E-2</v>
      </c>
      <c r="D177" s="1">
        <v>-5.8360000000000018E-3</v>
      </c>
      <c r="E177" s="1">
        <v>-7.9580000000000037E-4</v>
      </c>
      <c r="F177" s="5">
        <v>27000</v>
      </c>
      <c r="G177" s="1"/>
    </row>
    <row r="178" spans="1:7" x14ac:dyDescent="0.2">
      <c r="A178" s="1">
        <v>9</v>
      </c>
      <c r="B178" s="1">
        <v>12</v>
      </c>
      <c r="C178" s="1">
        <v>2.5110000000000011E-2</v>
      </c>
      <c r="D178" s="1">
        <v>-1.7220000000000006E-2</v>
      </c>
      <c r="E178" s="1">
        <v>2.380000000000001E-3</v>
      </c>
      <c r="F178" s="5">
        <v>49500</v>
      </c>
      <c r="G178" s="1"/>
    </row>
    <row r="179" spans="1:7" x14ac:dyDescent="0.2">
      <c r="A179" s="1">
        <v>9</v>
      </c>
      <c r="B179" s="1">
        <v>13</v>
      </c>
      <c r="C179" s="1">
        <v>3.9210000000000016E-2</v>
      </c>
      <c r="D179" s="1">
        <v>-2.0080000000000008E-2</v>
      </c>
      <c r="E179" s="1">
        <v>-3.1700000000000014E-3</v>
      </c>
      <c r="F179" s="5">
        <v>17500</v>
      </c>
      <c r="G179" s="1"/>
    </row>
    <row r="180" spans="1:7" x14ac:dyDescent="0.2">
      <c r="A180" s="1">
        <v>9</v>
      </c>
      <c r="B180" s="1">
        <v>14</v>
      </c>
      <c r="C180" s="1">
        <v>3.7050000000000013E-2</v>
      </c>
      <c r="D180" s="1">
        <v>-2.5410000000000009E-2</v>
      </c>
      <c r="E180" s="1">
        <v>-2.163000000000001E-2</v>
      </c>
      <c r="F180" s="5">
        <v>26000</v>
      </c>
      <c r="G180" s="1"/>
    </row>
    <row r="181" spans="1:7" x14ac:dyDescent="0.2">
      <c r="A181" s="1">
        <v>9</v>
      </c>
      <c r="B181" s="1">
        <v>15</v>
      </c>
      <c r="C181" s="1">
        <v>3.7420000000000016E-2</v>
      </c>
      <c r="D181" s="1">
        <v>-1.0020000000000005E-2</v>
      </c>
      <c r="E181" s="1">
        <v>-5.2130000000000024E-2</v>
      </c>
      <c r="F181" s="5">
        <v>53500</v>
      </c>
      <c r="G181" s="1"/>
    </row>
    <row r="182" spans="1:7" x14ac:dyDescent="0.2">
      <c r="A182" s="1">
        <v>9</v>
      </c>
      <c r="B182" s="1">
        <v>16</v>
      </c>
      <c r="C182" s="1">
        <v>5.9610000000000024E-2</v>
      </c>
      <c r="D182" s="1">
        <v>-2.8420000000000011E-2</v>
      </c>
      <c r="E182" s="1">
        <v>-4.0450000000000014E-2</v>
      </c>
      <c r="F182" s="5">
        <v>54000</v>
      </c>
      <c r="G182" s="1"/>
    </row>
    <row r="183" spans="1:7" x14ac:dyDescent="0.2">
      <c r="A183" s="1">
        <v>9</v>
      </c>
      <c r="B183" s="1">
        <v>17</v>
      </c>
      <c r="C183" s="1">
        <v>7.785000000000003E-2</v>
      </c>
      <c r="D183" s="1">
        <v>-3.9350000000000017E-2</v>
      </c>
      <c r="E183" s="1">
        <v>-4.0410000000000015E-2</v>
      </c>
      <c r="F183" s="5">
        <v>13000</v>
      </c>
      <c r="G183" s="1"/>
    </row>
    <row r="184" spans="1:7" x14ac:dyDescent="0.2">
      <c r="A184" s="1">
        <v>9</v>
      </c>
      <c r="B184" s="1">
        <v>18</v>
      </c>
      <c r="C184" s="1">
        <v>7.7800000000000036E-2</v>
      </c>
      <c r="D184" s="1">
        <v>-4.1050000000000017E-2</v>
      </c>
      <c r="E184" s="1">
        <v>-6.6880000000000023E-2</v>
      </c>
      <c r="F184" s="5">
        <v>7300</v>
      </c>
      <c r="G184" s="1"/>
    </row>
    <row r="185" spans="1:7" x14ac:dyDescent="0.2">
      <c r="A185" s="1">
        <v>9</v>
      </c>
      <c r="B185" s="1">
        <v>19</v>
      </c>
      <c r="C185" s="1">
        <v>9.9850000000000036E-2</v>
      </c>
      <c r="D185" s="1">
        <v>-4.1560000000000021E-2</v>
      </c>
      <c r="E185" s="1">
        <v>-9.4270000000000034E-2</v>
      </c>
      <c r="F185" s="5">
        <v>19000</v>
      </c>
      <c r="G185" s="1"/>
    </row>
    <row r="186" spans="1:7" x14ac:dyDescent="0.2">
      <c r="A186" s="1">
        <v>9</v>
      </c>
      <c r="B186" s="1">
        <v>20</v>
      </c>
      <c r="C186" s="1">
        <v>0.19500000000000006</v>
      </c>
      <c r="D186" s="1">
        <v>-9.2080000000000037E-2</v>
      </c>
      <c r="E186" s="1">
        <v>-5.7300000000000025E-2</v>
      </c>
      <c r="F186" s="5">
        <v>9100</v>
      </c>
      <c r="G186" s="1"/>
    </row>
    <row r="187" spans="1:7" x14ac:dyDescent="0.2">
      <c r="A187" s="1">
        <v>10</v>
      </c>
      <c r="B187" s="1">
        <v>1</v>
      </c>
      <c r="C187" s="1">
        <v>-0.15600000000000006</v>
      </c>
      <c r="D187" s="1">
        <v>-1.6040000000000006E-2</v>
      </c>
      <c r="E187" s="1">
        <v>8.8340000000000043E-2</v>
      </c>
      <c r="F187" s="5">
        <v>6100</v>
      </c>
      <c r="G187" s="1"/>
    </row>
    <row r="188" spans="1:7" x14ac:dyDescent="0.2">
      <c r="A188" s="1">
        <v>10</v>
      </c>
      <c r="B188" s="1">
        <v>2</v>
      </c>
      <c r="C188" s="1">
        <v>-9.1950000000000046E-2</v>
      </c>
      <c r="D188" s="1">
        <v>-3.8180000000000015E-3</v>
      </c>
      <c r="E188" s="1">
        <v>7.9300000000000037E-2</v>
      </c>
      <c r="F188" s="5">
        <v>8500</v>
      </c>
      <c r="G188" s="1"/>
    </row>
    <row r="189" spans="1:7" x14ac:dyDescent="0.2">
      <c r="A189" s="1">
        <v>10</v>
      </c>
      <c r="B189" s="1">
        <v>3</v>
      </c>
      <c r="C189" s="1">
        <v>-3.3440000000000011E-2</v>
      </c>
      <c r="D189" s="1">
        <v>4.4160000000000015E-3</v>
      </c>
      <c r="E189" s="1">
        <v>9.3390000000000042E-2</v>
      </c>
      <c r="F189" s="5">
        <v>23000</v>
      </c>
      <c r="G189" s="1"/>
    </row>
    <row r="190" spans="1:7" x14ac:dyDescent="0.2">
      <c r="A190" s="1">
        <v>10</v>
      </c>
      <c r="B190" s="1">
        <v>4</v>
      </c>
      <c r="C190" s="1">
        <v>-7.1770000000000028E-2</v>
      </c>
      <c r="D190" s="1">
        <v>-3.954000000000002E-2</v>
      </c>
      <c r="E190" s="1">
        <v>8.0130000000000035E-2</v>
      </c>
      <c r="F190" s="5">
        <v>36000</v>
      </c>
      <c r="G190" s="1"/>
    </row>
    <row r="191" spans="1:7" x14ac:dyDescent="0.2">
      <c r="A191" s="1">
        <v>10</v>
      </c>
      <c r="B191" s="1">
        <v>5</v>
      </c>
      <c r="C191" s="1">
        <v>-2.8370000000000013E-2</v>
      </c>
      <c r="D191" s="1">
        <v>3.6390000000000012E-3</v>
      </c>
      <c r="E191" s="1">
        <v>7.0680000000000034E-2</v>
      </c>
      <c r="F191" s="5">
        <v>21000</v>
      </c>
      <c r="G191" s="1"/>
    </row>
    <row r="192" spans="1:7" x14ac:dyDescent="0.2">
      <c r="A192" s="1">
        <v>10</v>
      </c>
      <c r="B192" s="1">
        <v>6</v>
      </c>
      <c r="C192" s="1">
        <v>-1.9790000000000009E-2</v>
      </c>
      <c r="D192" s="1">
        <v>-4.335000000000002E-3</v>
      </c>
      <c r="E192" s="1">
        <v>6.865000000000003E-2</v>
      </c>
      <c r="F192" s="5">
        <v>17500</v>
      </c>
      <c r="G192" s="1"/>
    </row>
    <row r="193" spans="1:7" x14ac:dyDescent="0.2">
      <c r="A193" s="1">
        <v>10</v>
      </c>
      <c r="B193" s="1">
        <v>7</v>
      </c>
      <c r="C193" s="1">
        <v>-1.1380000000000005E-2</v>
      </c>
      <c r="D193" s="1">
        <v>-9.7390000000000029E-3</v>
      </c>
      <c r="E193" s="1">
        <v>5.2630000000000024E-2</v>
      </c>
      <c r="F193" s="5">
        <v>12000</v>
      </c>
      <c r="G193" s="1"/>
    </row>
    <row r="194" spans="1:7" x14ac:dyDescent="0.2">
      <c r="A194" s="1">
        <v>10</v>
      </c>
      <c r="B194" s="1">
        <v>8</v>
      </c>
      <c r="C194" s="1">
        <v>1.0910000000000004E-3</v>
      </c>
      <c r="D194" s="1">
        <v>-3.1530000000000013E-3</v>
      </c>
      <c r="E194" s="1">
        <v>3.3350000000000012E-2</v>
      </c>
      <c r="F194" s="5">
        <v>30500</v>
      </c>
      <c r="G194" s="1"/>
    </row>
    <row r="195" spans="1:7" x14ac:dyDescent="0.2">
      <c r="A195" s="1">
        <v>10</v>
      </c>
      <c r="B195" s="1">
        <v>9</v>
      </c>
      <c r="C195" s="1">
        <v>3.1790000000000013E-2</v>
      </c>
      <c r="D195" s="1">
        <v>1.2090000000000005E-2</v>
      </c>
      <c r="E195" s="1">
        <v>3.0460000000000011E-2</v>
      </c>
      <c r="F195" s="5">
        <v>39000</v>
      </c>
      <c r="G195" s="1"/>
    </row>
    <row r="196" spans="1:7" x14ac:dyDescent="0.2">
      <c r="A196" s="1">
        <v>10</v>
      </c>
      <c r="B196" s="1">
        <v>10</v>
      </c>
      <c r="C196" s="1">
        <v>-1.9620000000000006E-3</v>
      </c>
      <c r="D196" s="1">
        <v>-1.0320000000000005E-2</v>
      </c>
      <c r="E196" s="1">
        <v>8.4280000000000032E-3</v>
      </c>
      <c r="F196" s="5">
        <v>34000</v>
      </c>
      <c r="G196" s="1"/>
    </row>
    <row r="197" spans="1:7" x14ac:dyDescent="0.2">
      <c r="A197" s="1">
        <v>10</v>
      </c>
      <c r="B197" s="1">
        <v>11</v>
      </c>
      <c r="C197" s="1">
        <v>6.4700000000000027E-3</v>
      </c>
      <c r="D197" s="1">
        <v>-1.3140000000000006E-2</v>
      </c>
      <c r="E197" s="1">
        <v>1.0240000000000004E-2</v>
      </c>
      <c r="F197" s="5">
        <v>15000</v>
      </c>
      <c r="G197" s="1"/>
    </row>
    <row r="198" spans="1:7" x14ac:dyDescent="0.2">
      <c r="A198" s="1">
        <v>10</v>
      </c>
      <c r="B198" s="1">
        <v>12</v>
      </c>
      <c r="C198" s="1">
        <v>1.5630000000000006E-3</v>
      </c>
      <c r="D198" s="1">
        <v>-2.4760000000000011E-2</v>
      </c>
      <c r="E198" s="1">
        <v>-8.638000000000004E-4</v>
      </c>
      <c r="F198" s="5">
        <v>45000</v>
      </c>
      <c r="G198" s="1"/>
    </row>
    <row r="199" spans="1:7" x14ac:dyDescent="0.2">
      <c r="A199" s="1">
        <v>10</v>
      </c>
      <c r="B199" s="1">
        <v>13</v>
      </c>
      <c r="C199" s="1">
        <v>3.2080000000000011E-2</v>
      </c>
      <c r="D199" s="1">
        <v>-9.8480000000000043E-3</v>
      </c>
      <c r="E199" s="1">
        <v>-7.1440000000000028E-3</v>
      </c>
      <c r="F199" s="5">
        <v>15000</v>
      </c>
      <c r="G199" s="1"/>
    </row>
    <row r="200" spans="1:7" x14ac:dyDescent="0.2">
      <c r="A200" s="1">
        <v>10</v>
      </c>
      <c r="B200" s="1">
        <v>14</v>
      </c>
      <c r="C200" s="1">
        <v>-5.0380000000000017E-3</v>
      </c>
      <c r="D200" s="1">
        <v>-3.6920000000000015E-2</v>
      </c>
      <c r="E200" s="1">
        <v>-4.3150000000000015E-2</v>
      </c>
      <c r="F200" s="5">
        <v>42000</v>
      </c>
      <c r="G200" s="1"/>
    </row>
    <row r="201" spans="1:7" x14ac:dyDescent="0.2">
      <c r="A201" s="1">
        <v>10</v>
      </c>
      <c r="B201" s="1">
        <v>15</v>
      </c>
      <c r="C201" s="1">
        <v>5.0360000000000023E-2</v>
      </c>
      <c r="D201" s="1">
        <v>-8.8170000000000037E-3</v>
      </c>
      <c r="E201" s="1">
        <v>-2.9460000000000014E-2</v>
      </c>
      <c r="F201" s="5">
        <v>25000</v>
      </c>
      <c r="G201" s="1"/>
    </row>
    <row r="202" spans="1:7" x14ac:dyDescent="0.2">
      <c r="A202" s="1">
        <v>10</v>
      </c>
      <c r="B202" s="1">
        <v>16</v>
      </c>
      <c r="C202" s="1">
        <v>4.7050000000000022E-2</v>
      </c>
      <c r="D202" s="1">
        <v>-1.7470000000000006E-2</v>
      </c>
      <c r="E202" s="1">
        <v>-5.3390000000000021E-2</v>
      </c>
      <c r="F202" s="5">
        <v>50000</v>
      </c>
      <c r="G202" s="1"/>
    </row>
    <row r="203" spans="1:7" x14ac:dyDescent="0.2">
      <c r="A203" s="1">
        <v>10</v>
      </c>
      <c r="B203" s="1">
        <v>17</v>
      </c>
      <c r="C203" s="1">
        <v>6.4980000000000024E-2</v>
      </c>
      <c r="D203" s="1">
        <v>-3.1270000000000013E-2</v>
      </c>
      <c r="E203" s="1">
        <v>-4.9630000000000021E-2</v>
      </c>
      <c r="F203" s="5">
        <v>12000</v>
      </c>
      <c r="G203" s="1"/>
    </row>
    <row r="204" spans="1:7" x14ac:dyDescent="0.2">
      <c r="A204" s="1">
        <v>10</v>
      </c>
      <c r="B204" s="1">
        <v>18</v>
      </c>
      <c r="C204" s="1">
        <v>3.8360000000000019E-2</v>
      </c>
      <c r="D204" s="1">
        <v>-3.8260000000000016E-2</v>
      </c>
      <c r="E204" s="1">
        <v>-9.6730000000000038E-2</v>
      </c>
      <c r="F204" s="5">
        <v>8800</v>
      </c>
      <c r="G204" s="1"/>
    </row>
    <row r="205" spans="1:7" x14ac:dyDescent="0.2">
      <c r="A205" s="1">
        <v>10</v>
      </c>
      <c r="B205" s="1">
        <v>19</v>
      </c>
      <c r="C205" s="1">
        <v>9.9730000000000041E-2</v>
      </c>
      <c r="D205" s="1">
        <v>-3.2910000000000016E-2</v>
      </c>
      <c r="E205" s="1">
        <v>-8.8380000000000042E-2</v>
      </c>
      <c r="F205" s="5">
        <v>9400</v>
      </c>
      <c r="G205" s="1"/>
    </row>
    <row r="206" spans="1:7" x14ac:dyDescent="0.2">
      <c r="A206" s="1">
        <v>10</v>
      </c>
      <c r="B206" s="1">
        <v>20</v>
      </c>
      <c r="C206" s="1">
        <v>0.16820000000000004</v>
      </c>
      <c r="D206" s="1">
        <v>-7.1780000000000024E-2</v>
      </c>
      <c r="E206" s="1">
        <v>-0.11350000000000003</v>
      </c>
      <c r="F206" s="5">
        <v>5900</v>
      </c>
      <c r="G206" s="1"/>
    </row>
    <row r="207" spans="1:7" x14ac:dyDescent="0.2">
      <c r="A207" s="1">
        <v>11</v>
      </c>
      <c r="B207" s="1">
        <v>1</v>
      </c>
      <c r="C207" s="1">
        <v>-0.14360000000000003</v>
      </c>
      <c r="D207" s="1">
        <v>7.6510000000000033E-3</v>
      </c>
      <c r="E207" s="1">
        <v>8.8880000000000042E-2</v>
      </c>
      <c r="F207" s="5">
        <v>6900</v>
      </c>
      <c r="G207" s="1"/>
    </row>
    <row r="208" spans="1:7" x14ac:dyDescent="0.2">
      <c r="A208" s="1">
        <v>11</v>
      </c>
      <c r="B208" s="1">
        <v>2</v>
      </c>
      <c r="C208" s="1">
        <v>-0.10980000000000004</v>
      </c>
      <c r="D208" s="1">
        <v>-5.740000000000002E-3</v>
      </c>
      <c r="E208" s="1">
        <v>7.4150000000000035E-2</v>
      </c>
      <c r="F208" s="5">
        <v>8600</v>
      </c>
      <c r="G208" s="1"/>
    </row>
    <row r="209" spans="1:7" x14ac:dyDescent="0.2">
      <c r="A209" s="1">
        <v>11</v>
      </c>
      <c r="B209" s="1">
        <v>3</v>
      </c>
      <c r="C209" s="1">
        <v>-6.4030000000000031E-2</v>
      </c>
      <c r="D209" s="1">
        <v>8.6280000000000037E-3</v>
      </c>
      <c r="E209" s="1">
        <v>7.0720000000000033E-2</v>
      </c>
      <c r="F209" s="5">
        <v>12000</v>
      </c>
      <c r="G209" s="1"/>
    </row>
    <row r="210" spans="1:7" x14ac:dyDescent="0.2">
      <c r="A210" s="1">
        <v>11</v>
      </c>
      <c r="B210" s="1">
        <v>4</v>
      </c>
      <c r="C210" s="1">
        <v>-6.6450000000000023E-2</v>
      </c>
      <c r="D210" s="1">
        <v>5.0470000000000029E-4</v>
      </c>
      <c r="E210" s="1">
        <v>5.5710000000000023E-2</v>
      </c>
      <c r="F210" s="5">
        <v>22500</v>
      </c>
      <c r="G210" s="1"/>
    </row>
    <row r="211" spans="1:7" x14ac:dyDescent="0.2">
      <c r="A211" s="1">
        <v>11</v>
      </c>
      <c r="B211" s="1">
        <v>5</v>
      </c>
      <c r="C211" s="1">
        <v>-2.3720000000000008E-2</v>
      </c>
      <c r="D211" s="1">
        <v>3.5800000000000012E-2</v>
      </c>
      <c r="E211" s="1">
        <v>5.3390000000000021E-2</v>
      </c>
      <c r="F211" s="5">
        <v>12500</v>
      </c>
      <c r="G211" s="1"/>
    </row>
    <row r="212" spans="1:7" x14ac:dyDescent="0.2">
      <c r="A212" s="1">
        <v>11</v>
      </c>
      <c r="B212" s="1">
        <v>6</v>
      </c>
      <c r="C212" s="1">
        <v>-3.6730000000000013E-2</v>
      </c>
      <c r="D212" s="1">
        <v>-1.8330000000000006E-2</v>
      </c>
      <c r="E212" s="1">
        <v>7.0760000000000031E-2</v>
      </c>
      <c r="F212" s="5">
        <v>9300</v>
      </c>
      <c r="G212" s="1"/>
    </row>
    <row r="213" spans="1:7" x14ac:dyDescent="0.2">
      <c r="A213" s="1">
        <v>11</v>
      </c>
      <c r="B213" s="1">
        <v>7</v>
      </c>
      <c r="C213" s="1">
        <v>-2.4150000000000012E-2</v>
      </c>
      <c r="D213" s="1">
        <v>-2.0840000000000008E-2</v>
      </c>
      <c r="E213" s="1">
        <v>6.0810000000000024E-2</v>
      </c>
      <c r="F213" s="5">
        <v>17000</v>
      </c>
      <c r="G213" s="1"/>
    </row>
    <row r="214" spans="1:7" x14ac:dyDescent="0.2">
      <c r="A214" s="1">
        <v>11</v>
      </c>
      <c r="B214" s="1">
        <v>8</v>
      </c>
      <c r="C214" s="1">
        <v>-2.265000000000001E-3</v>
      </c>
      <c r="D214" s="1">
        <v>-6.3450000000000025E-3</v>
      </c>
      <c r="E214" s="1">
        <v>4.3550000000000019E-2</v>
      </c>
      <c r="F214" s="5">
        <v>24000</v>
      </c>
      <c r="G214" s="1"/>
    </row>
    <row r="215" spans="1:7" x14ac:dyDescent="0.2">
      <c r="A215" s="1">
        <v>11</v>
      </c>
      <c r="B215" s="1">
        <v>9</v>
      </c>
      <c r="C215" s="1">
        <v>8.9990000000000035E-3</v>
      </c>
      <c r="D215" s="1">
        <v>3.2820000000000011E-3</v>
      </c>
      <c r="E215" s="1">
        <v>2.6590000000000009E-2</v>
      </c>
      <c r="F215" s="5">
        <v>28500</v>
      </c>
      <c r="G215" s="1"/>
    </row>
    <row r="216" spans="1:7" x14ac:dyDescent="0.2">
      <c r="A216" s="1">
        <v>11</v>
      </c>
      <c r="B216" s="1">
        <v>10</v>
      </c>
      <c r="C216" s="1">
        <v>-1.1030000000000005E-2</v>
      </c>
      <c r="D216" s="1">
        <v>-1.8080000000000009E-2</v>
      </c>
      <c r="E216" s="1">
        <v>1.6240000000000008E-2</v>
      </c>
      <c r="F216" s="5">
        <v>20500</v>
      </c>
      <c r="G216" s="1"/>
    </row>
    <row r="217" spans="1:7" x14ac:dyDescent="0.2">
      <c r="A217" s="1">
        <v>11</v>
      </c>
      <c r="B217" s="1">
        <v>11</v>
      </c>
      <c r="C217" s="1">
        <v>1.6800000000000006E-2</v>
      </c>
      <c r="D217" s="1">
        <v>1.5660000000000006E-3</v>
      </c>
      <c r="E217" s="1">
        <v>1.5020000000000006E-2</v>
      </c>
      <c r="F217" s="5">
        <v>11000</v>
      </c>
      <c r="G217" s="1"/>
    </row>
    <row r="218" spans="1:7" x14ac:dyDescent="0.2">
      <c r="A218" s="1">
        <v>11</v>
      </c>
      <c r="B218" s="1">
        <v>12</v>
      </c>
      <c r="C218" s="1">
        <v>-2.7030000000000012E-4</v>
      </c>
      <c r="D218" s="1">
        <v>-2.8120000000000013E-2</v>
      </c>
      <c r="E218" s="1">
        <v>9.1030000000000034E-3</v>
      </c>
      <c r="F218" s="5">
        <v>27500</v>
      </c>
      <c r="G218" s="1"/>
    </row>
    <row r="219" spans="1:7" x14ac:dyDescent="0.2">
      <c r="A219" s="1">
        <v>11</v>
      </c>
      <c r="B219" s="1">
        <v>13</v>
      </c>
      <c r="C219" s="1">
        <v>2.003000000000001E-2</v>
      </c>
      <c r="D219" s="1">
        <v>-2.2200000000000008E-2</v>
      </c>
      <c r="E219" s="1">
        <v>3.5450000000000013E-3</v>
      </c>
      <c r="F219" s="5">
        <v>12000</v>
      </c>
      <c r="G219" s="1"/>
    </row>
    <row r="220" spans="1:7" x14ac:dyDescent="0.2">
      <c r="A220" s="1">
        <v>11</v>
      </c>
      <c r="B220" s="1">
        <v>14</v>
      </c>
      <c r="C220" s="1">
        <v>1.1030000000000005E-2</v>
      </c>
      <c r="D220" s="1">
        <v>-2.478000000000001E-2</v>
      </c>
      <c r="E220" s="1">
        <v>-2.3910000000000011E-2</v>
      </c>
      <c r="F220" s="5">
        <v>30500</v>
      </c>
      <c r="G220" s="1"/>
    </row>
    <row r="221" spans="1:7" x14ac:dyDescent="0.2">
      <c r="A221" s="1">
        <v>11</v>
      </c>
      <c r="B221" s="1">
        <v>15</v>
      </c>
      <c r="C221" s="1">
        <v>1.7380000000000007E-2</v>
      </c>
      <c r="D221" s="1">
        <v>-2.9550000000000014E-2</v>
      </c>
      <c r="E221" s="1">
        <v>-3.1860000000000013E-2</v>
      </c>
      <c r="F221" s="5">
        <v>55500</v>
      </c>
      <c r="G221" s="1"/>
    </row>
    <row r="222" spans="1:7" x14ac:dyDescent="0.2">
      <c r="A222" s="1">
        <v>11</v>
      </c>
      <c r="B222" s="1">
        <v>16</v>
      </c>
      <c r="C222" s="1">
        <v>3.3040000000000014E-2</v>
      </c>
      <c r="D222" s="1">
        <v>-2.9570000000000013E-2</v>
      </c>
      <c r="E222" s="1">
        <v>-4.4950000000000018E-2</v>
      </c>
      <c r="F222" s="5">
        <v>38000</v>
      </c>
      <c r="G222" s="1"/>
    </row>
    <row r="223" spans="1:7" x14ac:dyDescent="0.2">
      <c r="A223" s="1">
        <v>11</v>
      </c>
      <c r="B223" s="1">
        <v>17</v>
      </c>
      <c r="C223" s="1">
        <v>5.0450000000000023E-2</v>
      </c>
      <c r="D223" s="1">
        <v>-4.4830000000000016E-2</v>
      </c>
      <c r="E223" s="1">
        <v>-3.9090000000000014E-2</v>
      </c>
      <c r="F223" s="5">
        <v>9400</v>
      </c>
      <c r="G223" s="1"/>
    </row>
    <row r="224" spans="1:7" x14ac:dyDescent="0.2">
      <c r="A224" s="1">
        <v>11</v>
      </c>
      <c r="B224" s="1">
        <v>18</v>
      </c>
      <c r="C224" s="1">
        <v>1.8640000000000007E-2</v>
      </c>
      <c r="D224" s="1">
        <v>-5.7670000000000027E-2</v>
      </c>
      <c r="E224" s="1">
        <v>-9.0090000000000031E-2</v>
      </c>
      <c r="F224" s="5">
        <v>26500</v>
      </c>
      <c r="G224" s="1"/>
    </row>
    <row r="225" spans="1:7" x14ac:dyDescent="0.2">
      <c r="A225" s="1">
        <v>11</v>
      </c>
      <c r="B225" s="1">
        <v>19</v>
      </c>
      <c r="C225" s="1">
        <v>7.3150000000000034E-2</v>
      </c>
      <c r="D225" s="1">
        <v>-5.0050000000000018E-2</v>
      </c>
      <c r="E225" s="1">
        <v>-8.6580000000000032E-2</v>
      </c>
      <c r="F225" s="5">
        <v>12500</v>
      </c>
      <c r="G225" s="1"/>
    </row>
    <row r="226" spans="1:7" x14ac:dyDescent="0.2">
      <c r="A226" s="1">
        <v>11</v>
      </c>
      <c r="B226" s="1">
        <v>20</v>
      </c>
      <c r="C226" s="1">
        <v>0.13020000000000004</v>
      </c>
      <c r="D226" s="1">
        <v>-8.5600000000000037E-2</v>
      </c>
      <c r="E226" s="1">
        <v>-0.11330000000000004</v>
      </c>
      <c r="F226" s="5">
        <v>7400</v>
      </c>
      <c r="G226" s="1"/>
    </row>
    <row r="227" spans="1:7" x14ac:dyDescent="0.2">
      <c r="A227" s="1">
        <v>12</v>
      </c>
      <c r="B227" s="1">
        <v>1</v>
      </c>
      <c r="C227" s="1">
        <v>-0.16640000000000005</v>
      </c>
      <c r="D227" s="1">
        <v>-1.7420000000000008E-2</v>
      </c>
      <c r="E227" s="1">
        <v>0.11160000000000003</v>
      </c>
      <c r="F227" s="5">
        <v>12500</v>
      </c>
      <c r="G227" s="1"/>
    </row>
    <row r="228" spans="1:7" x14ac:dyDescent="0.2">
      <c r="A228" s="1">
        <v>12</v>
      </c>
      <c r="B228" s="1">
        <v>2</v>
      </c>
      <c r="C228" s="1">
        <v>-0.12960000000000005</v>
      </c>
      <c r="D228" s="1">
        <v>-1.8330000000000006E-2</v>
      </c>
      <c r="E228" s="1">
        <v>8.5720000000000032E-2</v>
      </c>
      <c r="F228" s="5">
        <v>17500</v>
      </c>
      <c r="G228" s="1"/>
    </row>
    <row r="229" spans="1:7" x14ac:dyDescent="0.2">
      <c r="A229" s="1">
        <v>12</v>
      </c>
      <c r="B229" s="1">
        <v>3</v>
      </c>
      <c r="C229" s="1">
        <v>-0.10210000000000004</v>
      </c>
      <c r="D229" s="1">
        <v>-1.7790000000000007E-2</v>
      </c>
      <c r="E229" s="1">
        <v>7.6370000000000035E-2</v>
      </c>
      <c r="F229" s="5">
        <v>18000</v>
      </c>
      <c r="G229" s="1"/>
    </row>
    <row r="230" spans="1:7" x14ac:dyDescent="0.2">
      <c r="A230" s="1">
        <v>12</v>
      </c>
      <c r="B230" s="1">
        <v>4</v>
      </c>
      <c r="C230" s="1">
        <v>-9.8370000000000041E-2</v>
      </c>
      <c r="D230" s="1">
        <v>-2.2520000000000009E-2</v>
      </c>
      <c r="E230" s="1">
        <v>6.4760000000000026E-2</v>
      </c>
      <c r="F230" s="5">
        <v>42500</v>
      </c>
      <c r="G230" s="1"/>
    </row>
    <row r="231" spans="1:7" x14ac:dyDescent="0.2">
      <c r="A231" s="1">
        <v>12</v>
      </c>
      <c r="B231" s="1">
        <v>5</v>
      </c>
      <c r="C231" s="1">
        <v>-6.0540000000000024E-2</v>
      </c>
      <c r="D231" s="1">
        <v>1.5930000000000007E-2</v>
      </c>
      <c r="E231" s="1">
        <v>5.3020000000000025E-2</v>
      </c>
      <c r="F231" s="5">
        <v>20500</v>
      </c>
      <c r="G231" s="1"/>
    </row>
    <row r="232" spans="1:7" x14ac:dyDescent="0.2">
      <c r="A232" s="1">
        <v>12</v>
      </c>
      <c r="B232" s="1">
        <v>6</v>
      </c>
      <c r="C232" s="1">
        <v>-7.3320000000000024E-2</v>
      </c>
      <c r="D232" s="1">
        <v>-3.1470000000000012E-2</v>
      </c>
      <c r="E232" s="1">
        <v>6.6410000000000025E-2</v>
      </c>
      <c r="F232" s="5">
        <v>15500</v>
      </c>
      <c r="G232" s="1"/>
    </row>
    <row r="233" spans="1:7" x14ac:dyDescent="0.2">
      <c r="A233" s="1">
        <v>12</v>
      </c>
      <c r="B233" s="1">
        <v>7</v>
      </c>
      <c r="C233" s="1">
        <v>-3.7040000000000017E-2</v>
      </c>
      <c r="D233" s="1">
        <v>-1.0630000000000004E-2</v>
      </c>
      <c r="E233" s="1">
        <v>5.7250000000000023E-2</v>
      </c>
      <c r="F233" s="5">
        <v>17000</v>
      </c>
      <c r="G233" s="1"/>
    </row>
    <row r="234" spans="1:7" x14ac:dyDescent="0.2">
      <c r="A234" s="1">
        <v>12</v>
      </c>
      <c r="B234" s="1">
        <v>8</v>
      </c>
      <c r="C234" s="1">
        <v>-3.2510000000000011E-2</v>
      </c>
      <c r="D234" s="1">
        <v>-1.7300000000000006E-2</v>
      </c>
      <c r="E234" s="1">
        <v>4.294000000000002E-2</v>
      </c>
      <c r="F234" s="5">
        <v>38000</v>
      </c>
      <c r="G234" s="1"/>
    </row>
    <row r="235" spans="1:7" x14ac:dyDescent="0.2">
      <c r="A235" s="1">
        <v>12</v>
      </c>
      <c r="B235" s="1">
        <v>9</v>
      </c>
      <c r="C235" s="1">
        <v>-1.5270000000000006E-2</v>
      </c>
      <c r="D235" s="1">
        <v>-7.4190000000000028E-3</v>
      </c>
      <c r="E235" s="1">
        <v>3.210000000000001E-2</v>
      </c>
      <c r="F235" s="5">
        <v>41500</v>
      </c>
      <c r="G235" s="1"/>
    </row>
    <row r="236" spans="1:7" x14ac:dyDescent="0.2">
      <c r="A236" s="1">
        <v>12</v>
      </c>
      <c r="B236" s="1">
        <v>10</v>
      </c>
      <c r="C236" s="1">
        <v>-1.9160000000000007E-2</v>
      </c>
      <c r="D236" s="1">
        <v>-1.7120000000000007E-2</v>
      </c>
      <c r="E236" s="1">
        <v>2.539000000000001E-2</v>
      </c>
      <c r="F236" s="5">
        <v>41000</v>
      </c>
      <c r="G236" s="1"/>
    </row>
    <row r="237" spans="1:7" x14ac:dyDescent="0.2">
      <c r="A237" s="1">
        <v>12</v>
      </c>
      <c r="B237" s="1">
        <v>11</v>
      </c>
      <c r="C237" s="1">
        <v>-1.0470000000000004E-2</v>
      </c>
      <c r="D237" s="1">
        <v>-1.7100000000000008E-2</v>
      </c>
      <c r="E237" s="1">
        <v>2.5780000000000011E-2</v>
      </c>
      <c r="F237" s="5">
        <v>22000</v>
      </c>
      <c r="G237" s="1"/>
    </row>
    <row r="238" spans="1:7" x14ac:dyDescent="0.2">
      <c r="A238" s="1">
        <v>12</v>
      </c>
      <c r="B238" s="1">
        <v>12</v>
      </c>
      <c r="C238" s="1">
        <v>-3.0810000000000013E-3</v>
      </c>
      <c r="D238" s="1">
        <v>-1.9740000000000008E-2</v>
      </c>
      <c r="E238" s="1">
        <v>1.6450000000000006E-2</v>
      </c>
      <c r="F238" s="5">
        <v>35000</v>
      </c>
      <c r="G238" s="1"/>
    </row>
    <row r="239" spans="1:7" x14ac:dyDescent="0.2">
      <c r="A239" s="1">
        <v>12</v>
      </c>
      <c r="B239" s="1">
        <v>13</v>
      </c>
      <c r="C239" s="1">
        <v>4.4010000000000013E-3</v>
      </c>
      <c r="D239" s="1">
        <v>-1.7620000000000007E-2</v>
      </c>
      <c r="E239" s="1">
        <v>6.878000000000003E-3</v>
      </c>
      <c r="F239" s="5">
        <v>30000</v>
      </c>
      <c r="G239" s="1"/>
    </row>
    <row r="240" spans="1:7" x14ac:dyDescent="0.2">
      <c r="A240" s="1">
        <v>12</v>
      </c>
      <c r="B240" s="1">
        <v>14</v>
      </c>
      <c r="C240" s="1">
        <v>-1.1150000000000005E-2</v>
      </c>
      <c r="D240" s="1">
        <v>-3.6850000000000015E-2</v>
      </c>
      <c r="E240" s="1">
        <v>-2.1540000000000011E-2</v>
      </c>
      <c r="F240" s="5">
        <v>59500</v>
      </c>
      <c r="G240" s="1"/>
    </row>
    <row r="241" spans="1:7" x14ac:dyDescent="0.2">
      <c r="A241" s="1">
        <v>12</v>
      </c>
      <c r="B241" s="1">
        <v>15</v>
      </c>
      <c r="C241" s="1">
        <v>2.291000000000001E-2</v>
      </c>
      <c r="D241" s="1">
        <v>-1.4690000000000007E-2</v>
      </c>
      <c r="E241" s="1">
        <v>-2.088000000000001E-2</v>
      </c>
      <c r="F241" s="5">
        <v>37500</v>
      </c>
      <c r="G241" s="1"/>
    </row>
    <row r="242" spans="1:7" x14ac:dyDescent="0.2">
      <c r="A242" s="1">
        <v>12</v>
      </c>
      <c r="B242" s="1">
        <v>16</v>
      </c>
      <c r="C242" s="1">
        <v>3.0660000000000014E-2</v>
      </c>
      <c r="D242" s="1">
        <v>-2.2180000000000009E-2</v>
      </c>
      <c r="E242" s="1">
        <v>-3.3410000000000016E-2</v>
      </c>
      <c r="F242" s="5">
        <v>53000</v>
      </c>
      <c r="G242" s="1"/>
    </row>
    <row r="243" spans="1:7" x14ac:dyDescent="0.2">
      <c r="A243" s="1">
        <v>12</v>
      </c>
      <c r="B243" s="1">
        <v>17</v>
      </c>
      <c r="C243" s="1">
        <v>3.3120000000000011E-2</v>
      </c>
      <c r="D243" s="1">
        <v>-3.8460000000000015E-2</v>
      </c>
      <c r="E243" s="1">
        <v>-4.3670000000000021E-2</v>
      </c>
      <c r="F243" s="5">
        <v>24500</v>
      </c>
      <c r="G243" s="1"/>
    </row>
    <row r="244" spans="1:7" x14ac:dyDescent="0.2">
      <c r="A244" s="1">
        <v>12</v>
      </c>
      <c r="B244" s="1">
        <v>18</v>
      </c>
      <c r="C244" s="1">
        <v>3.9290000000000019E-2</v>
      </c>
      <c r="D244" s="1">
        <v>-3.4670000000000013E-2</v>
      </c>
      <c r="E244" s="1">
        <v>-6.6980000000000026E-2</v>
      </c>
      <c r="F244" s="5">
        <v>13000</v>
      </c>
      <c r="G244" s="1"/>
    </row>
    <row r="245" spans="1:7" x14ac:dyDescent="0.2">
      <c r="A245" s="1">
        <v>12</v>
      </c>
      <c r="B245" s="1">
        <v>19</v>
      </c>
      <c r="C245" s="1">
        <v>5.5680000000000021E-2</v>
      </c>
      <c r="D245" s="1">
        <v>-5.112000000000002E-2</v>
      </c>
      <c r="E245" s="1">
        <v>-8.6340000000000042E-2</v>
      </c>
      <c r="F245" s="5">
        <v>16500</v>
      </c>
      <c r="G245" s="1"/>
    </row>
    <row r="246" spans="1:7" x14ac:dyDescent="0.2">
      <c r="A246" s="1">
        <v>12</v>
      </c>
      <c r="B246" s="1">
        <v>20</v>
      </c>
      <c r="C246" s="1">
        <v>0.11460000000000004</v>
      </c>
      <c r="D246" s="1">
        <v>-5.3850000000000023E-2</v>
      </c>
      <c r="E246" s="1">
        <v>-0.14720000000000005</v>
      </c>
      <c r="F246" s="5">
        <v>15500</v>
      </c>
      <c r="G246" s="1"/>
    </row>
    <row r="247" spans="1:7" x14ac:dyDescent="0.2">
      <c r="A247" s="1">
        <v>13</v>
      </c>
      <c r="B247" s="1">
        <v>1</v>
      </c>
      <c r="C247" s="1">
        <v>-0.16920000000000004</v>
      </c>
      <c r="D247" s="1">
        <v>1.0880000000000004E-2</v>
      </c>
      <c r="E247" s="1">
        <v>9.7110000000000044E-2</v>
      </c>
      <c r="F247" s="5">
        <v>8000</v>
      </c>
      <c r="G247" s="1"/>
    </row>
    <row r="248" spans="1:7" x14ac:dyDescent="0.2">
      <c r="A248" s="1">
        <v>13</v>
      </c>
      <c r="B248" s="1">
        <v>2</v>
      </c>
      <c r="C248" s="1">
        <v>-0.12880000000000005</v>
      </c>
      <c r="D248" s="1">
        <v>-2.6620000000000012E-3</v>
      </c>
      <c r="E248" s="1">
        <v>9.3660000000000035E-2</v>
      </c>
      <c r="F248" s="5">
        <v>11000</v>
      </c>
      <c r="G248" s="1"/>
    </row>
    <row r="249" spans="1:7" x14ac:dyDescent="0.2">
      <c r="A249" s="1">
        <v>13</v>
      </c>
      <c r="B249" s="1">
        <v>3</v>
      </c>
      <c r="C249" s="1">
        <v>-0.11470000000000004</v>
      </c>
      <c r="D249" s="1">
        <v>-7.3580000000000026E-3</v>
      </c>
      <c r="E249" s="1">
        <v>7.5650000000000037E-2</v>
      </c>
      <c r="F249" s="5">
        <v>7200</v>
      </c>
      <c r="G249" s="1"/>
    </row>
    <row r="250" spans="1:7" x14ac:dyDescent="0.2">
      <c r="A250" s="1">
        <v>13</v>
      </c>
      <c r="B250" s="1">
        <v>4</v>
      </c>
      <c r="C250" s="1">
        <v>-0.11110000000000003</v>
      </c>
      <c r="D250" s="1">
        <v>-4.7450000000000018E-3</v>
      </c>
      <c r="E250" s="1">
        <v>5.6250000000000022E-2</v>
      </c>
      <c r="F250" s="5">
        <v>14500</v>
      </c>
      <c r="G250" s="1"/>
    </row>
    <row r="251" spans="1:7" x14ac:dyDescent="0.2">
      <c r="A251" s="1">
        <v>13</v>
      </c>
      <c r="B251" s="1">
        <v>5</v>
      </c>
      <c r="C251" s="1">
        <v>-0.10760000000000003</v>
      </c>
      <c r="D251" s="1">
        <v>-2.0900000000000009E-2</v>
      </c>
      <c r="E251" s="1">
        <v>6.0970000000000024E-2</v>
      </c>
      <c r="F251" s="5">
        <v>6900</v>
      </c>
      <c r="G251" s="1"/>
    </row>
    <row r="252" spans="1:7" x14ac:dyDescent="0.2">
      <c r="A252" s="1">
        <v>13</v>
      </c>
      <c r="B252" s="1">
        <v>6</v>
      </c>
      <c r="C252" s="1">
        <v>-8.304000000000003E-2</v>
      </c>
      <c r="D252" s="1">
        <v>-1.8780000000000008E-2</v>
      </c>
      <c r="E252" s="1">
        <v>6.1850000000000023E-2</v>
      </c>
      <c r="F252" s="5">
        <v>7100</v>
      </c>
      <c r="G252" s="1"/>
    </row>
    <row r="253" spans="1:7" x14ac:dyDescent="0.2">
      <c r="A253" s="1">
        <v>13</v>
      </c>
      <c r="B253" s="1">
        <v>7</v>
      </c>
      <c r="C253" s="1">
        <v>-5.7840000000000023E-2</v>
      </c>
      <c r="D253" s="1">
        <v>-1.6150000000000008E-2</v>
      </c>
      <c r="E253" s="1">
        <v>6.0540000000000024E-2</v>
      </c>
      <c r="F253" s="5">
        <v>9100</v>
      </c>
      <c r="G253" s="1"/>
    </row>
    <row r="254" spans="1:7" x14ac:dyDescent="0.2">
      <c r="A254" s="1">
        <v>13</v>
      </c>
      <c r="B254" s="1">
        <v>8</v>
      </c>
      <c r="C254" s="1">
        <v>-4.906000000000002E-2</v>
      </c>
      <c r="D254" s="1">
        <v>-1.0650000000000005E-2</v>
      </c>
      <c r="E254" s="1">
        <v>3.8530000000000016E-2</v>
      </c>
      <c r="F254" s="5">
        <v>16500</v>
      </c>
      <c r="G254" s="1"/>
    </row>
    <row r="255" spans="1:7" x14ac:dyDescent="0.2">
      <c r="A255" s="1">
        <v>13</v>
      </c>
      <c r="B255" s="1">
        <v>9</v>
      </c>
      <c r="C255" s="1">
        <v>-4.0120000000000017E-2</v>
      </c>
      <c r="D255" s="1">
        <v>-1.1180000000000004E-2</v>
      </c>
      <c r="E255" s="1">
        <v>3.3070000000000016E-2</v>
      </c>
      <c r="F255" s="5">
        <v>18000</v>
      </c>
      <c r="G255" s="1"/>
    </row>
    <row r="256" spans="1:7" x14ac:dyDescent="0.2">
      <c r="A256" s="1">
        <v>13</v>
      </c>
      <c r="B256" s="1">
        <v>10</v>
      </c>
      <c r="C256" s="1">
        <v>-3.0780000000000012E-2</v>
      </c>
      <c r="D256" s="1">
        <v>-1.0630000000000004E-2</v>
      </c>
      <c r="E256" s="1">
        <v>2.8820000000000012E-2</v>
      </c>
      <c r="F256" s="5">
        <v>15500</v>
      </c>
      <c r="G256" s="1"/>
    </row>
    <row r="257" spans="1:7" x14ac:dyDescent="0.2">
      <c r="A257" s="1">
        <v>13</v>
      </c>
      <c r="B257" s="1">
        <v>11</v>
      </c>
      <c r="C257" s="1">
        <v>-3.1860000000000013E-2</v>
      </c>
      <c r="D257" s="1">
        <v>-2.2790000000000008E-2</v>
      </c>
      <c r="E257" s="1">
        <v>2.9420000000000012E-2</v>
      </c>
      <c r="F257" s="5">
        <v>12000</v>
      </c>
      <c r="G257" s="1"/>
    </row>
    <row r="258" spans="1:7" x14ac:dyDescent="0.2">
      <c r="A258" s="1">
        <v>13</v>
      </c>
      <c r="B258" s="1">
        <v>12</v>
      </c>
      <c r="C258" s="1">
        <v>-1.4470000000000005E-2</v>
      </c>
      <c r="D258" s="1">
        <v>-2.0600000000000007E-2</v>
      </c>
      <c r="E258" s="1">
        <v>2.1400000000000009E-2</v>
      </c>
      <c r="F258" s="5">
        <v>33500</v>
      </c>
      <c r="G258" s="1"/>
    </row>
    <row r="259" spans="1:7" x14ac:dyDescent="0.2">
      <c r="A259" s="1">
        <v>13</v>
      </c>
      <c r="B259" s="1">
        <v>13</v>
      </c>
      <c r="C259" s="1">
        <v>1.0680000000000004E-3</v>
      </c>
      <c r="D259" s="1">
        <v>-1.8880000000000008E-2</v>
      </c>
      <c r="E259" s="1">
        <v>2.0940000000000007E-2</v>
      </c>
      <c r="F259" s="5">
        <v>19500</v>
      </c>
      <c r="G259" s="1"/>
    </row>
    <row r="260" spans="1:7" x14ac:dyDescent="0.2">
      <c r="A260" s="1">
        <v>13</v>
      </c>
      <c r="B260" s="1">
        <v>14</v>
      </c>
      <c r="C260" s="1">
        <v>-1.1200000000000005E-2</v>
      </c>
      <c r="D260" s="1">
        <v>-1.6170000000000007E-2</v>
      </c>
      <c r="E260" s="1">
        <v>-1.6230000000000008E-2</v>
      </c>
      <c r="F260" s="5">
        <v>23500</v>
      </c>
      <c r="G260" s="1"/>
    </row>
    <row r="261" spans="1:7" x14ac:dyDescent="0.2">
      <c r="A261" s="1">
        <v>13</v>
      </c>
      <c r="B261" s="1">
        <v>15</v>
      </c>
      <c r="C261" s="1">
        <v>1.1200000000000005E-2</v>
      </c>
      <c r="D261" s="1">
        <v>-1.4860000000000007E-2</v>
      </c>
      <c r="E261" s="1">
        <v>-1.2710000000000006E-2</v>
      </c>
      <c r="F261" s="5">
        <v>21500</v>
      </c>
      <c r="G261" s="1"/>
    </row>
    <row r="262" spans="1:7" x14ac:dyDescent="0.2">
      <c r="A262" s="1">
        <v>13</v>
      </c>
      <c r="B262" s="1">
        <v>16</v>
      </c>
      <c r="C262" s="1">
        <v>1.1620000000000005E-2</v>
      </c>
      <c r="D262" s="1">
        <v>-2.2560000000000011E-2</v>
      </c>
      <c r="E262" s="1">
        <v>-2.8460000000000013E-2</v>
      </c>
      <c r="F262" s="5">
        <v>29000</v>
      </c>
      <c r="G262" s="1"/>
    </row>
    <row r="263" spans="1:7" x14ac:dyDescent="0.2">
      <c r="A263" s="1">
        <v>13</v>
      </c>
      <c r="B263" s="1">
        <v>17</v>
      </c>
      <c r="C263" s="1">
        <v>1.1150000000000005E-2</v>
      </c>
      <c r="D263" s="1">
        <v>-3.8150000000000017E-2</v>
      </c>
      <c r="E263" s="1">
        <v>-4.6080000000000017E-2</v>
      </c>
      <c r="F263" s="5">
        <v>14500</v>
      </c>
      <c r="G263" s="1"/>
    </row>
    <row r="264" spans="1:7" x14ac:dyDescent="0.2">
      <c r="A264" s="1">
        <v>13</v>
      </c>
      <c r="B264" s="1">
        <v>18</v>
      </c>
      <c r="C264" s="1">
        <v>2.5350000000000011E-2</v>
      </c>
      <c r="D264" s="1">
        <v>-2.7050000000000012E-2</v>
      </c>
      <c r="E264" s="1">
        <v>-6.6230000000000025E-2</v>
      </c>
      <c r="F264" s="5">
        <v>8300</v>
      </c>
      <c r="G264" s="1"/>
    </row>
    <row r="265" spans="1:7" x14ac:dyDescent="0.2">
      <c r="A265" s="1">
        <v>13</v>
      </c>
      <c r="B265" s="1">
        <v>19</v>
      </c>
      <c r="C265" s="1">
        <v>4.5880000000000018E-2</v>
      </c>
      <c r="D265" s="1">
        <v>-4.4850000000000022E-2</v>
      </c>
      <c r="E265" s="1">
        <v>-8.1470000000000029E-2</v>
      </c>
      <c r="F265" s="5">
        <v>7900</v>
      </c>
      <c r="G265" s="1"/>
    </row>
    <row r="266" spans="1:7" x14ac:dyDescent="0.2">
      <c r="A266" s="1">
        <v>13</v>
      </c>
      <c r="B266" s="1">
        <v>20</v>
      </c>
      <c r="C266" s="1">
        <v>0.16000000000000006</v>
      </c>
      <c r="D266" s="1">
        <v>-4.7770000000000021E-2</v>
      </c>
      <c r="E266" s="1">
        <v>-8.8380000000000042E-2</v>
      </c>
      <c r="F266" s="5">
        <v>7300</v>
      </c>
      <c r="G266" s="1"/>
    </row>
    <row r="267" spans="1:7" x14ac:dyDescent="0.2">
      <c r="A267" s="1">
        <v>14</v>
      </c>
      <c r="B267" s="1">
        <v>1</v>
      </c>
      <c r="C267" s="1">
        <v>-0.18950000000000006</v>
      </c>
      <c r="D267" s="1">
        <v>-2.4810000000000009E-2</v>
      </c>
      <c r="E267" s="1">
        <v>0.13810000000000006</v>
      </c>
      <c r="F267" s="5">
        <v>8100</v>
      </c>
      <c r="G267" s="1"/>
    </row>
    <row r="268" spans="1:7" x14ac:dyDescent="0.2">
      <c r="A268" s="1">
        <v>14</v>
      </c>
      <c r="B268" s="1">
        <v>2</v>
      </c>
      <c r="C268" s="1">
        <v>-0.10480000000000003</v>
      </c>
      <c r="D268" s="1">
        <v>-7.4140000000000035E-4</v>
      </c>
      <c r="E268" s="1">
        <v>0.13440000000000005</v>
      </c>
      <c r="F268" s="5">
        <v>13000</v>
      </c>
      <c r="G268" s="1"/>
    </row>
    <row r="269" spans="1:7" x14ac:dyDescent="0.2">
      <c r="A269" s="1">
        <v>14</v>
      </c>
      <c r="B269" s="1">
        <v>3</v>
      </c>
      <c r="C269" s="1">
        <v>-9.5700000000000035E-2</v>
      </c>
      <c r="D269" s="1">
        <v>-9.9300000000000031E-3</v>
      </c>
      <c r="E269" s="1">
        <v>0.11800000000000004</v>
      </c>
      <c r="F269" s="5">
        <v>14000</v>
      </c>
      <c r="G269" s="1"/>
    </row>
    <row r="270" spans="1:7" x14ac:dyDescent="0.2">
      <c r="A270" s="1">
        <v>14</v>
      </c>
      <c r="B270" s="1">
        <v>4</v>
      </c>
      <c r="C270" s="1">
        <v>-0.11110000000000003</v>
      </c>
      <c r="D270" s="1">
        <v>-6.5850000000000034E-2</v>
      </c>
      <c r="E270" s="1">
        <v>0.14230000000000004</v>
      </c>
      <c r="F270" s="5">
        <v>54000</v>
      </c>
      <c r="G270" s="1"/>
    </row>
    <row r="271" spans="1:7" x14ac:dyDescent="0.2">
      <c r="A271" s="1">
        <v>14</v>
      </c>
      <c r="B271" s="1">
        <v>5</v>
      </c>
      <c r="C271" s="1">
        <v>-6.9910000000000028E-2</v>
      </c>
      <c r="D271" s="1">
        <v>4.0590000000000022E-4</v>
      </c>
      <c r="E271" s="1">
        <v>0.10540000000000004</v>
      </c>
      <c r="F271" s="5">
        <v>20000</v>
      </c>
      <c r="G271" s="1"/>
    </row>
    <row r="272" spans="1:7" x14ac:dyDescent="0.2">
      <c r="A272" s="1">
        <v>14</v>
      </c>
      <c r="B272" s="1">
        <v>6</v>
      </c>
      <c r="C272" s="1">
        <v>-7.0230000000000029E-2</v>
      </c>
      <c r="D272" s="1">
        <v>-1.9020000000000009E-2</v>
      </c>
      <c r="E272" s="1">
        <v>0.10320000000000003</v>
      </c>
      <c r="F272" s="5">
        <v>12000</v>
      </c>
      <c r="G272" s="1"/>
    </row>
    <row r="273" spans="1:7" x14ac:dyDescent="0.2">
      <c r="A273" s="1">
        <v>14</v>
      </c>
      <c r="B273" s="1">
        <v>7</v>
      </c>
      <c r="C273" s="1">
        <v>-4.3840000000000018E-2</v>
      </c>
      <c r="D273" s="1">
        <v>-1.1060000000000004E-2</v>
      </c>
      <c r="E273" s="1">
        <v>9.0590000000000032E-2</v>
      </c>
      <c r="F273" s="5">
        <v>15000</v>
      </c>
      <c r="G273" s="1"/>
    </row>
    <row r="274" spans="1:7" x14ac:dyDescent="0.2">
      <c r="A274" s="1">
        <v>14</v>
      </c>
      <c r="B274" s="1">
        <v>8</v>
      </c>
      <c r="C274" s="1">
        <v>-3.4510000000000013E-2</v>
      </c>
      <c r="D274" s="1">
        <v>-1.4980000000000005E-2</v>
      </c>
      <c r="E274" s="1">
        <v>7.9800000000000038E-2</v>
      </c>
      <c r="F274" s="5">
        <v>20000</v>
      </c>
      <c r="G274" s="1"/>
    </row>
    <row r="275" spans="1:7" x14ac:dyDescent="0.2">
      <c r="A275" s="1">
        <v>14</v>
      </c>
      <c r="B275" s="1">
        <v>9</v>
      </c>
      <c r="C275" s="1">
        <v>-3.3940000000000012E-2</v>
      </c>
      <c r="D275" s="1">
        <v>-1.2720000000000006E-2</v>
      </c>
      <c r="E275" s="1">
        <v>6.1310000000000024E-2</v>
      </c>
      <c r="F275" s="5">
        <v>22000</v>
      </c>
      <c r="G275" s="1"/>
    </row>
    <row r="276" spans="1:7" x14ac:dyDescent="0.2">
      <c r="A276" s="1">
        <v>14</v>
      </c>
      <c r="B276" s="1">
        <v>10</v>
      </c>
      <c r="C276" s="1">
        <v>-2.7570000000000011E-2</v>
      </c>
      <c r="D276" s="1">
        <v>-1.8620000000000008E-2</v>
      </c>
      <c r="E276" s="1">
        <v>6.543000000000003E-2</v>
      </c>
      <c r="F276" s="5">
        <v>45000</v>
      </c>
      <c r="G276" s="1"/>
    </row>
    <row r="277" spans="1:7" x14ac:dyDescent="0.2">
      <c r="A277" s="1">
        <v>14</v>
      </c>
      <c r="B277" s="1">
        <v>11</v>
      </c>
      <c r="C277" s="1">
        <v>7.8790000000000023E-3</v>
      </c>
      <c r="D277" s="1">
        <v>3.8520000000000013E-3</v>
      </c>
      <c r="E277" s="1">
        <v>6.2430000000000027E-2</v>
      </c>
      <c r="F277" s="5">
        <v>28000</v>
      </c>
      <c r="G277" s="1"/>
    </row>
    <row r="278" spans="1:7" x14ac:dyDescent="0.2">
      <c r="A278" s="1">
        <v>14</v>
      </c>
      <c r="B278" s="1">
        <v>12</v>
      </c>
      <c r="C278" s="1">
        <v>-1.9360000000000009E-2</v>
      </c>
      <c r="D278" s="1">
        <v>-2.1010000000000008E-2</v>
      </c>
      <c r="E278" s="1">
        <v>4.8660000000000023E-2</v>
      </c>
      <c r="F278" s="5">
        <v>61000</v>
      </c>
      <c r="G278" s="1"/>
    </row>
    <row r="279" spans="1:7" x14ac:dyDescent="0.2">
      <c r="A279" s="1">
        <v>14</v>
      </c>
      <c r="B279" s="1">
        <v>13</v>
      </c>
      <c r="C279" s="1">
        <v>-7.4010000000000031E-3</v>
      </c>
      <c r="D279" s="1">
        <v>-1.8600000000000009E-2</v>
      </c>
      <c r="E279" s="1">
        <v>3.1770000000000014E-2</v>
      </c>
      <c r="F279" s="5">
        <v>22000</v>
      </c>
      <c r="G279" s="1"/>
    </row>
    <row r="280" spans="1:7" x14ac:dyDescent="0.2">
      <c r="A280" s="1">
        <v>14</v>
      </c>
      <c r="B280" s="1">
        <v>14</v>
      </c>
      <c r="C280" s="1">
        <v>3.8400000000000014E-3</v>
      </c>
      <c r="D280" s="1">
        <v>-1.5330000000000007E-2</v>
      </c>
      <c r="E280" s="1">
        <v>1.8160000000000006E-2</v>
      </c>
      <c r="F280" s="5">
        <v>28000</v>
      </c>
      <c r="G280" s="1"/>
    </row>
    <row r="281" spans="1:7" x14ac:dyDescent="0.2">
      <c r="A281" s="1">
        <v>14</v>
      </c>
      <c r="B281" s="1">
        <v>15</v>
      </c>
      <c r="C281" s="1">
        <v>2.0120000000000009E-2</v>
      </c>
      <c r="D281" s="1">
        <v>-1.3770000000000006E-2</v>
      </c>
      <c r="E281" s="1">
        <v>1.3690000000000006E-2</v>
      </c>
      <c r="F281" s="5">
        <v>36500</v>
      </c>
      <c r="G281" s="1"/>
    </row>
    <row r="282" spans="1:7" x14ac:dyDescent="0.2">
      <c r="A282" s="1">
        <v>14</v>
      </c>
      <c r="B282" s="1">
        <v>16</v>
      </c>
      <c r="C282" s="1">
        <v>2.190000000000001E-2</v>
      </c>
      <c r="D282" s="1">
        <v>-1.4580000000000006E-2</v>
      </c>
      <c r="E282" s="1">
        <v>-1.0100000000000005E-2</v>
      </c>
      <c r="F282" s="5">
        <v>63000</v>
      </c>
      <c r="G282" s="1"/>
    </row>
    <row r="283" spans="1:7" x14ac:dyDescent="0.2">
      <c r="A283" s="1">
        <v>14</v>
      </c>
      <c r="B283" s="1">
        <v>17</v>
      </c>
      <c r="C283" s="1">
        <v>4.929000000000002E-3</v>
      </c>
      <c r="D283" s="1">
        <v>-5.4050000000000022E-2</v>
      </c>
      <c r="E283" s="1">
        <v>-1.6730000000000009E-2</v>
      </c>
      <c r="F283" s="5">
        <v>16500</v>
      </c>
      <c r="G283" s="1"/>
    </row>
    <row r="284" spans="1:7" x14ac:dyDescent="0.2">
      <c r="A284" s="1">
        <v>14</v>
      </c>
      <c r="B284" s="1">
        <v>18</v>
      </c>
      <c r="C284" s="1">
        <v>1.1250000000000005E-2</v>
      </c>
      <c r="D284" s="1">
        <v>-4.2740000000000021E-2</v>
      </c>
      <c r="E284" s="1">
        <v>-5.103000000000002E-2</v>
      </c>
      <c r="F284" s="5">
        <v>15000</v>
      </c>
      <c r="G284" s="1"/>
    </row>
    <row r="285" spans="1:7" x14ac:dyDescent="0.2">
      <c r="A285" s="1">
        <v>14</v>
      </c>
      <c r="B285" s="1">
        <v>19</v>
      </c>
      <c r="C285" s="1">
        <v>4.2130000000000015E-2</v>
      </c>
      <c r="D285" s="1">
        <v>-4.3320000000000018E-2</v>
      </c>
      <c r="E285" s="1">
        <v>-6.4650000000000027E-2</v>
      </c>
      <c r="F285" s="5">
        <v>15500</v>
      </c>
      <c r="G285" s="1"/>
    </row>
    <row r="286" spans="1:7" x14ac:dyDescent="0.2">
      <c r="A286" s="1">
        <v>14</v>
      </c>
      <c r="B286" s="1">
        <v>20</v>
      </c>
      <c r="C286" s="1">
        <v>0.12230000000000003</v>
      </c>
      <c r="D286" s="1">
        <v>-7.3850000000000027E-2</v>
      </c>
      <c r="E286" s="1">
        <v>-7.1680000000000035E-2</v>
      </c>
      <c r="F286" s="5">
        <v>10500</v>
      </c>
      <c r="G286" s="1"/>
    </row>
    <row r="287" spans="1:7" x14ac:dyDescent="0.2">
      <c r="A287" s="1">
        <v>15</v>
      </c>
      <c r="B287" s="1">
        <v>1</v>
      </c>
      <c r="C287" s="1">
        <v>-0.11810000000000004</v>
      </c>
      <c r="D287" s="1">
        <v>9.4930000000000047E-4</v>
      </c>
      <c r="E287" s="1">
        <v>0.19920000000000007</v>
      </c>
      <c r="F287" s="5">
        <v>13500</v>
      </c>
      <c r="G287" s="1"/>
    </row>
    <row r="288" spans="1:7" x14ac:dyDescent="0.2">
      <c r="A288" s="1">
        <v>15</v>
      </c>
      <c r="B288" s="1">
        <v>2</v>
      </c>
      <c r="C288" s="1">
        <v>-8.8890000000000038E-2</v>
      </c>
      <c r="D288" s="1">
        <v>1.8360000000000008E-2</v>
      </c>
      <c r="E288" s="1">
        <v>0.15300000000000005</v>
      </c>
      <c r="F288" s="5">
        <v>15000</v>
      </c>
      <c r="G288" s="1"/>
    </row>
    <row r="289" spans="1:7" x14ac:dyDescent="0.2">
      <c r="A289" s="1">
        <v>15</v>
      </c>
      <c r="B289" s="1">
        <v>3</v>
      </c>
      <c r="C289" s="1">
        <v>-7.6110000000000039E-2</v>
      </c>
      <c r="D289" s="1">
        <v>-1.3170000000000005E-3</v>
      </c>
      <c r="E289" s="1">
        <v>0.14700000000000005</v>
      </c>
      <c r="F289" s="5">
        <v>17000</v>
      </c>
      <c r="G289" s="1"/>
    </row>
    <row r="290" spans="1:7" x14ac:dyDescent="0.2">
      <c r="A290" s="1">
        <v>15</v>
      </c>
      <c r="B290" s="1">
        <v>4</v>
      </c>
      <c r="C290" s="1">
        <v>-8.0310000000000034E-2</v>
      </c>
      <c r="D290" s="1">
        <v>1.6150000000000008E-2</v>
      </c>
      <c r="E290" s="1">
        <v>0.10620000000000003</v>
      </c>
      <c r="F290" s="5">
        <v>26000</v>
      </c>
      <c r="G290" s="1"/>
    </row>
    <row r="291" spans="1:7" x14ac:dyDescent="0.2">
      <c r="A291" s="1">
        <v>15</v>
      </c>
      <c r="B291" s="1">
        <v>5</v>
      </c>
      <c r="C291" s="1">
        <v>-7.0260000000000031E-2</v>
      </c>
      <c r="D291" s="1">
        <v>1.4010000000000005E-2</v>
      </c>
      <c r="E291" s="1">
        <v>0.10700000000000004</v>
      </c>
      <c r="F291" s="5">
        <v>13500</v>
      </c>
      <c r="G291" s="1"/>
    </row>
    <row r="292" spans="1:7" x14ac:dyDescent="0.2">
      <c r="A292" s="1">
        <v>15</v>
      </c>
      <c r="B292" s="1">
        <v>6</v>
      </c>
      <c r="C292" s="1">
        <v>-3.9920000000000018E-2</v>
      </c>
      <c r="D292" s="1">
        <v>-3.8700000000000015E-3</v>
      </c>
      <c r="E292" s="1">
        <v>0.12840000000000004</v>
      </c>
      <c r="F292" s="5">
        <v>14000</v>
      </c>
      <c r="G292" s="1"/>
    </row>
    <row r="293" spans="1:7" x14ac:dyDescent="0.2">
      <c r="A293" s="1">
        <v>15</v>
      </c>
      <c r="B293" s="1">
        <v>7</v>
      </c>
      <c r="C293" s="1">
        <v>-3.3170000000000012E-2</v>
      </c>
      <c r="D293" s="1">
        <v>-8.5970000000000039E-3</v>
      </c>
      <c r="E293" s="1">
        <v>0.11660000000000004</v>
      </c>
      <c r="F293" s="5">
        <v>21500</v>
      </c>
      <c r="G293" s="1"/>
    </row>
    <row r="294" spans="1:7" x14ac:dyDescent="0.2">
      <c r="A294" s="1">
        <v>15</v>
      </c>
      <c r="B294" s="1">
        <v>8</v>
      </c>
      <c r="C294" s="1">
        <v>-1.4430000000000005E-2</v>
      </c>
      <c r="D294" s="1">
        <v>7.1370000000000027E-3</v>
      </c>
      <c r="E294" s="1">
        <v>9.6550000000000039E-2</v>
      </c>
      <c r="F294" s="5">
        <v>33500</v>
      </c>
      <c r="G294" s="1"/>
    </row>
    <row r="295" spans="1:7" x14ac:dyDescent="0.2">
      <c r="A295" s="1">
        <v>15</v>
      </c>
      <c r="B295" s="1">
        <v>9</v>
      </c>
      <c r="C295" s="1">
        <v>-1.867000000000001E-2</v>
      </c>
      <c r="D295" s="1">
        <v>5.2780000000000023E-3</v>
      </c>
      <c r="E295" s="1">
        <v>7.5790000000000038E-2</v>
      </c>
      <c r="F295" s="5">
        <v>36500</v>
      </c>
      <c r="G295" s="1"/>
    </row>
    <row r="296" spans="1:7" x14ac:dyDescent="0.2">
      <c r="A296" s="1">
        <v>15</v>
      </c>
      <c r="B296" s="1">
        <v>10</v>
      </c>
      <c r="C296" s="1">
        <v>-2.8900000000000012E-2</v>
      </c>
      <c r="D296" s="1">
        <v>-1.9070000000000007E-3</v>
      </c>
      <c r="E296" s="1">
        <v>6.1400000000000024E-2</v>
      </c>
      <c r="F296" s="5">
        <v>26500</v>
      </c>
      <c r="G296" s="1"/>
    </row>
    <row r="297" spans="1:7" x14ac:dyDescent="0.2">
      <c r="A297" s="1">
        <v>15</v>
      </c>
      <c r="B297" s="1">
        <v>11</v>
      </c>
      <c r="C297" s="1">
        <v>1.2620000000000005E-3</v>
      </c>
      <c r="D297" s="1">
        <v>1.5530000000000007E-2</v>
      </c>
      <c r="E297" s="1">
        <v>6.3740000000000033E-2</v>
      </c>
      <c r="F297" s="5">
        <v>55500</v>
      </c>
      <c r="G297" s="1"/>
    </row>
    <row r="298" spans="1:7" x14ac:dyDescent="0.2">
      <c r="A298" s="1">
        <v>15</v>
      </c>
      <c r="B298" s="1">
        <v>12</v>
      </c>
      <c r="C298" s="1">
        <v>-3.142000000000001E-2</v>
      </c>
      <c r="D298" s="1">
        <v>-1.6480000000000009E-2</v>
      </c>
      <c r="E298" s="1">
        <v>4.353000000000002E-2</v>
      </c>
      <c r="F298" s="5">
        <v>35500</v>
      </c>
      <c r="G298" s="1"/>
    </row>
    <row r="299" spans="1:7" x14ac:dyDescent="0.2">
      <c r="A299" s="1">
        <v>15</v>
      </c>
      <c r="B299" s="1">
        <v>13</v>
      </c>
      <c r="C299" s="1">
        <v>-8.467000000000004E-3</v>
      </c>
      <c r="D299" s="1">
        <v>-1.7060000000000006E-2</v>
      </c>
      <c r="E299" s="1">
        <v>4.745000000000002E-2</v>
      </c>
      <c r="F299" s="5">
        <v>20000</v>
      </c>
      <c r="G299" s="1"/>
    </row>
    <row r="300" spans="1:7" x14ac:dyDescent="0.2">
      <c r="A300" s="1">
        <v>15</v>
      </c>
      <c r="B300" s="1">
        <v>14</v>
      </c>
      <c r="C300" s="1">
        <v>-1.9760000000000007E-2</v>
      </c>
      <c r="D300" s="1">
        <v>-1.7170000000000008E-2</v>
      </c>
      <c r="E300" s="1">
        <v>1.6770000000000007E-2</v>
      </c>
      <c r="F300" s="5">
        <v>35000</v>
      </c>
      <c r="G300" s="1"/>
    </row>
    <row r="301" spans="1:7" x14ac:dyDescent="0.2">
      <c r="A301" s="1">
        <v>15</v>
      </c>
      <c r="B301" s="1">
        <v>15</v>
      </c>
      <c r="C301" s="1">
        <v>3.5640000000000012E-3</v>
      </c>
      <c r="D301" s="1">
        <v>-8.7960000000000035E-3</v>
      </c>
      <c r="E301" s="1">
        <v>1.2110000000000004E-2</v>
      </c>
      <c r="F301" s="5">
        <v>32000</v>
      </c>
      <c r="G301" s="1"/>
    </row>
    <row r="302" spans="1:7" x14ac:dyDescent="0.2">
      <c r="A302" s="1">
        <v>15</v>
      </c>
      <c r="B302" s="1">
        <v>16</v>
      </c>
      <c r="C302" s="1">
        <v>4.6010000000000023E-4</v>
      </c>
      <c r="D302" s="1">
        <v>-1.2560000000000005E-2</v>
      </c>
      <c r="E302" s="1">
        <v>-1.3520000000000006E-2</v>
      </c>
      <c r="F302" s="5">
        <v>68000</v>
      </c>
      <c r="G302" s="1"/>
    </row>
    <row r="303" spans="1:7" x14ac:dyDescent="0.2">
      <c r="A303" s="1">
        <v>15</v>
      </c>
      <c r="B303" s="1">
        <v>17</v>
      </c>
      <c r="C303" s="1">
        <v>3.2270000000000011E-3</v>
      </c>
      <c r="D303" s="1">
        <v>-1.9080000000000007E-2</v>
      </c>
      <c r="E303" s="1">
        <v>-3.5270000000000017E-2</v>
      </c>
      <c r="F303" s="5">
        <v>26000</v>
      </c>
      <c r="G303" s="1"/>
    </row>
    <row r="304" spans="1:7" x14ac:dyDescent="0.2">
      <c r="A304" s="1">
        <v>15</v>
      </c>
      <c r="B304" s="1">
        <v>18</v>
      </c>
      <c r="C304" s="1">
        <v>2.539000000000001E-4</v>
      </c>
      <c r="D304" s="1">
        <v>-3.3560000000000013E-2</v>
      </c>
      <c r="E304" s="1">
        <v>-5.0610000000000023E-2</v>
      </c>
      <c r="F304" s="5">
        <v>21000</v>
      </c>
      <c r="G304" s="1"/>
    </row>
    <row r="305" spans="1:7" x14ac:dyDescent="0.2">
      <c r="A305" s="1">
        <v>15</v>
      </c>
      <c r="B305" s="1">
        <v>19</v>
      </c>
      <c r="C305" s="1">
        <v>-7.2390000000000024E-3</v>
      </c>
      <c r="D305" s="1">
        <v>-6.0420000000000022E-2</v>
      </c>
      <c r="E305" s="1">
        <v>-7.7470000000000039E-2</v>
      </c>
      <c r="F305" s="5">
        <v>30000</v>
      </c>
      <c r="G305" s="1"/>
    </row>
    <row r="306" spans="1:7" x14ac:dyDescent="0.2">
      <c r="A306" s="1">
        <v>15</v>
      </c>
      <c r="B306" s="1">
        <v>20</v>
      </c>
      <c r="C306" s="1">
        <v>3.6700000000000017E-2</v>
      </c>
      <c r="D306" s="1">
        <v>-4.5760000000000016E-2</v>
      </c>
      <c r="E306" s="1">
        <v>-0.15920000000000006</v>
      </c>
      <c r="F306" s="5">
        <v>21000</v>
      </c>
      <c r="G306" s="1"/>
    </row>
    <row r="307" spans="1:7" x14ac:dyDescent="0.2">
      <c r="A307" s="1">
        <v>16</v>
      </c>
      <c r="B307" s="1">
        <v>1</v>
      </c>
      <c r="C307" s="1">
        <v>-0.19140000000000007</v>
      </c>
      <c r="D307" s="1">
        <v>-6.8060000000000028E-4</v>
      </c>
      <c r="E307" s="1">
        <v>0.14990000000000006</v>
      </c>
      <c r="F307" s="5">
        <v>8600</v>
      </c>
      <c r="G307" s="1"/>
    </row>
    <row r="308" spans="1:7" x14ac:dyDescent="0.2">
      <c r="A308" s="1">
        <v>16</v>
      </c>
      <c r="B308" s="1">
        <v>2</v>
      </c>
      <c r="C308" s="1">
        <v>-0.12750000000000003</v>
      </c>
      <c r="D308" s="1">
        <v>5.5560000000000019E-3</v>
      </c>
      <c r="E308" s="1">
        <v>0.14940000000000006</v>
      </c>
      <c r="F308" s="5">
        <v>11500</v>
      </c>
      <c r="G308" s="1"/>
    </row>
    <row r="309" spans="1:7" x14ac:dyDescent="0.2">
      <c r="A309" s="1">
        <v>16</v>
      </c>
      <c r="B309" s="1">
        <v>3</v>
      </c>
      <c r="C309" s="1">
        <v>-9.780000000000004E-2</v>
      </c>
      <c r="D309" s="1">
        <v>5.3700000000000024E-3</v>
      </c>
      <c r="E309" s="1">
        <v>0.14350000000000004</v>
      </c>
      <c r="F309" s="5">
        <v>15500</v>
      </c>
      <c r="G309" s="1"/>
    </row>
    <row r="310" spans="1:7" x14ac:dyDescent="0.2">
      <c r="A310" s="1">
        <v>16</v>
      </c>
      <c r="B310" s="1">
        <v>4</v>
      </c>
      <c r="C310" s="1">
        <v>-5.9150000000000022E-2</v>
      </c>
      <c r="D310" s="1">
        <v>3.3510000000000012E-2</v>
      </c>
      <c r="E310" s="1">
        <v>0.13530000000000003</v>
      </c>
      <c r="F310" s="5">
        <v>34000</v>
      </c>
      <c r="G310" s="1"/>
    </row>
    <row r="311" spans="1:7" x14ac:dyDescent="0.2">
      <c r="A311" s="1">
        <v>16</v>
      </c>
      <c r="B311" s="1">
        <v>5</v>
      </c>
      <c r="C311" s="1">
        <v>-7.0580000000000032E-2</v>
      </c>
      <c r="D311" s="1">
        <v>2.0480000000000009E-2</v>
      </c>
      <c r="E311" s="1">
        <v>0.12720000000000004</v>
      </c>
      <c r="F311" s="5">
        <v>19000</v>
      </c>
      <c r="G311" s="1"/>
    </row>
    <row r="312" spans="1:7" x14ac:dyDescent="0.2">
      <c r="A312" s="1">
        <v>16</v>
      </c>
      <c r="B312" s="1">
        <v>6</v>
      </c>
      <c r="C312" s="1">
        <v>-6.5890000000000032E-2</v>
      </c>
      <c r="D312" s="1">
        <v>-1.1000000000000005E-2</v>
      </c>
      <c r="E312" s="1">
        <v>0.13660000000000005</v>
      </c>
      <c r="F312" s="5">
        <v>8800</v>
      </c>
      <c r="G312" s="1"/>
    </row>
    <row r="313" spans="1:7" x14ac:dyDescent="0.2">
      <c r="A313" s="1">
        <v>16</v>
      </c>
      <c r="B313" s="1">
        <v>7</v>
      </c>
      <c r="C313" s="1">
        <v>-2.9870000000000011E-2</v>
      </c>
      <c r="D313" s="1">
        <v>1.5190000000000006E-3</v>
      </c>
      <c r="E313" s="1">
        <v>0.13840000000000005</v>
      </c>
      <c r="F313" s="5">
        <v>23000</v>
      </c>
      <c r="G313" s="1"/>
    </row>
    <row r="314" spans="1:7" x14ac:dyDescent="0.2">
      <c r="A314" s="1">
        <v>16</v>
      </c>
      <c r="B314" s="1">
        <v>8</v>
      </c>
      <c r="C314" s="1">
        <v>-3.1610000000000013E-2</v>
      </c>
      <c r="D314" s="1">
        <v>-3.8680000000000016E-3</v>
      </c>
      <c r="E314" s="1">
        <v>0.11620000000000004</v>
      </c>
      <c r="F314" s="5">
        <v>34500</v>
      </c>
      <c r="G314" s="1"/>
    </row>
    <row r="315" spans="1:7" x14ac:dyDescent="0.2">
      <c r="A315" s="1">
        <v>16</v>
      </c>
      <c r="B315" s="1">
        <v>9</v>
      </c>
      <c r="C315" s="1">
        <v>-2.403000000000001E-2</v>
      </c>
      <c r="D315" s="1">
        <v>4.0840000000000017E-3</v>
      </c>
      <c r="E315" s="1">
        <v>9.9280000000000035E-2</v>
      </c>
      <c r="F315" s="5">
        <v>41500</v>
      </c>
      <c r="G315" s="1"/>
    </row>
    <row r="316" spans="1:7" x14ac:dyDescent="0.2">
      <c r="A316" s="1">
        <v>16</v>
      </c>
      <c r="B316" s="1">
        <v>10</v>
      </c>
      <c r="C316" s="1">
        <v>-2.632000000000001E-2</v>
      </c>
      <c r="D316" s="1">
        <v>-5.7490000000000024E-3</v>
      </c>
      <c r="E316" s="1">
        <v>9.7300000000000039E-2</v>
      </c>
      <c r="F316" s="5">
        <v>57500</v>
      </c>
      <c r="G316" s="1"/>
    </row>
    <row r="317" spans="1:7" x14ac:dyDescent="0.2">
      <c r="A317" s="1">
        <v>16</v>
      </c>
      <c r="B317" s="1">
        <v>11</v>
      </c>
      <c r="C317" s="1">
        <v>-7.2030000000000028E-3</v>
      </c>
      <c r="D317" s="1">
        <v>2.7670000000000012E-3</v>
      </c>
      <c r="E317" s="1">
        <v>9.7550000000000039E-2</v>
      </c>
      <c r="F317" s="5">
        <v>32500</v>
      </c>
      <c r="G317" s="1"/>
    </row>
    <row r="318" spans="1:7" x14ac:dyDescent="0.2">
      <c r="A318" s="1">
        <v>16</v>
      </c>
      <c r="B318" s="1">
        <v>12</v>
      </c>
      <c r="C318" s="1">
        <v>-1.986000000000001E-2</v>
      </c>
      <c r="D318" s="1">
        <v>-1.5670000000000007E-2</v>
      </c>
      <c r="E318" s="1">
        <v>8.1170000000000034E-2</v>
      </c>
      <c r="F318" s="5">
        <v>51000</v>
      </c>
      <c r="G318" s="1"/>
    </row>
    <row r="319" spans="1:7" x14ac:dyDescent="0.2">
      <c r="A319" s="1">
        <v>16</v>
      </c>
      <c r="B319" s="1">
        <v>13</v>
      </c>
      <c r="C319" s="1">
        <v>-5.2470000000000017E-3</v>
      </c>
      <c r="D319" s="1">
        <v>-1.5670000000000007E-2</v>
      </c>
      <c r="E319" s="1">
        <v>7.2700000000000028E-2</v>
      </c>
      <c r="F319" s="5">
        <v>23500</v>
      </c>
      <c r="G319" s="1"/>
    </row>
    <row r="320" spans="1:7" x14ac:dyDescent="0.2">
      <c r="A320" s="1">
        <v>16</v>
      </c>
      <c r="B320" s="1">
        <v>14</v>
      </c>
      <c r="C320" s="1">
        <v>-8.9120000000000033E-3</v>
      </c>
      <c r="D320" s="1">
        <v>-1.4550000000000006E-2</v>
      </c>
      <c r="E320" s="1">
        <v>5.1250000000000025E-2</v>
      </c>
      <c r="F320" s="5">
        <v>63000</v>
      </c>
      <c r="G320" s="1"/>
    </row>
    <row r="321" spans="1:7" x14ac:dyDescent="0.2">
      <c r="A321" s="1">
        <v>16</v>
      </c>
      <c r="B321" s="1">
        <v>15</v>
      </c>
      <c r="C321" s="1">
        <v>1.4520000000000007E-2</v>
      </c>
      <c r="D321" s="1">
        <v>-1.4420000000000006E-2</v>
      </c>
      <c r="E321" s="1">
        <v>5.5460000000000023E-2</v>
      </c>
      <c r="F321" s="5">
        <v>67000</v>
      </c>
      <c r="G321" s="1"/>
    </row>
    <row r="322" spans="1:7" x14ac:dyDescent="0.2">
      <c r="A322" s="1">
        <v>16</v>
      </c>
      <c r="B322" s="1">
        <v>16</v>
      </c>
      <c r="C322" s="1">
        <v>4.4010000000000013E-3</v>
      </c>
      <c r="D322" s="1">
        <v>-2.003000000000001E-2</v>
      </c>
      <c r="E322" s="1">
        <v>2.3560000000000011E-2</v>
      </c>
      <c r="F322" s="5">
        <v>123000</v>
      </c>
      <c r="G322" s="1"/>
    </row>
    <row r="323" spans="1:7" x14ac:dyDescent="0.2">
      <c r="A323" s="1">
        <v>16</v>
      </c>
      <c r="B323" s="1">
        <v>17</v>
      </c>
      <c r="C323" s="1">
        <v>1.8570000000000007E-2</v>
      </c>
      <c r="D323" s="1">
        <v>-4.8080000000000019E-2</v>
      </c>
      <c r="E323" s="1">
        <v>3.4470000000000015E-2</v>
      </c>
      <c r="F323" s="5">
        <v>38000</v>
      </c>
      <c r="G323" s="1"/>
    </row>
    <row r="324" spans="1:7" x14ac:dyDescent="0.2">
      <c r="A324" s="1">
        <v>16</v>
      </c>
      <c r="B324" s="1">
        <v>18</v>
      </c>
      <c r="C324" s="1">
        <v>9.4010000000000031E-3</v>
      </c>
      <c r="D324" s="1">
        <v>-4.0910000000000016E-2</v>
      </c>
      <c r="E324" s="1">
        <v>-7.1040000000000027E-3</v>
      </c>
      <c r="F324" s="5">
        <v>26000</v>
      </c>
      <c r="G324" s="1"/>
    </row>
    <row r="325" spans="1:7" x14ac:dyDescent="0.2">
      <c r="A325" s="1">
        <v>16</v>
      </c>
      <c r="B325" s="1">
        <v>19</v>
      </c>
      <c r="C325" s="1">
        <v>1.935000000000001E-2</v>
      </c>
      <c r="D325" s="1">
        <v>-5.0060000000000021E-2</v>
      </c>
      <c r="E325" s="1">
        <v>-3.1230000000000015E-2</v>
      </c>
      <c r="F325" s="5">
        <v>57500</v>
      </c>
      <c r="G325" s="1"/>
    </row>
    <row r="326" spans="1:7" x14ac:dyDescent="0.2">
      <c r="A326" s="1">
        <v>16</v>
      </c>
      <c r="B326" s="1">
        <v>20</v>
      </c>
      <c r="C326" s="1">
        <v>6.1520000000000026E-2</v>
      </c>
      <c r="D326" s="1">
        <v>-4.4860000000000018E-2</v>
      </c>
      <c r="E326" s="1">
        <v>-0.10240000000000003</v>
      </c>
      <c r="F326" s="5">
        <v>35000</v>
      </c>
      <c r="G326" s="1"/>
    </row>
    <row r="327" spans="1:7" x14ac:dyDescent="0.2">
      <c r="A327" s="1">
        <v>17</v>
      </c>
      <c r="B327" s="1">
        <v>1</v>
      </c>
      <c r="C327" s="1">
        <v>-0.27790000000000009</v>
      </c>
      <c r="D327" s="1">
        <v>-3.5500000000000018E-2</v>
      </c>
      <c r="E327" s="1">
        <v>0.12630000000000005</v>
      </c>
      <c r="F327" s="5">
        <v>3100</v>
      </c>
      <c r="G327" s="1"/>
    </row>
    <row r="328" spans="1:7" x14ac:dyDescent="0.2">
      <c r="A328" s="1">
        <v>17</v>
      </c>
      <c r="B328" s="1">
        <v>2</v>
      </c>
      <c r="C328" s="1">
        <v>-0.19990000000000008</v>
      </c>
      <c r="D328" s="1">
        <v>-2.3970000000000009E-2</v>
      </c>
      <c r="E328" s="1">
        <v>0.13510000000000005</v>
      </c>
      <c r="F328" s="5">
        <v>4400</v>
      </c>
      <c r="G328" s="1"/>
    </row>
    <row r="329" spans="1:7" x14ac:dyDescent="0.2">
      <c r="A329" s="1">
        <v>17</v>
      </c>
      <c r="B329" s="1">
        <v>3</v>
      </c>
      <c r="C329" s="1">
        <v>-0.17290000000000005</v>
      </c>
      <c r="D329" s="1">
        <v>-2.649000000000001E-2</v>
      </c>
      <c r="E329" s="1">
        <v>0.13080000000000006</v>
      </c>
      <c r="F329" s="5">
        <v>4600</v>
      </c>
      <c r="G329" s="1"/>
    </row>
    <row r="330" spans="1:7" x14ac:dyDescent="0.2">
      <c r="A330" s="1">
        <v>17</v>
      </c>
      <c r="B330" s="1">
        <v>4</v>
      </c>
      <c r="C330" s="1">
        <v>-0.14380000000000004</v>
      </c>
      <c r="D330" s="1">
        <v>-3.0040000000000011E-2</v>
      </c>
      <c r="E330" s="1">
        <v>0.14730000000000004</v>
      </c>
      <c r="F330" s="5">
        <v>14000</v>
      </c>
      <c r="G330" s="1"/>
    </row>
    <row r="331" spans="1:7" x14ac:dyDescent="0.2">
      <c r="A331" s="1">
        <v>17</v>
      </c>
      <c r="B331" s="1">
        <v>5</v>
      </c>
      <c r="C331" s="1">
        <v>-0.13750000000000004</v>
      </c>
      <c r="D331" s="1">
        <v>8.6510000000000024E-3</v>
      </c>
      <c r="E331" s="1">
        <v>0.10310000000000004</v>
      </c>
      <c r="F331" s="5">
        <v>4400</v>
      </c>
      <c r="G331" s="1"/>
    </row>
    <row r="332" spans="1:7" x14ac:dyDescent="0.2">
      <c r="A332" s="1">
        <v>17</v>
      </c>
      <c r="B332" s="1">
        <v>6</v>
      </c>
      <c r="C332" s="1">
        <v>-0.12990000000000004</v>
      </c>
      <c r="D332" s="1">
        <v>-2.4170000000000011E-2</v>
      </c>
      <c r="E332" s="1">
        <v>0.11580000000000004</v>
      </c>
      <c r="F332" s="5">
        <v>3500</v>
      </c>
      <c r="G332" s="1"/>
    </row>
    <row r="333" spans="1:7" x14ac:dyDescent="0.2">
      <c r="A333" s="1">
        <v>17</v>
      </c>
      <c r="B333" s="1">
        <v>7</v>
      </c>
      <c r="C333" s="1">
        <v>-9.9690000000000042E-2</v>
      </c>
      <c r="D333" s="1">
        <v>-4.9200000000000016E-3</v>
      </c>
      <c r="E333" s="1">
        <v>0.10380000000000003</v>
      </c>
      <c r="F333" s="5">
        <v>4500</v>
      </c>
      <c r="G333" s="1"/>
    </row>
    <row r="334" spans="1:7" x14ac:dyDescent="0.2">
      <c r="A334" s="1">
        <v>17</v>
      </c>
      <c r="B334" s="1">
        <v>8</v>
      </c>
      <c r="C334" s="1">
        <v>-8.5850000000000037E-2</v>
      </c>
      <c r="D334" s="1">
        <v>-2.3380000000000008E-2</v>
      </c>
      <c r="E334" s="1">
        <v>0.10950000000000004</v>
      </c>
      <c r="F334" s="5">
        <v>9900</v>
      </c>
      <c r="G334" s="1"/>
    </row>
    <row r="335" spans="1:7" x14ac:dyDescent="0.2">
      <c r="A335" s="1">
        <v>17</v>
      </c>
      <c r="B335" s="1">
        <v>9</v>
      </c>
      <c r="C335" s="1">
        <v>-6.5870000000000026E-2</v>
      </c>
      <c r="D335" s="1">
        <v>-6.1460000000000022E-3</v>
      </c>
      <c r="E335" s="1">
        <v>9.7920000000000035E-2</v>
      </c>
      <c r="F335" s="5">
        <v>10500</v>
      </c>
      <c r="G335" s="1"/>
    </row>
    <row r="336" spans="1:7" x14ac:dyDescent="0.2">
      <c r="A336" s="1">
        <v>17</v>
      </c>
      <c r="B336" s="1">
        <v>10</v>
      </c>
      <c r="C336" s="1">
        <v>-5.5010000000000024E-2</v>
      </c>
      <c r="D336" s="1">
        <v>-1.0770000000000005E-2</v>
      </c>
      <c r="E336" s="1">
        <v>0.10160000000000004</v>
      </c>
      <c r="F336" s="5">
        <v>11500</v>
      </c>
      <c r="G336" s="1"/>
    </row>
    <row r="337" spans="1:7" x14ac:dyDescent="0.2">
      <c r="A337" s="1">
        <v>17</v>
      </c>
      <c r="B337" s="1">
        <v>11</v>
      </c>
      <c r="C337" s="1">
        <v>-5.273000000000002E-2</v>
      </c>
      <c r="D337" s="1">
        <v>-1.1980000000000005E-2</v>
      </c>
      <c r="E337" s="1">
        <v>9.3570000000000042E-2</v>
      </c>
      <c r="F337" s="5">
        <v>7400</v>
      </c>
      <c r="G337" s="1"/>
    </row>
    <row r="338" spans="1:7" x14ac:dyDescent="0.2">
      <c r="A338" s="1">
        <v>17</v>
      </c>
      <c r="B338" s="1">
        <v>12</v>
      </c>
      <c r="C338" s="1">
        <v>-3.4920000000000014E-2</v>
      </c>
      <c r="D338" s="1">
        <v>-1.1940000000000004E-2</v>
      </c>
      <c r="E338" s="1">
        <v>9.2670000000000044E-2</v>
      </c>
      <c r="F338" s="5">
        <v>22500</v>
      </c>
      <c r="G338" s="1"/>
    </row>
    <row r="339" spans="1:7" x14ac:dyDescent="0.2">
      <c r="A339" s="1">
        <v>17</v>
      </c>
      <c r="B339" s="1">
        <v>13</v>
      </c>
      <c r="C339" s="1">
        <v>-3.5510000000000014E-2</v>
      </c>
      <c r="D339" s="1">
        <v>-1.7900000000000006E-2</v>
      </c>
      <c r="E339" s="1">
        <v>7.7180000000000026E-2</v>
      </c>
      <c r="F339" s="5">
        <v>12500</v>
      </c>
      <c r="G339" s="1"/>
    </row>
    <row r="340" spans="1:7" x14ac:dyDescent="0.2">
      <c r="A340" s="1">
        <v>17</v>
      </c>
      <c r="B340" s="1">
        <v>14</v>
      </c>
      <c r="C340" s="1">
        <v>-5.8360000000000023E-2</v>
      </c>
      <c r="D340" s="1">
        <v>-3.9080000000000018E-2</v>
      </c>
      <c r="E340" s="1">
        <v>5.6230000000000023E-2</v>
      </c>
      <c r="F340" s="5">
        <v>16500</v>
      </c>
      <c r="G340" s="1"/>
    </row>
    <row r="341" spans="1:7" x14ac:dyDescent="0.2">
      <c r="A341" s="1">
        <v>17</v>
      </c>
      <c r="B341" s="1">
        <v>15</v>
      </c>
      <c r="C341" s="1">
        <v>-1.6350000000000007E-2</v>
      </c>
      <c r="D341" s="1">
        <v>-1.6310000000000009E-2</v>
      </c>
      <c r="E341" s="1">
        <v>5.7340000000000023E-2</v>
      </c>
      <c r="F341" s="5">
        <v>27500</v>
      </c>
      <c r="G341" s="1"/>
    </row>
    <row r="342" spans="1:7" x14ac:dyDescent="0.2">
      <c r="A342" s="1">
        <v>17</v>
      </c>
      <c r="B342" s="1">
        <v>16</v>
      </c>
      <c r="C342" s="1">
        <v>-4.0330000000000019E-2</v>
      </c>
      <c r="D342" s="1">
        <v>-3.4490000000000014E-2</v>
      </c>
      <c r="E342" s="1">
        <v>2.7610000000000013E-2</v>
      </c>
      <c r="F342" s="5">
        <v>41000</v>
      </c>
      <c r="G342" s="1"/>
    </row>
    <row r="343" spans="1:7" x14ac:dyDescent="0.2">
      <c r="A343" s="1">
        <v>17</v>
      </c>
      <c r="B343" s="1">
        <v>17</v>
      </c>
      <c r="C343" s="1">
        <v>-2.8670000000000011E-2</v>
      </c>
      <c r="D343" s="1">
        <v>-4.4620000000000021E-2</v>
      </c>
      <c r="E343" s="1">
        <v>1.6310000000000009E-2</v>
      </c>
      <c r="F343" s="5">
        <v>16500</v>
      </c>
      <c r="G343" s="1"/>
    </row>
    <row r="344" spans="1:7" x14ac:dyDescent="0.2">
      <c r="A344" s="1">
        <v>17</v>
      </c>
      <c r="B344" s="1">
        <v>18</v>
      </c>
      <c r="C344" s="1">
        <v>-5.4330000000000021E-3</v>
      </c>
      <c r="D344" s="1">
        <v>-2.8580000000000012E-2</v>
      </c>
      <c r="E344" s="1">
        <v>-6.7920000000000029E-3</v>
      </c>
      <c r="F344" s="5">
        <v>6800</v>
      </c>
      <c r="G344" s="1"/>
    </row>
    <row r="345" spans="1:7" x14ac:dyDescent="0.2">
      <c r="A345" s="1">
        <v>17</v>
      </c>
      <c r="B345" s="1">
        <v>19</v>
      </c>
      <c r="C345" s="1">
        <v>-4.1490000000000016E-3</v>
      </c>
      <c r="D345" s="1">
        <v>-3.8460000000000015E-2</v>
      </c>
      <c r="E345" s="1">
        <v>-3.219000000000001E-2</v>
      </c>
      <c r="F345" s="5">
        <v>17000</v>
      </c>
      <c r="G345" s="1"/>
    </row>
    <row r="346" spans="1:7" x14ac:dyDescent="0.2">
      <c r="A346" s="1">
        <v>17</v>
      </c>
      <c r="B346" s="1">
        <v>20</v>
      </c>
      <c r="C346" s="1">
        <v>5.2850000000000022E-2</v>
      </c>
      <c r="D346" s="1">
        <v>-5.264000000000002E-2</v>
      </c>
      <c r="E346" s="1">
        <v>-6.3910000000000022E-2</v>
      </c>
      <c r="F346" s="5">
        <v>12500</v>
      </c>
      <c r="G346" s="1"/>
    </row>
    <row r="347" spans="1:7" x14ac:dyDescent="0.2">
      <c r="A347" s="1">
        <v>18</v>
      </c>
      <c r="B347" s="1">
        <v>1</v>
      </c>
      <c r="C347" s="1">
        <v>-0.27140000000000009</v>
      </c>
      <c r="D347" s="1">
        <v>-1.5450000000000007E-2</v>
      </c>
      <c r="E347" s="1">
        <v>0.14450000000000005</v>
      </c>
      <c r="F347" s="5">
        <v>2400</v>
      </c>
      <c r="G347" s="1"/>
    </row>
    <row r="348" spans="1:7" x14ac:dyDescent="0.2">
      <c r="A348" s="1">
        <v>18</v>
      </c>
      <c r="B348" s="1">
        <v>2</v>
      </c>
      <c r="C348" s="1">
        <v>-0.21710000000000007</v>
      </c>
      <c r="D348" s="1">
        <v>2.929000000000001E-3</v>
      </c>
      <c r="E348" s="1">
        <v>0.12080000000000003</v>
      </c>
      <c r="F348" s="5">
        <v>2700</v>
      </c>
      <c r="G348" s="1"/>
    </row>
    <row r="349" spans="1:7" x14ac:dyDescent="0.2">
      <c r="A349" s="1">
        <v>18</v>
      </c>
      <c r="B349" s="1">
        <v>3</v>
      </c>
      <c r="C349" s="1">
        <v>-0.16960000000000006</v>
      </c>
      <c r="D349" s="1">
        <v>-3.3650000000000013E-2</v>
      </c>
      <c r="E349" s="1">
        <v>0.16920000000000004</v>
      </c>
      <c r="F349" s="5">
        <v>4000</v>
      </c>
      <c r="G349" s="1"/>
    </row>
    <row r="350" spans="1:7" x14ac:dyDescent="0.2">
      <c r="A350" s="1">
        <v>18</v>
      </c>
      <c r="B350" s="1">
        <v>4</v>
      </c>
      <c r="C350" s="1">
        <v>-0.16630000000000006</v>
      </c>
      <c r="D350" s="1">
        <v>4.4920000000000021E-3</v>
      </c>
      <c r="E350" s="1">
        <v>0.11440000000000004</v>
      </c>
      <c r="F350" s="5">
        <v>6800</v>
      </c>
      <c r="G350" s="1"/>
    </row>
    <row r="351" spans="1:7" x14ac:dyDescent="0.2">
      <c r="A351" s="1">
        <v>18</v>
      </c>
      <c r="B351" s="1">
        <v>5</v>
      </c>
      <c r="C351" s="1">
        <v>-0.10230000000000003</v>
      </c>
      <c r="D351" s="1">
        <v>2.9600000000000012E-2</v>
      </c>
      <c r="E351" s="1">
        <v>0.14350000000000004</v>
      </c>
      <c r="F351" s="5">
        <v>4300</v>
      </c>
      <c r="G351" s="1"/>
    </row>
    <row r="352" spans="1:7" x14ac:dyDescent="0.2">
      <c r="A352" s="1">
        <v>18</v>
      </c>
      <c r="B352" s="1">
        <v>6</v>
      </c>
      <c r="C352" s="1">
        <v>-0.13360000000000005</v>
      </c>
      <c r="D352" s="1">
        <v>-5.8870000000000025E-3</v>
      </c>
      <c r="E352" s="1">
        <v>0.12100000000000004</v>
      </c>
      <c r="F352" s="5">
        <v>2400</v>
      </c>
      <c r="G352" s="1"/>
    </row>
    <row r="353" spans="1:7" x14ac:dyDescent="0.2">
      <c r="A353" s="1">
        <v>18</v>
      </c>
      <c r="B353" s="1">
        <v>7</v>
      </c>
      <c r="C353" s="1">
        <v>-9.1590000000000032E-2</v>
      </c>
      <c r="D353" s="1">
        <v>-1.7930000000000008E-2</v>
      </c>
      <c r="E353" s="1">
        <v>0.15300000000000005</v>
      </c>
      <c r="F353" s="5">
        <v>5100</v>
      </c>
      <c r="G353" s="1"/>
    </row>
    <row r="354" spans="1:7" x14ac:dyDescent="0.2">
      <c r="A354" s="1">
        <v>18</v>
      </c>
      <c r="B354" s="1">
        <v>8</v>
      </c>
      <c r="C354" s="1">
        <v>-9.0080000000000035E-2</v>
      </c>
      <c r="D354" s="1">
        <v>-1.4660000000000006E-2</v>
      </c>
      <c r="E354" s="1">
        <v>0.12710000000000005</v>
      </c>
      <c r="F354" s="5">
        <v>7200</v>
      </c>
      <c r="G354" s="1"/>
    </row>
    <row r="355" spans="1:7" x14ac:dyDescent="0.2">
      <c r="A355" s="1">
        <v>18</v>
      </c>
      <c r="B355" s="1">
        <v>9</v>
      </c>
      <c r="C355" s="1">
        <v>-0.10070000000000003</v>
      </c>
      <c r="D355" s="1">
        <v>-1.0550000000000004E-2</v>
      </c>
      <c r="E355" s="1">
        <v>9.4790000000000041E-2</v>
      </c>
      <c r="F355" s="5">
        <v>7100</v>
      </c>
      <c r="G355" s="1"/>
    </row>
    <row r="356" spans="1:7" x14ac:dyDescent="0.2">
      <c r="A356" s="1">
        <v>18</v>
      </c>
      <c r="B356" s="1">
        <v>10</v>
      </c>
      <c r="C356" s="1">
        <v>-6.9480000000000028E-2</v>
      </c>
      <c r="D356" s="1">
        <v>-1.2330000000000006E-2</v>
      </c>
      <c r="E356" s="1">
        <v>0.11620000000000004</v>
      </c>
      <c r="F356" s="5">
        <v>9000</v>
      </c>
      <c r="G356" s="1"/>
    </row>
    <row r="357" spans="1:7" x14ac:dyDescent="0.2">
      <c r="A357" s="1">
        <v>18</v>
      </c>
      <c r="B357" s="1">
        <v>11</v>
      </c>
      <c r="C357" s="1">
        <v>-2.5750000000000012E-2</v>
      </c>
      <c r="D357" s="1">
        <v>2.8640000000000011E-3</v>
      </c>
      <c r="E357" s="1">
        <v>0.13650000000000004</v>
      </c>
      <c r="F357" s="5">
        <v>23500</v>
      </c>
      <c r="G357" s="1"/>
    </row>
    <row r="358" spans="1:7" x14ac:dyDescent="0.2">
      <c r="A358" s="1">
        <v>18</v>
      </c>
      <c r="B358" s="1">
        <v>12</v>
      </c>
      <c r="C358" s="1">
        <v>-5.9160000000000025E-2</v>
      </c>
      <c r="D358" s="1">
        <v>-8.3050000000000034E-3</v>
      </c>
      <c r="E358" s="1">
        <v>8.9680000000000037E-2</v>
      </c>
      <c r="F358" s="5">
        <v>13000</v>
      </c>
      <c r="G358" s="1"/>
    </row>
    <row r="359" spans="1:7" x14ac:dyDescent="0.2">
      <c r="A359" s="1">
        <v>18</v>
      </c>
      <c r="B359" s="1">
        <v>13</v>
      </c>
      <c r="C359" s="1">
        <v>-4.1630000000000014E-2</v>
      </c>
      <c r="D359" s="1">
        <v>-7.9410000000000036E-3</v>
      </c>
      <c r="E359" s="1">
        <v>8.4410000000000041E-2</v>
      </c>
      <c r="F359" s="5">
        <v>7600</v>
      </c>
      <c r="G359" s="1"/>
    </row>
    <row r="360" spans="1:7" x14ac:dyDescent="0.2">
      <c r="A360" s="1">
        <v>18</v>
      </c>
      <c r="B360" s="1">
        <v>14</v>
      </c>
      <c r="C360" s="1">
        <v>-5.6960000000000025E-2</v>
      </c>
      <c r="D360" s="1">
        <v>-1.8450000000000008E-2</v>
      </c>
      <c r="E360" s="1">
        <v>6.4470000000000027E-2</v>
      </c>
      <c r="F360" s="5">
        <v>13000</v>
      </c>
      <c r="G360" s="1"/>
    </row>
    <row r="361" spans="1:7" x14ac:dyDescent="0.2">
      <c r="A361" s="1">
        <v>18</v>
      </c>
      <c r="B361" s="1">
        <v>15</v>
      </c>
      <c r="C361" s="1">
        <v>5.7640000000000018E-3</v>
      </c>
      <c r="D361" s="1">
        <v>1.8230000000000007E-2</v>
      </c>
      <c r="E361" s="1">
        <v>7.1400000000000033E-2</v>
      </c>
      <c r="F361" s="5">
        <v>21500</v>
      </c>
      <c r="G361" s="1"/>
    </row>
    <row r="362" spans="1:7" x14ac:dyDescent="0.2">
      <c r="A362" s="1">
        <v>18</v>
      </c>
      <c r="B362" s="1">
        <v>16</v>
      </c>
      <c r="C362" s="1">
        <v>-2.0380000000000009E-2</v>
      </c>
      <c r="D362" s="1">
        <v>-1.3850000000000006E-2</v>
      </c>
      <c r="E362" s="1">
        <v>5.044000000000002E-2</v>
      </c>
      <c r="F362" s="5">
        <v>28000</v>
      </c>
      <c r="G362" s="1"/>
    </row>
    <row r="363" spans="1:7" x14ac:dyDescent="0.2">
      <c r="A363" s="1">
        <v>18</v>
      </c>
      <c r="B363" s="1">
        <v>17</v>
      </c>
      <c r="C363" s="1">
        <v>-1.7090000000000008E-2</v>
      </c>
      <c r="D363" s="1">
        <v>-2.5030000000000011E-2</v>
      </c>
      <c r="E363" s="1">
        <v>3.7310000000000017E-2</v>
      </c>
      <c r="F363" s="5">
        <v>7000</v>
      </c>
      <c r="G363" s="1"/>
    </row>
    <row r="364" spans="1:7" x14ac:dyDescent="0.2">
      <c r="A364" s="1">
        <v>18</v>
      </c>
      <c r="B364" s="1">
        <v>18</v>
      </c>
      <c r="C364" s="1">
        <v>-4.3050000000000019E-2</v>
      </c>
      <c r="D364" s="1">
        <v>-5.4570000000000021E-2</v>
      </c>
      <c r="E364" s="1">
        <v>1.0880000000000004E-2</v>
      </c>
      <c r="F364" s="5">
        <v>23000</v>
      </c>
      <c r="G364" s="1"/>
    </row>
    <row r="365" spans="1:7" x14ac:dyDescent="0.2">
      <c r="A365" s="1">
        <v>18</v>
      </c>
      <c r="B365" s="1">
        <v>19</v>
      </c>
      <c r="C365" s="1">
        <v>-2.6260000000000012E-2</v>
      </c>
      <c r="D365" s="1">
        <v>-3.9000000000000014E-2</v>
      </c>
      <c r="E365" s="1">
        <v>-4.8490000000000019E-2</v>
      </c>
      <c r="F365" s="5">
        <v>20000</v>
      </c>
      <c r="G365" s="1"/>
    </row>
    <row r="366" spans="1:7" x14ac:dyDescent="0.2">
      <c r="A366" s="1">
        <v>18</v>
      </c>
      <c r="B366" s="1">
        <v>20</v>
      </c>
      <c r="C366" s="1">
        <v>8.0780000000000032E-2</v>
      </c>
      <c r="D366" s="1">
        <v>-1.4070000000000006E-2</v>
      </c>
      <c r="E366" s="1">
        <v>-9.3000000000000041E-2</v>
      </c>
      <c r="F366" s="5">
        <v>6200</v>
      </c>
      <c r="G366" s="1"/>
    </row>
    <row r="367" spans="1:7" x14ac:dyDescent="0.2">
      <c r="A367" s="1">
        <v>19</v>
      </c>
      <c r="B367" s="1">
        <v>1</v>
      </c>
      <c r="C367" s="1">
        <v>-0.34390000000000009</v>
      </c>
      <c r="D367" s="1">
        <v>-4.004000000000002E-2</v>
      </c>
      <c r="E367" s="1">
        <v>0.14530000000000004</v>
      </c>
      <c r="F367" s="5">
        <v>2500</v>
      </c>
      <c r="G367" s="1"/>
    </row>
    <row r="368" spans="1:7" x14ac:dyDescent="0.2">
      <c r="A368" s="1">
        <v>19</v>
      </c>
      <c r="B368" s="1">
        <v>2</v>
      </c>
      <c r="C368" s="1">
        <v>-0.29840000000000011</v>
      </c>
      <c r="D368" s="1">
        <v>-3.4080000000000013E-2</v>
      </c>
      <c r="E368" s="1">
        <v>0.12650000000000003</v>
      </c>
      <c r="F368" s="5">
        <v>3300</v>
      </c>
      <c r="G368" s="1"/>
    </row>
    <row r="369" spans="1:7" x14ac:dyDescent="0.2">
      <c r="A369" s="1">
        <v>19</v>
      </c>
      <c r="B369" s="1">
        <v>3</v>
      </c>
      <c r="C369" s="1">
        <v>-0.22850000000000006</v>
      </c>
      <c r="D369" s="1">
        <v>-3.8980000000000015E-2</v>
      </c>
      <c r="E369" s="1">
        <v>0.16580000000000006</v>
      </c>
      <c r="F369" s="5">
        <v>3800</v>
      </c>
      <c r="G369" s="1"/>
    </row>
    <row r="370" spans="1:7" x14ac:dyDescent="0.2">
      <c r="A370" s="1">
        <v>19</v>
      </c>
      <c r="B370" s="1">
        <v>4</v>
      </c>
      <c r="C370" s="1">
        <v>-0.18510000000000007</v>
      </c>
      <c r="D370" s="1">
        <v>1.2340000000000005E-2</v>
      </c>
      <c r="E370" s="1">
        <v>0.13470000000000004</v>
      </c>
      <c r="F370" s="5">
        <v>10000</v>
      </c>
      <c r="G370" s="1"/>
    </row>
    <row r="371" spans="1:7" x14ac:dyDescent="0.2">
      <c r="A371" s="1">
        <v>19</v>
      </c>
      <c r="B371" s="1">
        <v>5</v>
      </c>
      <c r="C371" s="1">
        <v>-0.13280000000000003</v>
      </c>
      <c r="D371" s="1">
        <v>1.9540000000000009E-2</v>
      </c>
      <c r="E371" s="1">
        <v>0.16230000000000006</v>
      </c>
      <c r="F371" s="5">
        <v>8600</v>
      </c>
      <c r="G371" s="1"/>
    </row>
    <row r="372" spans="1:7" x14ac:dyDescent="0.2">
      <c r="A372" s="1">
        <v>19</v>
      </c>
      <c r="B372" s="1">
        <v>6</v>
      </c>
      <c r="C372" s="1">
        <v>-0.12820000000000004</v>
      </c>
      <c r="D372" s="1">
        <v>6.0660000000000032E-4</v>
      </c>
      <c r="E372" s="1">
        <v>0.16780000000000006</v>
      </c>
      <c r="F372" s="5">
        <v>2900</v>
      </c>
      <c r="G372" s="1"/>
    </row>
    <row r="373" spans="1:7" x14ac:dyDescent="0.2">
      <c r="A373" s="1">
        <v>19</v>
      </c>
      <c r="B373" s="1">
        <v>7</v>
      </c>
      <c r="C373" s="1">
        <v>-0.12260000000000004</v>
      </c>
      <c r="D373" s="1">
        <v>-1.9640000000000009E-3</v>
      </c>
      <c r="E373" s="1">
        <v>0.15920000000000006</v>
      </c>
      <c r="F373" s="5">
        <v>6900</v>
      </c>
      <c r="G373" s="1"/>
    </row>
    <row r="374" spans="1:7" x14ac:dyDescent="0.2">
      <c r="A374" s="1">
        <v>19</v>
      </c>
      <c r="B374" s="1">
        <v>8</v>
      </c>
      <c r="C374" s="1">
        <v>-0.11350000000000003</v>
      </c>
      <c r="D374" s="1">
        <v>-1.1170000000000005E-2</v>
      </c>
      <c r="E374" s="1">
        <v>0.14650000000000005</v>
      </c>
      <c r="F374" s="5">
        <v>8400</v>
      </c>
      <c r="G374" s="1"/>
    </row>
    <row r="375" spans="1:7" x14ac:dyDescent="0.2">
      <c r="A375" s="1">
        <v>19</v>
      </c>
      <c r="B375" s="1">
        <v>9</v>
      </c>
      <c r="C375" s="1">
        <v>-5.6120000000000024E-2</v>
      </c>
      <c r="D375" s="1">
        <v>2.5860000000000011E-2</v>
      </c>
      <c r="E375" s="1">
        <v>0.15220000000000006</v>
      </c>
      <c r="F375" s="5">
        <v>16500</v>
      </c>
      <c r="G375" s="1"/>
    </row>
    <row r="376" spans="1:7" x14ac:dyDescent="0.2">
      <c r="A376" s="1">
        <v>19</v>
      </c>
      <c r="B376" s="1">
        <v>10</v>
      </c>
      <c r="C376" s="1">
        <v>-8.9450000000000043E-2</v>
      </c>
      <c r="D376" s="1">
        <v>-3.0360000000000009E-3</v>
      </c>
      <c r="E376" s="1">
        <v>0.13340000000000005</v>
      </c>
      <c r="F376" s="5">
        <v>9500</v>
      </c>
      <c r="G376" s="1"/>
    </row>
    <row r="377" spans="1:7" x14ac:dyDescent="0.2">
      <c r="A377" s="1">
        <v>19</v>
      </c>
      <c r="B377" s="1">
        <v>11</v>
      </c>
      <c r="C377" s="1">
        <v>-9.182000000000004E-2</v>
      </c>
      <c r="D377" s="1">
        <v>-4.8630000000000019E-3</v>
      </c>
      <c r="E377" s="1">
        <v>0.12490000000000004</v>
      </c>
      <c r="F377" s="5">
        <v>9600</v>
      </c>
      <c r="G377" s="1"/>
    </row>
    <row r="378" spans="1:7" x14ac:dyDescent="0.2">
      <c r="A378" s="1">
        <v>19</v>
      </c>
      <c r="B378" s="1">
        <v>12</v>
      </c>
      <c r="C378" s="1">
        <v>-8.1660000000000038E-2</v>
      </c>
      <c r="D378" s="1">
        <v>-2.2360000000000008E-2</v>
      </c>
      <c r="E378" s="1">
        <v>0.13310000000000005</v>
      </c>
      <c r="F378" s="5">
        <v>15500</v>
      </c>
      <c r="G378" s="1"/>
    </row>
    <row r="379" spans="1:7" x14ac:dyDescent="0.2">
      <c r="A379" s="1">
        <v>19</v>
      </c>
      <c r="B379" s="1">
        <v>13</v>
      </c>
      <c r="C379" s="1">
        <v>-7.2210000000000024E-2</v>
      </c>
      <c r="D379" s="1">
        <v>-9.4080000000000032E-3</v>
      </c>
      <c r="E379" s="1">
        <v>0.10770000000000003</v>
      </c>
      <c r="F379" s="5">
        <v>6200</v>
      </c>
      <c r="G379" s="1"/>
    </row>
    <row r="380" spans="1:7" x14ac:dyDescent="0.2">
      <c r="A380" s="1">
        <v>19</v>
      </c>
      <c r="B380" s="1">
        <v>14</v>
      </c>
      <c r="C380" s="1">
        <v>-7.9420000000000032E-2</v>
      </c>
      <c r="D380" s="1">
        <v>-2.7550000000000012E-2</v>
      </c>
      <c r="E380" s="1">
        <v>9.5640000000000044E-2</v>
      </c>
      <c r="F380" s="5">
        <v>15500</v>
      </c>
      <c r="G380" s="1"/>
    </row>
    <row r="381" spans="1:7" x14ac:dyDescent="0.2">
      <c r="A381" s="1">
        <v>19</v>
      </c>
      <c r="B381" s="1">
        <v>15</v>
      </c>
      <c r="C381" s="1">
        <v>-3.4720000000000015E-2</v>
      </c>
      <c r="D381" s="1">
        <v>-2.0130000000000009E-2</v>
      </c>
      <c r="E381" s="1">
        <v>0.11900000000000004</v>
      </c>
      <c r="F381" s="5">
        <v>28000</v>
      </c>
      <c r="G381" s="1"/>
    </row>
    <row r="382" spans="1:7" x14ac:dyDescent="0.2">
      <c r="A382" s="1">
        <v>19</v>
      </c>
      <c r="B382" s="1">
        <v>16</v>
      </c>
      <c r="C382" s="1">
        <v>-4.2970000000000015E-2</v>
      </c>
      <c r="D382" s="1">
        <v>-2.7040000000000012E-2</v>
      </c>
      <c r="E382" s="1">
        <v>8.3160000000000039E-2</v>
      </c>
      <c r="F382" s="5">
        <v>59500</v>
      </c>
      <c r="G382" s="1"/>
    </row>
    <row r="383" spans="1:7" x14ac:dyDescent="0.2">
      <c r="A383" s="1">
        <v>19</v>
      </c>
      <c r="B383" s="1">
        <v>17</v>
      </c>
      <c r="C383" s="1">
        <v>-3.8200000000000019E-2</v>
      </c>
      <c r="D383" s="1">
        <v>-4.9870000000000018E-2</v>
      </c>
      <c r="E383" s="1">
        <v>7.8830000000000039E-2</v>
      </c>
      <c r="F383" s="5">
        <v>17000</v>
      </c>
      <c r="G383" s="1"/>
    </row>
    <row r="384" spans="1:7" x14ac:dyDescent="0.2">
      <c r="A384" s="1">
        <v>19</v>
      </c>
      <c r="B384" s="1">
        <v>18</v>
      </c>
      <c r="C384" s="1">
        <v>-5.4310000000000025E-2</v>
      </c>
      <c r="D384" s="1">
        <v>-5.7550000000000025E-2</v>
      </c>
      <c r="E384" s="1">
        <v>6.2910000000000021E-2</v>
      </c>
      <c r="F384" s="5">
        <v>16000</v>
      </c>
      <c r="G384" s="1"/>
    </row>
    <row r="385" spans="1:7" x14ac:dyDescent="0.2">
      <c r="A385" s="1">
        <v>19</v>
      </c>
      <c r="B385" s="1">
        <v>19</v>
      </c>
      <c r="C385" s="1">
        <v>-5.4700000000000026E-2</v>
      </c>
      <c r="D385" s="1">
        <v>-6.4390000000000031E-2</v>
      </c>
      <c r="E385" s="1">
        <v>8.4490000000000034E-3</v>
      </c>
      <c r="F385" s="5">
        <v>26000</v>
      </c>
      <c r="G385" s="1"/>
    </row>
    <row r="386" spans="1:7" x14ac:dyDescent="0.2">
      <c r="A386" s="1">
        <v>19</v>
      </c>
      <c r="B386" s="1">
        <v>20</v>
      </c>
      <c r="C386" s="1">
        <v>-8.7270000000000039E-3</v>
      </c>
      <c r="D386" s="1">
        <v>-6.729000000000003E-2</v>
      </c>
      <c r="E386" s="1">
        <v>-2.2730000000000011E-2</v>
      </c>
      <c r="F386" s="5">
        <v>11500</v>
      </c>
      <c r="G386" s="1"/>
    </row>
    <row r="387" spans="1:7" x14ac:dyDescent="0.2">
      <c r="A387" s="1">
        <v>20</v>
      </c>
      <c r="B387" s="1">
        <v>1</v>
      </c>
      <c r="C387" s="1">
        <v>-0.43670000000000014</v>
      </c>
      <c r="D387" s="1">
        <v>-2.657000000000001E-2</v>
      </c>
      <c r="E387" s="1">
        <v>0.16320000000000004</v>
      </c>
      <c r="F387" s="5">
        <v>1500</v>
      </c>
      <c r="G387" s="1"/>
    </row>
    <row r="388" spans="1:7" x14ac:dyDescent="0.2">
      <c r="A388" s="1">
        <v>20</v>
      </c>
      <c r="B388" s="1">
        <v>2</v>
      </c>
      <c r="C388" s="1">
        <v>-0.46150000000000013</v>
      </c>
      <c r="D388" s="1">
        <v>-3.2500000000000015E-2</v>
      </c>
      <c r="E388" s="1">
        <v>9.2670000000000044E-2</v>
      </c>
      <c r="F388" s="5">
        <v>1900</v>
      </c>
      <c r="G388" s="1"/>
    </row>
    <row r="389" spans="1:7" x14ac:dyDescent="0.2">
      <c r="A389" s="1">
        <v>20</v>
      </c>
      <c r="B389" s="1">
        <v>3</v>
      </c>
      <c r="C389" s="1">
        <v>-0.36690000000000011</v>
      </c>
      <c r="D389" s="1">
        <v>-7.5060000000000031E-3</v>
      </c>
      <c r="E389" s="1">
        <v>0.12980000000000005</v>
      </c>
      <c r="F389" s="5">
        <v>1800</v>
      </c>
      <c r="G389" s="1"/>
    </row>
    <row r="390" spans="1:7" x14ac:dyDescent="0.2">
      <c r="A390" s="1">
        <v>20</v>
      </c>
      <c r="B390" s="1">
        <v>4</v>
      </c>
      <c r="C390" s="1">
        <v>-0.32590000000000008</v>
      </c>
      <c r="D390" s="1">
        <v>-1.1740000000000006E-2</v>
      </c>
      <c r="E390" s="1">
        <v>0.14350000000000004</v>
      </c>
      <c r="F390" s="5">
        <v>5100</v>
      </c>
      <c r="G390" s="1"/>
    </row>
    <row r="391" spans="1:7" x14ac:dyDescent="0.2">
      <c r="A391" s="1">
        <v>20</v>
      </c>
      <c r="B391" s="1">
        <v>5</v>
      </c>
      <c r="C391" s="1">
        <v>-0.30850000000000011</v>
      </c>
      <c r="D391" s="1">
        <v>4.635000000000002E-3</v>
      </c>
      <c r="E391" s="1">
        <v>0.12810000000000005</v>
      </c>
      <c r="F391" s="5">
        <v>1900</v>
      </c>
      <c r="G391" s="1"/>
    </row>
    <row r="392" spans="1:7" x14ac:dyDescent="0.2">
      <c r="A392" s="1">
        <v>20</v>
      </c>
      <c r="B392" s="1">
        <v>6</v>
      </c>
      <c r="C392" s="1">
        <v>-0.35450000000000009</v>
      </c>
      <c r="D392" s="1">
        <v>2.105000000000001E-3</v>
      </c>
      <c r="E392" s="1">
        <v>8.0870000000000039E-2</v>
      </c>
      <c r="F392" s="5">
        <v>1500</v>
      </c>
      <c r="G392" s="1"/>
    </row>
    <row r="393" spans="1:7" x14ac:dyDescent="0.2">
      <c r="A393" s="1">
        <v>20</v>
      </c>
      <c r="B393" s="1">
        <v>7</v>
      </c>
      <c r="C393" s="1">
        <v>-0.22900000000000006</v>
      </c>
      <c r="D393" s="1">
        <v>2.1540000000000011E-2</v>
      </c>
      <c r="E393" s="1">
        <v>0.15150000000000005</v>
      </c>
      <c r="F393" s="5">
        <v>2500</v>
      </c>
      <c r="G393" s="1"/>
    </row>
    <row r="394" spans="1:7" x14ac:dyDescent="0.2">
      <c r="A394" s="1">
        <v>20</v>
      </c>
      <c r="B394" s="1">
        <v>8</v>
      </c>
      <c r="C394" s="1">
        <v>-0.14690000000000006</v>
      </c>
      <c r="D394" s="1">
        <v>7.5680000000000027E-3</v>
      </c>
      <c r="E394" s="1">
        <v>0.20370000000000008</v>
      </c>
      <c r="F394" s="5">
        <v>5400</v>
      </c>
      <c r="G394" s="1"/>
    </row>
    <row r="395" spans="1:7" x14ac:dyDescent="0.2">
      <c r="A395" s="1">
        <v>20</v>
      </c>
      <c r="B395" s="1">
        <v>9</v>
      </c>
      <c r="C395" s="1">
        <v>-0.22340000000000007</v>
      </c>
      <c r="D395" s="1">
        <v>1.7500000000000009E-2</v>
      </c>
      <c r="E395" s="1">
        <v>0.11790000000000003</v>
      </c>
      <c r="F395" s="5">
        <v>5300</v>
      </c>
      <c r="G395" s="1"/>
    </row>
    <row r="396" spans="1:7" x14ac:dyDescent="0.2">
      <c r="A396" s="1">
        <v>20</v>
      </c>
      <c r="B396" s="1">
        <v>10</v>
      </c>
      <c r="C396" s="1">
        <v>-0.24620000000000009</v>
      </c>
      <c r="D396" s="1">
        <v>-2.103000000000001E-2</v>
      </c>
      <c r="E396" s="1">
        <v>0.14180000000000004</v>
      </c>
      <c r="F396" s="5">
        <v>4400</v>
      </c>
      <c r="G396" s="1"/>
    </row>
    <row r="397" spans="1:7" x14ac:dyDescent="0.2">
      <c r="A397" s="1">
        <v>20</v>
      </c>
      <c r="B397" s="1">
        <v>11</v>
      </c>
      <c r="C397" s="1">
        <v>-0.15980000000000005</v>
      </c>
      <c r="D397" s="1">
        <v>1.6000000000000007E-2</v>
      </c>
      <c r="E397" s="1">
        <v>0.16010000000000005</v>
      </c>
      <c r="F397" s="5">
        <v>4000</v>
      </c>
      <c r="G397" s="1"/>
    </row>
    <row r="398" spans="1:7" x14ac:dyDescent="0.2">
      <c r="A398" s="1">
        <v>20</v>
      </c>
      <c r="B398" s="1">
        <v>12</v>
      </c>
      <c r="C398" s="1">
        <v>-0.16280000000000006</v>
      </c>
      <c r="D398" s="1">
        <v>-8.3350000000000036E-4</v>
      </c>
      <c r="E398" s="1">
        <v>0.16640000000000005</v>
      </c>
      <c r="F398" s="5">
        <v>12000</v>
      </c>
      <c r="G398" s="1"/>
    </row>
    <row r="399" spans="1:7" x14ac:dyDescent="0.2">
      <c r="A399" s="1">
        <v>20</v>
      </c>
      <c r="B399" s="1">
        <v>13</v>
      </c>
      <c r="C399" s="1">
        <v>-0.20400000000000007</v>
      </c>
      <c r="D399" s="1">
        <v>7.9670000000000034E-4</v>
      </c>
      <c r="E399" s="1">
        <v>0.10900000000000004</v>
      </c>
      <c r="F399" s="5">
        <v>5100</v>
      </c>
      <c r="G399" s="1"/>
    </row>
    <row r="400" spans="1:7" x14ac:dyDescent="0.2">
      <c r="A400" s="1">
        <v>20</v>
      </c>
      <c r="B400" s="1">
        <v>14</v>
      </c>
      <c r="C400" s="1">
        <v>-0.17810000000000006</v>
      </c>
      <c r="D400" s="1">
        <v>-1.4860000000000007E-2</v>
      </c>
      <c r="E400" s="1">
        <v>0.11800000000000004</v>
      </c>
      <c r="F400" s="5">
        <v>8200</v>
      </c>
      <c r="G400" s="1"/>
    </row>
    <row r="401" spans="1:7" x14ac:dyDescent="0.2">
      <c r="A401" s="1">
        <v>20</v>
      </c>
      <c r="B401" s="1">
        <v>15</v>
      </c>
      <c r="C401" s="1">
        <v>-4.2110000000000015E-2</v>
      </c>
      <c r="D401" s="1">
        <v>9.2120000000000032E-3</v>
      </c>
      <c r="E401" s="1">
        <v>0.18980000000000005</v>
      </c>
      <c r="F401" s="5">
        <v>19500</v>
      </c>
      <c r="G401" s="1"/>
    </row>
    <row r="402" spans="1:7" x14ac:dyDescent="0.2">
      <c r="A402" s="1">
        <v>20</v>
      </c>
      <c r="B402" s="1">
        <v>16</v>
      </c>
      <c r="C402" s="1">
        <v>-5.8430000000000024E-2</v>
      </c>
      <c r="D402" s="1">
        <v>-1.2630000000000005E-3</v>
      </c>
      <c r="E402" s="1">
        <v>0.15030000000000004</v>
      </c>
      <c r="F402" s="5">
        <v>31500</v>
      </c>
      <c r="G402" s="1"/>
    </row>
    <row r="403" spans="1:7" x14ac:dyDescent="0.2">
      <c r="A403" s="1">
        <v>20</v>
      </c>
      <c r="B403" s="1">
        <v>17</v>
      </c>
      <c r="C403" s="1">
        <v>-9.1250000000000039E-2</v>
      </c>
      <c r="D403" s="1">
        <v>-4.1370000000000018E-2</v>
      </c>
      <c r="E403" s="1">
        <v>0.12540000000000004</v>
      </c>
      <c r="F403" s="5">
        <v>9900</v>
      </c>
      <c r="G403" s="1"/>
    </row>
    <row r="404" spans="1:7" x14ac:dyDescent="0.2">
      <c r="A404" s="1">
        <v>20</v>
      </c>
      <c r="B404" s="1">
        <v>18</v>
      </c>
      <c r="C404" s="1">
        <v>-4.7350000000000017E-2</v>
      </c>
      <c r="D404" s="1">
        <v>1.1340000000000005E-2</v>
      </c>
      <c r="E404" s="1">
        <v>0.13630000000000003</v>
      </c>
      <c r="F404" s="5">
        <v>5700</v>
      </c>
      <c r="G404" s="1"/>
    </row>
    <row r="405" spans="1:7" x14ac:dyDescent="0.2">
      <c r="A405" s="1">
        <v>20</v>
      </c>
      <c r="B405" s="1">
        <v>19</v>
      </c>
      <c r="C405" s="1">
        <v>-4.4740000000000016E-2</v>
      </c>
      <c r="D405" s="1">
        <v>-3.1740000000000011E-2</v>
      </c>
      <c r="E405" s="1">
        <v>7.291000000000003E-2</v>
      </c>
      <c r="F405" s="5">
        <v>10500</v>
      </c>
      <c r="G405" s="1"/>
    </row>
    <row r="406" spans="1:7" x14ac:dyDescent="0.2">
      <c r="A406" s="1">
        <v>20</v>
      </c>
      <c r="B406" s="1">
        <v>20</v>
      </c>
      <c r="C406" s="1">
        <v>-1.5470000000000006E-2</v>
      </c>
      <c r="D406" s="1">
        <v>-1.9630000000000009E-2</v>
      </c>
      <c r="E406" s="1">
        <v>1.1040000000000005E-2</v>
      </c>
      <c r="F406" s="5">
        <v>22500</v>
      </c>
      <c r="G406" s="1"/>
    </row>
  </sheetData>
  <mergeCells count="1">
    <mergeCell ref="C5:E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85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</vt:lpstr>
      <vt:lpstr>2</vt:lpstr>
      <vt:lpstr>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Moises Yi</cp:lastModifiedBy>
  <cp:revision>9</cp:revision>
  <dcterms:modified xsi:type="dcterms:W3CDTF">2023-09-29T21:09:35Z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