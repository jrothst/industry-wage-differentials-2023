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0"/>
  <workbookPr defaultThemeVersion="166925"/>
  <mc:AlternateContent xmlns:mc="http://schemas.openxmlformats.org/markup-compatibility/2006">
    <mc:Choice Requires="x15">
      <x15ac:absPath xmlns:x15ac="http://schemas.microsoft.com/office/spreadsheetml/2010/11/ac" url="/Users/jesse-local/Dropbox/projects/Maria boatlift/puerto rico/industry-effects/draft/revision 2/October2023/"/>
    </mc:Choice>
  </mc:AlternateContent>
  <xr:revisionPtr revIDLastSave="0" documentId="13_ncr:1_{2AA84F78-8A2A-234D-8846-8A708CE97682}" xr6:coauthVersionLast="47" xr6:coauthVersionMax="47" xr10:uidLastSave="{00000000-0000-0000-0000-000000000000}"/>
  <bookViews>
    <workbookView xWindow="25900" yWindow="1320" windowWidth="24200" windowHeight="27160" tabRatio="728" activeTab="10" xr2:uid="{00000000-000D-0000-FFFF-FFFF00000000}"/>
  </bookViews>
  <sheets>
    <sheet name="Table 1" sheetId="2" r:id="rId1"/>
    <sheet name="table2" sheetId="28" r:id="rId2"/>
    <sheet name="table3" sheetId="29" r:id="rId3"/>
    <sheet name="Table4" sheetId="16" r:id="rId4"/>
    <sheet name="Table5" sheetId="13" r:id="rId5"/>
    <sheet name="Table6" sheetId="4" r:id="rId6"/>
    <sheet name="Table7" sheetId="11" r:id="rId7"/>
    <sheet name="Table8" sheetId="5" r:id="rId8"/>
    <sheet name="tab A-1" sheetId="24" r:id="rId9"/>
    <sheet name="tabA-2" sheetId="38" r:id="rId10"/>
    <sheet name="tab A-3" sheetId="6" r:id="rId11"/>
    <sheet name="T7-8calcs" sheetId="35" r:id="rId12"/>
    <sheet name="disclosed1-1" sheetId="1" r:id="rId13"/>
    <sheet name="disclosed1-5" sheetId="3" r:id="rId14"/>
    <sheet name="disclosed1-9a" sheetId="8" r:id="rId15"/>
    <sheet name="disclosed1-9b" sheetId="9" r:id="rId16"/>
    <sheet name="disclosed1-12" sheetId="12" r:id="rId17"/>
    <sheet name="disclosed2-1" sheetId="25" r:id="rId18"/>
    <sheet name="disclosed2-4" sheetId="20" r:id="rId19"/>
    <sheet name="L3disclosure7-2" sheetId="18" r:id="rId20"/>
    <sheet name="t2" sheetId="30" r:id="rId21"/>
    <sheet name="t3" sheetId="31" r:id="rId22"/>
    <sheet name="t4" sheetId="32" r:id="rId23"/>
    <sheet name="t6" sheetId="33" r:id="rId24"/>
    <sheet name="apptab2" sheetId="37" r:id="rId25"/>
  </sheets>
  <definedNames>
    <definedName name="_xlnm.Print_Area" localSheetId="8">'tab A-1'!$B$2:$F$34</definedName>
    <definedName name="_xlnm.Print_Area" localSheetId="10">'tab A-3'!$R$3:$AD$32</definedName>
    <definedName name="_xlnm.Print_Area" localSheetId="9">'tabA-2'!$B$2:$G$349</definedName>
    <definedName name="_xlnm.Print_Area" localSheetId="0">'Table 1'!$B$2:$H$35</definedName>
    <definedName name="_xlnm.Print_Area" localSheetId="1">table2!$B$2:$K$36</definedName>
    <definedName name="_xlnm.Print_Area" localSheetId="2">table3!$F$2:$N$30</definedName>
    <definedName name="_xlnm.Print_Area" localSheetId="3">Table4!$B$2:$M$21</definedName>
    <definedName name="_xlnm.Print_Area" localSheetId="4">Table5!$B$3:$G$17</definedName>
    <definedName name="_xlnm.Print_Area" localSheetId="5">Table6!$B$2:$L$20</definedName>
    <definedName name="_xlnm.Print_Area" localSheetId="6">Table7!$B$2:$F$24</definedName>
    <definedName name="_xlnm.Print_Area" localSheetId="7">Table8!$B$3:$W$40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7" i="38" l="1"/>
  <c r="F347" i="38"/>
  <c r="E347" i="38"/>
  <c r="D347" i="38"/>
  <c r="G346" i="38"/>
  <c r="F346" i="38"/>
  <c r="E346" i="38"/>
  <c r="D346" i="38"/>
  <c r="G345" i="38"/>
  <c r="F345" i="38"/>
  <c r="E345" i="38"/>
  <c r="D345" i="38"/>
  <c r="G344" i="38"/>
  <c r="F344" i="38"/>
  <c r="E344" i="38"/>
  <c r="D344" i="38"/>
  <c r="G343" i="38"/>
  <c r="F343" i="38"/>
  <c r="E343" i="38"/>
  <c r="D343" i="38"/>
  <c r="G342" i="38"/>
  <c r="F342" i="38"/>
  <c r="E342" i="38"/>
  <c r="D342" i="38"/>
  <c r="G341" i="38"/>
  <c r="F341" i="38"/>
  <c r="E341" i="38"/>
  <c r="D341" i="38"/>
  <c r="G340" i="38"/>
  <c r="F340" i="38"/>
  <c r="E340" i="38"/>
  <c r="D340" i="38"/>
  <c r="G339" i="38"/>
  <c r="F339" i="38"/>
  <c r="E339" i="38"/>
  <c r="D339" i="38"/>
  <c r="G338" i="38"/>
  <c r="F338" i="38"/>
  <c r="E338" i="38"/>
  <c r="D338" i="38"/>
  <c r="G337" i="38"/>
  <c r="F337" i="38"/>
  <c r="E337" i="38"/>
  <c r="D337" i="38"/>
  <c r="G336" i="38"/>
  <c r="F336" i="38"/>
  <c r="E336" i="38"/>
  <c r="D336" i="38"/>
  <c r="G335" i="38"/>
  <c r="F335" i="38"/>
  <c r="E335" i="38"/>
  <c r="D335" i="38"/>
  <c r="G334" i="38"/>
  <c r="F334" i="38"/>
  <c r="E334" i="38"/>
  <c r="D334" i="38"/>
  <c r="G333" i="38"/>
  <c r="F333" i="38"/>
  <c r="E333" i="38"/>
  <c r="D333" i="38"/>
  <c r="G332" i="38"/>
  <c r="F332" i="38"/>
  <c r="E332" i="38"/>
  <c r="D332" i="38"/>
  <c r="G331" i="38"/>
  <c r="F331" i="38"/>
  <c r="E331" i="38"/>
  <c r="D331" i="38"/>
  <c r="G330" i="38"/>
  <c r="F330" i="38"/>
  <c r="E330" i="38"/>
  <c r="D330" i="38"/>
  <c r="G329" i="38"/>
  <c r="F329" i="38"/>
  <c r="E329" i="38"/>
  <c r="D329" i="38"/>
  <c r="G328" i="38"/>
  <c r="F328" i="38"/>
  <c r="E328" i="38"/>
  <c r="D328" i="38"/>
  <c r="G323" i="38"/>
  <c r="F323" i="38"/>
  <c r="E323" i="38"/>
  <c r="D323" i="38"/>
  <c r="G322" i="38"/>
  <c r="F322" i="38"/>
  <c r="E322" i="38"/>
  <c r="D322" i="38"/>
  <c r="G321" i="38"/>
  <c r="F321" i="38"/>
  <c r="E321" i="38"/>
  <c r="D321" i="38"/>
  <c r="G320" i="38"/>
  <c r="F320" i="38"/>
  <c r="E320" i="38"/>
  <c r="D320" i="38"/>
  <c r="G319" i="38"/>
  <c r="F319" i="38"/>
  <c r="E319" i="38"/>
  <c r="D319" i="38"/>
  <c r="G318" i="38"/>
  <c r="F318" i="38"/>
  <c r="E318" i="38"/>
  <c r="D318" i="38"/>
  <c r="G317" i="38"/>
  <c r="F317" i="38"/>
  <c r="E317" i="38"/>
  <c r="D317" i="38"/>
  <c r="G316" i="38"/>
  <c r="F316" i="38"/>
  <c r="E316" i="38"/>
  <c r="D316" i="38"/>
  <c r="G315" i="38"/>
  <c r="F315" i="38"/>
  <c r="E315" i="38"/>
  <c r="D315" i="38"/>
  <c r="G314" i="38"/>
  <c r="F314" i="38"/>
  <c r="E314" i="38"/>
  <c r="D314" i="38"/>
  <c r="G313" i="38"/>
  <c r="F313" i="38"/>
  <c r="E313" i="38"/>
  <c r="D313" i="38"/>
  <c r="G312" i="38"/>
  <c r="F312" i="38"/>
  <c r="E312" i="38"/>
  <c r="D312" i="38"/>
  <c r="G311" i="38"/>
  <c r="F311" i="38"/>
  <c r="E311" i="38"/>
  <c r="D311" i="38"/>
  <c r="G310" i="38"/>
  <c r="F310" i="38"/>
  <c r="E310" i="38"/>
  <c r="D310" i="38"/>
  <c r="G309" i="38"/>
  <c r="F309" i="38"/>
  <c r="E309" i="38"/>
  <c r="D309" i="38"/>
  <c r="G308" i="38"/>
  <c r="F308" i="38"/>
  <c r="E308" i="38"/>
  <c r="D308" i="38"/>
  <c r="G307" i="38"/>
  <c r="F307" i="38"/>
  <c r="E307" i="38"/>
  <c r="D307" i="38"/>
  <c r="G306" i="38"/>
  <c r="F306" i="38"/>
  <c r="E306" i="38"/>
  <c r="D306" i="38"/>
  <c r="G305" i="38"/>
  <c r="F305" i="38"/>
  <c r="E305" i="38"/>
  <c r="D305" i="38"/>
  <c r="G304" i="38"/>
  <c r="F304" i="38"/>
  <c r="E304" i="38"/>
  <c r="D304" i="38"/>
  <c r="G303" i="38"/>
  <c r="F303" i="38"/>
  <c r="E303" i="38"/>
  <c r="D303" i="38"/>
  <c r="G302" i="38"/>
  <c r="F302" i="38"/>
  <c r="E302" i="38"/>
  <c r="D302" i="38"/>
  <c r="G301" i="38"/>
  <c r="F301" i="38"/>
  <c r="E301" i="38"/>
  <c r="D301" i="38"/>
  <c r="G300" i="38"/>
  <c r="F300" i="38"/>
  <c r="E300" i="38"/>
  <c r="D300" i="38"/>
  <c r="G299" i="38"/>
  <c r="F299" i="38"/>
  <c r="E299" i="38"/>
  <c r="D299" i="38"/>
  <c r="G298" i="38"/>
  <c r="F298" i="38"/>
  <c r="E298" i="38"/>
  <c r="D298" i="38"/>
  <c r="G297" i="38"/>
  <c r="F297" i="38"/>
  <c r="E297" i="38"/>
  <c r="D297" i="38"/>
  <c r="G296" i="38"/>
  <c r="F296" i="38"/>
  <c r="E296" i="38"/>
  <c r="D296" i="38"/>
  <c r="G295" i="38"/>
  <c r="F295" i="38"/>
  <c r="E295" i="38"/>
  <c r="D295" i="38"/>
  <c r="G294" i="38"/>
  <c r="F294" i="38"/>
  <c r="E294" i="38"/>
  <c r="D294" i="38"/>
  <c r="G293" i="38"/>
  <c r="F293" i="38"/>
  <c r="E293" i="38"/>
  <c r="D293" i="38"/>
  <c r="G292" i="38"/>
  <c r="F292" i="38"/>
  <c r="E292" i="38"/>
  <c r="D292" i="38"/>
  <c r="G291" i="38"/>
  <c r="F291" i="38"/>
  <c r="E291" i="38"/>
  <c r="D291" i="38"/>
  <c r="G290" i="38"/>
  <c r="F290" i="38"/>
  <c r="E290" i="38"/>
  <c r="D290" i="38"/>
  <c r="G289" i="38"/>
  <c r="F289" i="38"/>
  <c r="E289" i="38"/>
  <c r="D289" i="38"/>
  <c r="G288" i="38"/>
  <c r="F288" i="38"/>
  <c r="E288" i="38"/>
  <c r="D288" i="38"/>
  <c r="G287" i="38"/>
  <c r="F287" i="38"/>
  <c r="E287" i="38"/>
  <c r="D287" i="38"/>
  <c r="G286" i="38"/>
  <c r="F286" i="38"/>
  <c r="E286" i="38"/>
  <c r="D286" i="38"/>
  <c r="G285" i="38"/>
  <c r="F285" i="38"/>
  <c r="E285" i="38"/>
  <c r="D285" i="38"/>
  <c r="G284" i="38"/>
  <c r="F284" i="38"/>
  <c r="E284" i="38"/>
  <c r="D284" i="38"/>
  <c r="G283" i="38"/>
  <c r="F283" i="38"/>
  <c r="E283" i="38"/>
  <c r="D283" i="38"/>
  <c r="G282" i="38"/>
  <c r="F282" i="38"/>
  <c r="E282" i="38"/>
  <c r="D282" i="38"/>
  <c r="G277" i="38"/>
  <c r="F277" i="38"/>
  <c r="E277" i="38"/>
  <c r="D277" i="38"/>
  <c r="G276" i="38"/>
  <c r="F276" i="38"/>
  <c r="E276" i="38"/>
  <c r="D276" i="38"/>
  <c r="G275" i="38"/>
  <c r="F275" i="38"/>
  <c r="E275" i="38"/>
  <c r="D275" i="38"/>
  <c r="G274" i="38"/>
  <c r="F274" i="38"/>
  <c r="E274" i="38"/>
  <c r="D274" i="38"/>
  <c r="G273" i="38"/>
  <c r="F273" i="38"/>
  <c r="E273" i="38"/>
  <c r="D273" i="38"/>
  <c r="G272" i="38"/>
  <c r="F272" i="38"/>
  <c r="E272" i="38"/>
  <c r="D272" i="38"/>
  <c r="G271" i="38"/>
  <c r="F271" i="38"/>
  <c r="E271" i="38"/>
  <c r="D271" i="38"/>
  <c r="G270" i="38"/>
  <c r="F270" i="38"/>
  <c r="E270" i="38"/>
  <c r="D270" i="38"/>
  <c r="G269" i="38"/>
  <c r="F269" i="38"/>
  <c r="E269" i="38"/>
  <c r="D269" i="38"/>
  <c r="G268" i="38"/>
  <c r="F268" i="38"/>
  <c r="E268" i="38"/>
  <c r="D268" i="38"/>
  <c r="G267" i="38"/>
  <c r="F267" i="38"/>
  <c r="E267" i="38"/>
  <c r="D267" i="38"/>
  <c r="G266" i="38"/>
  <c r="F266" i="38"/>
  <c r="E266" i="38"/>
  <c r="D266" i="38"/>
  <c r="G265" i="38"/>
  <c r="F265" i="38"/>
  <c r="E265" i="38"/>
  <c r="D265" i="38"/>
  <c r="G264" i="38"/>
  <c r="F264" i="38"/>
  <c r="E264" i="38"/>
  <c r="D264" i="38"/>
  <c r="G263" i="38"/>
  <c r="F263" i="38"/>
  <c r="E263" i="38"/>
  <c r="D263" i="38"/>
  <c r="G262" i="38"/>
  <c r="F262" i="38"/>
  <c r="E262" i="38"/>
  <c r="D262" i="38"/>
  <c r="G261" i="38"/>
  <c r="F261" i="38"/>
  <c r="E261" i="38"/>
  <c r="D261" i="38"/>
  <c r="G260" i="38"/>
  <c r="F260" i="38"/>
  <c r="E260" i="38"/>
  <c r="D260" i="38"/>
  <c r="G259" i="38"/>
  <c r="F259" i="38"/>
  <c r="E259" i="38"/>
  <c r="D259" i="38"/>
  <c r="G258" i="38"/>
  <c r="F258" i="38"/>
  <c r="E258" i="38"/>
  <c r="D258" i="38"/>
  <c r="G257" i="38"/>
  <c r="F257" i="38"/>
  <c r="E257" i="38"/>
  <c r="D257" i="38"/>
  <c r="G256" i="38"/>
  <c r="F256" i="38"/>
  <c r="E256" i="38"/>
  <c r="D256" i="38"/>
  <c r="G255" i="38"/>
  <c r="F255" i="38"/>
  <c r="E255" i="38"/>
  <c r="D255" i="38"/>
  <c r="G254" i="38"/>
  <c r="F254" i="38"/>
  <c r="E254" i="38"/>
  <c r="D254" i="38"/>
  <c r="G253" i="38"/>
  <c r="F253" i="38"/>
  <c r="E253" i="38"/>
  <c r="D253" i="38"/>
  <c r="G252" i="38"/>
  <c r="F252" i="38"/>
  <c r="E252" i="38"/>
  <c r="D252" i="38"/>
  <c r="G251" i="38"/>
  <c r="F251" i="38"/>
  <c r="E251" i="38"/>
  <c r="D251" i="38"/>
  <c r="G250" i="38"/>
  <c r="F250" i="38"/>
  <c r="E250" i="38"/>
  <c r="D250" i="38"/>
  <c r="G249" i="38"/>
  <c r="F249" i="38"/>
  <c r="E249" i="38"/>
  <c r="D249" i="38"/>
  <c r="G248" i="38"/>
  <c r="F248" i="38"/>
  <c r="E248" i="38"/>
  <c r="D248" i="38"/>
  <c r="G247" i="38"/>
  <c r="F247" i="38"/>
  <c r="E247" i="38"/>
  <c r="D247" i="38"/>
  <c r="G246" i="38"/>
  <c r="F246" i="38"/>
  <c r="E246" i="38"/>
  <c r="D246" i="38"/>
  <c r="G245" i="38"/>
  <c r="F245" i="38"/>
  <c r="E245" i="38"/>
  <c r="D245" i="38"/>
  <c r="G244" i="38"/>
  <c r="F244" i="38"/>
  <c r="E244" i="38"/>
  <c r="D244" i="38"/>
  <c r="G243" i="38"/>
  <c r="F243" i="38"/>
  <c r="E243" i="38"/>
  <c r="D243" i="38"/>
  <c r="G242" i="38"/>
  <c r="F242" i="38"/>
  <c r="E242" i="38"/>
  <c r="D242" i="38"/>
  <c r="G241" i="38"/>
  <c r="F241" i="38"/>
  <c r="E241" i="38"/>
  <c r="D241" i="38"/>
  <c r="G240" i="38"/>
  <c r="F240" i="38"/>
  <c r="E240" i="38"/>
  <c r="D240" i="38"/>
  <c r="G239" i="38"/>
  <c r="F239" i="38"/>
  <c r="E239" i="38"/>
  <c r="D239" i="38"/>
  <c r="G238" i="38"/>
  <c r="F238" i="38"/>
  <c r="E238" i="38"/>
  <c r="D238" i="38"/>
  <c r="G237" i="38"/>
  <c r="F237" i="38"/>
  <c r="E237" i="38"/>
  <c r="D237" i="38"/>
  <c r="G236" i="38"/>
  <c r="F236" i="38"/>
  <c r="E236" i="38"/>
  <c r="D236" i="38"/>
  <c r="G231" i="38"/>
  <c r="F231" i="38"/>
  <c r="E231" i="38"/>
  <c r="D231" i="38"/>
  <c r="G230" i="38"/>
  <c r="F230" i="38"/>
  <c r="E230" i="38"/>
  <c r="D230" i="38"/>
  <c r="G229" i="38"/>
  <c r="F229" i="38"/>
  <c r="E229" i="38"/>
  <c r="D229" i="38"/>
  <c r="G228" i="38"/>
  <c r="F228" i="38"/>
  <c r="E228" i="38"/>
  <c r="D228" i="38"/>
  <c r="G227" i="38"/>
  <c r="F227" i="38"/>
  <c r="E227" i="38"/>
  <c r="D227" i="38"/>
  <c r="G226" i="38"/>
  <c r="F226" i="38"/>
  <c r="E226" i="38"/>
  <c r="D226" i="38"/>
  <c r="G225" i="38"/>
  <c r="F225" i="38"/>
  <c r="E225" i="38"/>
  <c r="D225" i="38"/>
  <c r="G224" i="38"/>
  <c r="F224" i="38"/>
  <c r="E224" i="38"/>
  <c r="D224" i="38"/>
  <c r="G223" i="38"/>
  <c r="F223" i="38"/>
  <c r="E223" i="38"/>
  <c r="D223" i="38"/>
  <c r="G222" i="38"/>
  <c r="F222" i="38"/>
  <c r="E222" i="38"/>
  <c r="D222" i="38"/>
  <c r="G221" i="38"/>
  <c r="F221" i="38"/>
  <c r="E221" i="38"/>
  <c r="D221" i="38"/>
  <c r="G220" i="38"/>
  <c r="F220" i="38"/>
  <c r="E220" i="38"/>
  <c r="D220" i="38"/>
  <c r="G219" i="38"/>
  <c r="F219" i="38"/>
  <c r="E219" i="38"/>
  <c r="D219" i="38"/>
  <c r="G218" i="38"/>
  <c r="F218" i="38"/>
  <c r="E218" i="38"/>
  <c r="D218" i="38"/>
  <c r="G217" i="38"/>
  <c r="F217" i="38"/>
  <c r="E217" i="38"/>
  <c r="D217" i="38"/>
  <c r="G216" i="38"/>
  <c r="F216" i="38"/>
  <c r="E216" i="38"/>
  <c r="D216" i="38"/>
  <c r="G215" i="38"/>
  <c r="F215" i="38"/>
  <c r="E215" i="38"/>
  <c r="D215" i="38"/>
  <c r="G214" i="38"/>
  <c r="F214" i="38"/>
  <c r="E214" i="38"/>
  <c r="D214" i="38"/>
  <c r="G213" i="38"/>
  <c r="F213" i="38"/>
  <c r="E213" i="38"/>
  <c r="D213" i="38"/>
  <c r="G212" i="38"/>
  <c r="F212" i="38"/>
  <c r="E212" i="38"/>
  <c r="D212" i="38"/>
  <c r="G211" i="38"/>
  <c r="F211" i="38"/>
  <c r="E211" i="38"/>
  <c r="D211" i="38"/>
  <c r="G210" i="38"/>
  <c r="F210" i="38"/>
  <c r="E210" i="38"/>
  <c r="D210" i="38"/>
  <c r="G209" i="38"/>
  <c r="F209" i="38"/>
  <c r="E209" i="38"/>
  <c r="D209" i="38"/>
  <c r="G208" i="38"/>
  <c r="F208" i="38"/>
  <c r="E208" i="38"/>
  <c r="D208" i="38"/>
  <c r="G207" i="38"/>
  <c r="F207" i="38"/>
  <c r="E207" i="38"/>
  <c r="D207" i="38"/>
  <c r="G206" i="38"/>
  <c r="F206" i="38"/>
  <c r="E206" i="38"/>
  <c r="D206" i="38"/>
  <c r="G205" i="38"/>
  <c r="F205" i="38"/>
  <c r="E205" i="38"/>
  <c r="D205" i="38"/>
  <c r="G204" i="38"/>
  <c r="F204" i="38"/>
  <c r="E204" i="38"/>
  <c r="D204" i="38"/>
  <c r="G203" i="38"/>
  <c r="F203" i="38"/>
  <c r="E203" i="38"/>
  <c r="D203" i="38"/>
  <c r="G202" i="38"/>
  <c r="F202" i="38"/>
  <c r="E202" i="38"/>
  <c r="D202" i="38"/>
  <c r="G201" i="38"/>
  <c r="F201" i="38"/>
  <c r="E201" i="38"/>
  <c r="D201" i="38"/>
  <c r="G200" i="38"/>
  <c r="F200" i="38"/>
  <c r="E200" i="38"/>
  <c r="D200" i="38"/>
  <c r="G199" i="38"/>
  <c r="F199" i="38"/>
  <c r="E199" i="38"/>
  <c r="D199" i="38"/>
  <c r="G198" i="38"/>
  <c r="F198" i="38"/>
  <c r="E198" i="38"/>
  <c r="D198" i="38"/>
  <c r="G197" i="38"/>
  <c r="F197" i="38"/>
  <c r="E197" i="38"/>
  <c r="D197" i="38"/>
  <c r="G196" i="38"/>
  <c r="F196" i="38"/>
  <c r="E196" i="38"/>
  <c r="D196" i="38"/>
  <c r="G195" i="38"/>
  <c r="F195" i="38"/>
  <c r="E195" i="38"/>
  <c r="D195" i="38"/>
  <c r="G194" i="38"/>
  <c r="F194" i="38"/>
  <c r="E194" i="38"/>
  <c r="D194" i="38"/>
  <c r="G193" i="38"/>
  <c r="F193" i="38"/>
  <c r="E193" i="38"/>
  <c r="D193" i="38"/>
  <c r="G192" i="38"/>
  <c r="F192" i="38"/>
  <c r="E192" i="38"/>
  <c r="D192" i="38"/>
  <c r="G191" i="38"/>
  <c r="F191" i="38"/>
  <c r="E191" i="38"/>
  <c r="D191" i="38"/>
  <c r="G190" i="38"/>
  <c r="F190" i="38"/>
  <c r="E190" i="38"/>
  <c r="D190" i="38"/>
  <c r="G185" i="38"/>
  <c r="F185" i="38"/>
  <c r="E185" i="38"/>
  <c r="D185" i="38"/>
  <c r="G184" i="38"/>
  <c r="F184" i="38"/>
  <c r="E184" i="38"/>
  <c r="D184" i="38"/>
  <c r="G183" i="38"/>
  <c r="F183" i="38"/>
  <c r="E183" i="38"/>
  <c r="D183" i="38"/>
  <c r="G182" i="38"/>
  <c r="F182" i="38"/>
  <c r="E182" i="38"/>
  <c r="D182" i="38"/>
  <c r="G181" i="38"/>
  <c r="F181" i="38"/>
  <c r="E181" i="38"/>
  <c r="D181" i="38"/>
  <c r="G180" i="38"/>
  <c r="F180" i="38"/>
  <c r="E180" i="38"/>
  <c r="D180" i="38"/>
  <c r="G179" i="38"/>
  <c r="F179" i="38"/>
  <c r="E179" i="38"/>
  <c r="D179" i="38"/>
  <c r="G178" i="38"/>
  <c r="F178" i="38"/>
  <c r="E178" i="38"/>
  <c r="D178" i="38"/>
  <c r="G177" i="38"/>
  <c r="F177" i="38"/>
  <c r="E177" i="38"/>
  <c r="D177" i="38"/>
  <c r="G176" i="38"/>
  <c r="F176" i="38"/>
  <c r="E176" i="38"/>
  <c r="D176" i="38"/>
  <c r="G175" i="38"/>
  <c r="F175" i="38"/>
  <c r="E175" i="38"/>
  <c r="D175" i="38"/>
  <c r="G174" i="38"/>
  <c r="F174" i="38"/>
  <c r="E174" i="38"/>
  <c r="D174" i="38"/>
  <c r="G173" i="38"/>
  <c r="F173" i="38"/>
  <c r="E173" i="38"/>
  <c r="D173" i="38"/>
  <c r="G172" i="38"/>
  <c r="F172" i="38"/>
  <c r="E172" i="38"/>
  <c r="D172" i="38"/>
  <c r="G171" i="38"/>
  <c r="F171" i="38"/>
  <c r="E171" i="38"/>
  <c r="D171" i="38"/>
  <c r="G170" i="38"/>
  <c r="F170" i="38"/>
  <c r="E170" i="38"/>
  <c r="D170" i="38"/>
  <c r="G169" i="38"/>
  <c r="F169" i="38"/>
  <c r="E169" i="38"/>
  <c r="D169" i="38"/>
  <c r="G168" i="38"/>
  <c r="F168" i="38"/>
  <c r="E168" i="38"/>
  <c r="D168" i="38"/>
  <c r="G167" i="38"/>
  <c r="F167" i="38"/>
  <c r="E167" i="38"/>
  <c r="D167" i="38"/>
  <c r="G166" i="38"/>
  <c r="F166" i="38"/>
  <c r="E166" i="38"/>
  <c r="D166" i="38"/>
  <c r="G165" i="38"/>
  <c r="F165" i="38"/>
  <c r="E165" i="38"/>
  <c r="D165" i="38"/>
  <c r="G164" i="38"/>
  <c r="F164" i="38"/>
  <c r="E164" i="38"/>
  <c r="D164" i="38"/>
  <c r="G163" i="38"/>
  <c r="F163" i="38"/>
  <c r="E163" i="38"/>
  <c r="D163" i="38"/>
  <c r="G162" i="38"/>
  <c r="F162" i="38"/>
  <c r="E162" i="38"/>
  <c r="D162" i="38"/>
  <c r="G161" i="38"/>
  <c r="F161" i="38"/>
  <c r="E161" i="38"/>
  <c r="D161" i="38"/>
  <c r="G160" i="38"/>
  <c r="F160" i="38"/>
  <c r="E160" i="38"/>
  <c r="D160" i="38"/>
  <c r="G159" i="38"/>
  <c r="F159" i="38"/>
  <c r="E159" i="38"/>
  <c r="D159" i="38"/>
  <c r="G158" i="38"/>
  <c r="F158" i="38"/>
  <c r="E158" i="38"/>
  <c r="D158" i="38"/>
  <c r="G157" i="38"/>
  <c r="F157" i="38"/>
  <c r="E157" i="38"/>
  <c r="D157" i="38"/>
  <c r="G156" i="38"/>
  <c r="F156" i="38"/>
  <c r="E156" i="38"/>
  <c r="D156" i="38"/>
  <c r="G155" i="38"/>
  <c r="F155" i="38"/>
  <c r="E155" i="38"/>
  <c r="D155" i="38"/>
  <c r="G154" i="38"/>
  <c r="F154" i="38"/>
  <c r="E154" i="38"/>
  <c r="D154" i="38"/>
  <c r="G153" i="38"/>
  <c r="F153" i="38"/>
  <c r="E153" i="38"/>
  <c r="D153" i="38"/>
  <c r="G152" i="38"/>
  <c r="F152" i="38"/>
  <c r="E152" i="38"/>
  <c r="D152" i="38"/>
  <c r="G151" i="38"/>
  <c r="F151" i="38"/>
  <c r="E151" i="38"/>
  <c r="D151" i="38"/>
  <c r="G150" i="38"/>
  <c r="F150" i="38"/>
  <c r="E150" i="38"/>
  <c r="D150" i="38"/>
  <c r="G149" i="38"/>
  <c r="F149" i="38"/>
  <c r="E149" i="38"/>
  <c r="D149" i="38"/>
  <c r="G148" i="38"/>
  <c r="F148" i="38"/>
  <c r="E148" i="38"/>
  <c r="D148" i="38"/>
  <c r="G147" i="38"/>
  <c r="F147" i="38"/>
  <c r="E147" i="38"/>
  <c r="D147" i="38"/>
  <c r="G146" i="38"/>
  <c r="F146" i="38"/>
  <c r="E146" i="38"/>
  <c r="D146" i="38"/>
  <c r="G145" i="38"/>
  <c r="F145" i="38"/>
  <c r="E145" i="38"/>
  <c r="D145" i="38"/>
  <c r="G144" i="38"/>
  <c r="F144" i="38"/>
  <c r="E144" i="38"/>
  <c r="D144" i="38"/>
  <c r="G139" i="38"/>
  <c r="F139" i="38"/>
  <c r="E139" i="38"/>
  <c r="D139" i="38"/>
  <c r="G138" i="38"/>
  <c r="F138" i="38"/>
  <c r="E138" i="38"/>
  <c r="D138" i="38"/>
  <c r="G137" i="38"/>
  <c r="F137" i="38"/>
  <c r="E137" i="38"/>
  <c r="D137" i="38"/>
  <c r="G136" i="38"/>
  <c r="F136" i="38"/>
  <c r="E136" i="38"/>
  <c r="D136" i="38"/>
  <c r="G135" i="38"/>
  <c r="F135" i="38"/>
  <c r="E135" i="38"/>
  <c r="D135" i="38"/>
  <c r="G134" i="38"/>
  <c r="F134" i="38"/>
  <c r="E134" i="38"/>
  <c r="D134" i="38"/>
  <c r="G133" i="38"/>
  <c r="F133" i="38"/>
  <c r="E133" i="38"/>
  <c r="D133" i="38"/>
  <c r="G132" i="38"/>
  <c r="F132" i="38"/>
  <c r="E132" i="38"/>
  <c r="D132" i="38"/>
  <c r="G131" i="38"/>
  <c r="F131" i="38"/>
  <c r="E131" i="38"/>
  <c r="D131" i="38"/>
  <c r="G130" i="38"/>
  <c r="F130" i="38"/>
  <c r="E130" i="38"/>
  <c r="D130" i="38"/>
  <c r="G129" i="38"/>
  <c r="F129" i="38"/>
  <c r="E129" i="38"/>
  <c r="D129" i="38"/>
  <c r="G128" i="38"/>
  <c r="F128" i="38"/>
  <c r="E128" i="38"/>
  <c r="D128" i="38"/>
  <c r="G127" i="38"/>
  <c r="F127" i="38"/>
  <c r="E127" i="38"/>
  <c r="D127" i="38"/>
  <c r="G126" i="38"/>
  <c r="F126" i="38"/>
  <c r="E126" i="38"/>
  <c r="D126" i="38"/>
  <c r="G125" i="38"/>
  <c r="F125" i="38"/>
  <c r="E125" i="38"/>
  <c r="D125" i="38"/>
  <c r="G124" i="38"/>
  <c r="F124" i="38"/>
  <c r="E124" i="38"/>
  <c r="D124" i="38"/>
  <c r="G123" i="38"/>
  <c r="F123" i="38"/>
  <c r="E123" i="38"/>
  <c r="D123" i="38"/>
  <c r="G122" i="38"/>
  <c r="F122" i="38"/>
  <c r="E122" i="38"/>
  <c r="D122" i="38"/>
  <c r="G121" i="38"/>
  <c r="F121" i="38"/>
  <c r="E121" i="38"/>
  <c r="D121" i="38"/>
  <c r="G120" i="38"/>
  <c r="F120" i="38"/>
  <c r="E120" i="38"/>
  <c r="D120" i="38"/>
  <c r="G119" i="38"/>
  <c r="F119" i="38"/>
  <c r="E119" i="38"/>
  <c r="D119" i="38"/>
  <c r="G118" i="38"/>
  <c r="F118" i="38"/>
  <c r="E118" i="38"/>
  <c r="D118" i="38"/>
  <c r="G117" i="38"/>
  <c r="F117" i="38"/>
  <c r="E117" i="38"/>
  <c r="D117" i="38"/>
  <c r="G116" i="38"/>
  <c r="F116" i="38"/>
  <c r="E116" i="38"/>
  <c r="D116" i="38"/>
  <c r="G115" i="38"/>
  <c r="F115" i="38"/>
  <c r="E115" i="38"/>
  <c r="D115" i="38"/>
  <c r="G114" i="38"/>
  <c r="F114" i="38"/>
  <c r="E114" i="38"/>
  <c r="D114" i="38"/>
  <c r="G113" i="38"/>
  <c r="F113" i="38"/>
  <c r="E113" i="38"/>
  <c r="D113" i="38"/>
  <c r="G112" i="38"/>
  <c r="F112" i="38"/>
  <c r="E112" i="38"/>
  <c r="D112" i="38"/>
  <c r="G111" i="38"/>
  <c r="F111" i="38"/>
  <c r="E111" i="38"/>
  <c r="D111" i="38"/>
  <c r="G110" i="38"/>
  <c r="F110" i="38"/>
  <c r="E110" i="38"/>
  <c r="D110" i="38"/>
  <c r="G109" i="38"/>
  <c r="F109" i="38"/>
  <c r="E109" i="38"/>
  <c r="D109" i="38"/>
  <c r="G108" i="38"/>
  <c r="F108" i="38"/>
  <c r="E108" i="38"/>
  <c r="D108" i="38"/>
  <c r="G107" i="38"/>
  <c r="F107" i="38"/>
  <c r="E107" i="38"/>
  <c r="D107" i="38"/>
  <c r="G106" i="38"/>
  <c r="F106" i="38"/>
  <c r="E106" i="38"/>
  <c r="D106" i="38"/>
  <c r="G105" i="38"/>
  <c r="F105" i="38"/>
  <c r="E105" i="38"/>
  <c r="D105" i="38"/>
  <c r="G104" i="38"/>
  <c r="F104" i="38"/>
  <c r="E104" i="38"/>
  <c r="D104" i="38"/>
  <c r="G103" i="38"/>
  <c r="F103" i="38"/>
  <c r="E103" i="38"/>
  <c r="D103" i="38"/>
  <c r="G102" i="38"/>
  <c r="F102" i="38"/>
  <c r="E102" i="38"/>
  <c r="D102" i="38"/>
  <c r="G101" i="38"/>
  <c r="F101" i="38"/>
  <c r="E101" i="38"/>
  <c r="D101" i="38"/>
  <c r="G100" i="38"/>
  <c r="F100" i="38"/>
  <c r="E100" i="38"/>
  <c r="D100" i="38"/>
  <c r="G99" i="38"/>
  <c r="F99" i="38"/>
  <c r="E99" i="38"/>
  <c r="D99" i="38"/>
  <c r="G98" i="38"/>
  <c r="F98" i="38"/>
  <c r="E98" i="38"/>
  <c r="D98" i="38"/>
  <c r="G93" i="38"/>
  <c r="F93" i="38"/>
  <c r="E93" i="38"/>
  <c r="D93" i="38"/>
  <c r="G92" i="38"/>
  <c r="F92" i="38"/>
  <c r="E92" i="38"/>
  <c r="D92" i="38"/>
  <c r="G91" i="38"/>
  <c r="F91" i="38"/>
  <c r="E91" i="38"/>
  <c r="D91" i="38"/>
  <c r="G90" i="38"/>
  <c r="F90" i="38"/>
  <c r="E90" i="38"/>
  <c r="D90" i="38"/>
  <c r="G89" i="38"/>
  <c r="F89" i="38"/>
  <c r="E89" i="38"/>
  <c r="D89" i="38"/>
  <c r="G88" i="38"/>
  <c r="F88" i="38"/>
  <c r="E88" i="38"/>
  <c r="D88" i="38"/>
  <c r="G87" i="38"/>
  <c r="F87" i="38"/>
  <c r="E87" i="38"/>
  <c r="D87" i="38"/>
  <c r="G86" i="38"/>
  <c r="F86" i="38"/>
  <c r="E86" i="38"/>
  <c r="D86" i="38"/>
  <c r="G85" i="38"/>
  <c r="F85" i="38"/>
  <c r="E85" i="38"/>
  <c r="D85" i="38"/>
  <c r="G84" i="38"/>
  <c r="F84" i="38"/>
  <c r="E84" i="38"/>
  <c r="D84" i="38"/>
  <c r="G83" i="38"/>
  <c r="F83" i="38"/>
  <c r="E83" i="38"/>
  <c r="D83" i="38"/>
  <c r="G82" i="38"/>
  <c r="F82" i="38"/>
  <c r="E82" i="38"/>
  <c r="D82" i="38"/>
  <c r="G81" i="38"/>
  <c r="F81" i="38"/>
  <c r="E81" i="38"/>
  <c r="D81" i="38"/>
  <c r="G80" i="38"/>
  <c r="F80" i="38"/>
  <c r="E80" i="38"/>
  <c r="D80" i="38"/>
  <c r="G79" i="38"/>
  <c r="F79" i="38"/>
  <c r="E79" i="38"/>
  <c r="D79" i="38"/>
  <c r="G78" i="38"/>
  <c r="F78" i="38"/>
  <c r="E78" i="38"/>
  <c r="D78" i="38"/>
  <c r="G77" i="38"/>
  <c r="F77" i="38"/>
  <c r="E77" i="38"/>
  <c r="D77" i="38"/>
  <c r="G76" i="38"/>
  <c r="F76" i="38"/>
  <c r="E76" i="38"/>
  <c r="D76" i="38"/>
  <c r="G75" i="38"/>
  <c r="F75" i="38"/>
  <c r="E75" i="38"/>
  <c r="D75" i="38"/>
  <c r="G74" i="38"/>
  <c r="F74" i="38"/>
  <c r="E74" i="38"/>
  <c r="D74" i="38"/>
  <c r="G73" i="38"/>
  <c r="F73" i="38"/>
  <c r="E73" i="38"/>
  <c r="D73" i="38"/>
  <c r="G72" i="38"/>
  <c r="F72" i="38"/>
  <c r="E72" i="38"/>
  <c r="D72" i="38"/>
  <c r="G71" i="38"/>
  <c r="F71" i="38"/>
  <c r="E71" i="38"/>
  <c r="D71" i="38"/>
  <c r="G70" i="38"/>
  <c r="F70" i="38"/>
  <c r="E70" i="38"/>
  <c r="D70" i="38"/>
  <c r="G69" i="38"/>
  <c r="F69" i="38"/>
  <c r="E69" i="38"/>
  <c r="D69" i="38"/>
  <c r="G68" i="38"/>
  <c r="F68" i="38"/>
  <c r="E68" i="38"/>
  <c r="D68" i="38"/>
  <c r="G67" i="38"/>
  <c r="F67" i="38"/>
  <c r="E67" i="38"/>
  <c r="D67" i="38"/>
  <c r="G66" i="38"/>
  <c r="F66" i="38"/>
  <c r="E66" i="38"/>
  <c r="D66" i="38"/>
  <c r="G65" i="38"/>
  <c r="F65" i="38"/>
  <c r="E65" i="38"/>
  <c r="D65" i="38"/>
  <c r="G64" i="38"/>
  <c r="F64" i="38"/>
  <c r="E64" i="38"/>
  <c r="D64" i="38"/>
  <c r="G63" i="38"/>
  <c r="F63" i="38"/>
  <c r="E63" i="38"/>
  <c r="D63" i="38"/>
  <c r="G62" i="38"/>
  <c r="F62" i="38"/>
  <c r="E62" i="38"/>
  <c r="D62" i="38"/>
  <c r="G61" i="38"/>
  <c r="F61" i="38"/>
  <c r="E61" i="38"/>
  <c r="D61" i="38"/>
  <c r="G60" i="38"/>
  <c r="F60" i="38"/>
  <c r="E60" i="38"/>
  <c r="D60" i="38"/>
  <c r="G59" i="38"/>
  <c r="F59" i="38"/>
  <c r="E59" i="38"/>
  <c r="D59" i="38"/>
  <c r="G58" i="38"/>
  <c r="F58" i="38"/>
  <c r="E58" i="38"/>
  <c r="D58" i="38"/>
  <c r="G57" i="38"/>
  <c r="F57" i="38"/>
  <c r="E57" i="38"/>
  <c r="D57" i="38"/>
  <c r="G56" i="38"/>
  <c r="F56" i="38"/>
  <c r="E56" i="38"/>
  <c r="D56" i="38"/>
  <c r="G55" i="38"/>
  <c r="F55" i="38"/>
  <c r="E55" i="38"/>
  <c r="D55" i="38"/>
  <c r="G54" i="38"/>
  <c r="F54" i="38"/>
  <c r="E54" i="38"/>
  <c r="D54" i="38"/>
  <c r="G53" i="38"/>
  <c r="F53" i="38"/>
  <c r="E53" i="38"/>
  <c r="D53" i="38"/>
  <c r="G52" i="38"/>
  <c r="F52" i="38"/>
  <c r="E52" i="38"/>
  <c r="D52" i="38"/>
  <c r="G47" i="38"/>
  <c r="F47" i="38"/>
  <c r="E47" i="38"/>
  <c r="D47" i="38"/>
  <c r="G46" i="38"/>
  <c r="F46" i="38"/>
  <c r="E46" i="38"/>
  <c r="D46" i="38"/>
  <c r="G45" i="38"/>
  <c r="F45" i="38"/>
  <c r="E45" i="38"/>
  <c r="D45" i="38"/>
  <c r="G44" i="38"/>
  <c r="F44" i="38"/>
  <c r="E44" i="38"/>
  <c r="D44" i="38"/>
  <c r="G43" i="38"/>
  <c r="F43" i="38"/>
  <c r="E43" i="38"/>
  <c r="D43" i="38"/>
  <c r="G42" i="38"/>
  <c r="F42" i="38"/>
  <c r="E42" i="38"/>
  <c r="D42" i="38"/>
  <c r="G41" i="38"/>
  <c r="F41" i="38"/>
  <c r="E41" i="38"/>
  <c r="D41" i="38"/>
  <c r="G40" i="38"/>
  <c r="F40" i="38"/>
  <c r="E40" i="38"/>
  <c r="D40" i="38"/>
  <c r="G39" i="38"/>
  <c r="F39" i="38"/>
  <c r="E39" i="38"/>
  <c r="D39" i="38"/>
  <c r="G38" i="38"/>
  <c r="F38" i="38"/>
  <c r="E38" i="38"/>
  <c r="D38" i="38"/>
  <c r="G37" i="38"/>
  <c r="F37" i="38"/>
  <c r="E37" i="38"/>
  <c r="D37" i="38"/>
  <c r="G36" i="38"/>
  <c r="F36" i="38"/>
  <c r="E36" i="38"/>
  <c r="D36" i="38"/>
  <c r="G35" i="38"/>
  <c r="F35" i="38"/>
  <c r="E35" i="38"/>
  <c r="D35" i="38"/>
  <c r="G34" i="38"/>
  <c r="F34" i="38"/>
  <c r="E34" i="38"/>
  <c r="D34" i="38"/>
  <c r="G33" i="38"/>
  <c r="F33" i="38"/>
  <c r="E33" i="38"/>
  <c r="D33" i="38"/>
  <c r="G32" i="38"/>
  <c r="F32" i="38"/>
  <c r="E32" i="38"/>
  <c r="D32" i="38"/>
  <c r="G31" i="38"/>
  <c r="F31" i="38"/>
  <c r="E31" i="38"/>
  <c r="D31" i="38"/>
  <c r="G30" i="38"/>
  <c r="F30" i="38"/>
  <c r="E30" i="38"/>
  <c r="D30" i="38"/>
  <c r="G29" i="38"/>
  <c r="F29" i="38"/>
  <c r="E29" i="38"/>
  <c r="D29" i="38"/>
  <c r="G28" i="38"/>
  <c r="F28" i="38"/>
  <c r="E28" i="38"/>
  <c r="D28" i="38"/>
  <c r="G27" i="38"/>
  <c r="F27" i="38"/>
  <c r="E27" i="38"/>
  <c r="D27" i="38"/>
  <c r="G26" i="38"/>
  <c r="F26" i="38"/>
  <c r="E26" i="38"/>
  <c r="D26" i="38"/>
  <c r="G25" i="38"/>
  <c r="F25" i="38"/>
  <c r="E25" i="38"/>
  <c r="D25" i="38"/>
  <c r="G24" i="38"/>
  <c r="F24" i="38"/>
  <c r="E24" i="38"/>
  <c r="D24" i="38"/>
  <c r="G23" i="38"/>
  <c r="F23" i="38"/>
  <c r="E23" i="38"/>
  <c r="D23" i="38"/>
  <c r="G22" i="38"/>
  <c r="F22" i="38"/>
  <c r="E22" i="38"/>
  <c r="D22" i="38"/>
  <c r="G21" i="38"/>
  <c r="F21" i="38"/>
  <c r="E21" i="38"/>
  <c r="D21" i="38"/>
  <c r="G20" i="38"/>
  <c r="F20" i="38"/>
  <c r="E20" i="38"/>
  <c r="D20" i="38"/>
  <c r="G19" i="38"/>
  <c r="F19" i="38"/>
  <c r="E19" i="38"/>
  <c r="D19" i="38"/>
  <c r="G18" i="38"/>
  <c r="F18" i="38"/>
  <c r="E18" i="38"/>
  <c r="D18" i="38"/>
  <c r="G17" i="38"/>
  <c r="F17" i="38"/>
  <c r="E17" i="38"/>
  <c r="D17" i="38"/>
  <c r="G16" i="38"/>
  <c r="F16" i="38"/>
  <c r="E16" i="38"/>
  <c r="D16" i="38"/>
  <c r="G15" i="38"/>
  <c r="F15" i="38"/>
  <c r="E15" i="38"/>
  <c r="D15" i="38"/>
  <c r="G14" i="38"/>
  <c r="F14" i="38"/>
  <c r="E14" i="38"/>
  <c r="D14" i="38"/>
  <c r="G13" i="38"/>
  <c r="F13" i="38"/>
  <c r="E13" i="38"/>
  <c r="D13" i="38"/>
  <c r="G12" i="38"/>
  <c r="F12" i="38"/>
  <c r="E12" i="38"/>
  <c r="D12" i="38"/>
  <c r="G11" i="38"/>
  <c r="F11" i="38"/>
  <c r="E11" i="38"/>
  <c r="D11" i="38"/>
  <c r="G10" i="38"/>
  <c r="F10" i="38"/>
  <c r="E10" i="38"/>
  <c r="D10" i="38"/>
  <c r="G9" i="38"/>
  <c r="F9" i="38"/>
  <c r="E9" i="38"/>
  <c r="D9" i="38"/>
  <c r="B347" i="38"/>
  <c r="B346" i="38"/>
  <c r="B345" i="38"/>
  <c r="B344" i="38"/>
  <c r="B343" i="38"/>
  <c r="B342" i="38"/>
  <c r="B341" i="38"/>
  <c r="B340" i="38"/>
  <c r="B339" i="38"/>
  <c r="B338" i="38"/>
  <c r="B337" i="38"/>
  <c r="B336" i="38"/>
  <c r="B335" i="38"/>
  <c r="B334" i="38"/>
  <c r="B333" i="38"/>
  <c r="B332" i="38"/>
  <c r="B331" i="38"/>
  <c r="B330" i="38"/>
  <c r="B329" i="38"/>
  <c r="B328" i="38"/>
  <c r="B323" i="38"/>
  <c r="B322" i="38"/>
  <c r="B321" i="38"/>
  <c r="B320" i="38"/>
  <c r="B319" i="38"/>
  <c r="B318" i="38"/>
  <c r="B317" i="38"/>
  <c r="B316" i="38"/>
  <c r="B315" i="38"/>
  <c r="B314" i="38"/>
  <c r="B313" i="38"/>
  <c r="B312" i="38"/>
  <c r="B311" i="38"/>
  <c r="B310" i="38"/>
  <c r="B309" i="38"/>
  <c r="B308" i="38"/>
  <c r="B307" i="38"/>
  <c r="B306" i="38"/>
  <c r="B305" i="38"/>
  <c r="B304" i="38"/>
  <c r="B303" i="38"/>
  <c r="B302" i="38"/>
  <c r="B301" i="38"/>
  <c r="B300" i="38"/>
  <c r="B299" i="38"/>
  <c r="B298" i="38"/>
  <c r="B297" i="38"/>
  <c r="B296" i="38"/>
  <c r="B295" i="38"/>
  <c r="B294" i="38"/>
  <c r="B293" i="38"/>
  <c r="B292" i="38"/>
  <c r="B291" i="38"/>
  <c r="B290" i="38"/>
  <c r="B289" i="38"/>
  <c r="B288" i="38"/>
  <c r="B287" i="38"/>
  <c r="B286" i="38"/>
  <c r="B285" i="38"/>
  <c r="B284" i="38"/>
  <c r="B283" i="38"/>
  <c r="B282" i="38"/>
  <c r="B277" i="38"/>
  <c r="B276" i="38"/>
  <c r="B275" i="38"/>
  <c r="B274" i="38"/>
  <c r="B273" i="38"/>
  <c r="B272" i="38"/>
  <c r="B271" i="38"/>
  <c r="B270" i="38"/>
  <c r="B269" i="38"/>
  <c r="B268" i="38"/>
  <c r="B267" i="38"/>
  <c r="B266" i="38"/>
  <c r="B265" i="38"/>
  <c r="B264" i="38"/>
  <c r="B263" i="38"/>
  <c r="B262" i="38"/>
  <c r="B261" i="38"/>
  <c r="B260" i="38"/>
  <c r="B259" i="38"/>
  <c r="B258" i="38"/>
  <c r="B257" i="38"/>
  <c r="B256" i="38"/>
  <c r="B255" i="38"/>
  <c r="B254" i="38"/>
  <c r="B253" i="38"/>
  <c r="B252" i="38"/>
  <c r="B251" i="38"/>
  <c r="B250" i="38"/>
  <c r="B249" i="38"/>
  <c r="B248" i="38"/>
  <c r="B247" i="38"/>
  <c r="B246" i="38"/>
  <c r="B245" i="38"/>
  <c r="B244" i="38"/>
  <c r="B243" i="38"/>
  <c r="B242" i="38"/>
  <c r="B241" i="38"/>
  <c r="B240" i="38"/>
  <c r="B239" i="38"/>
  <c r="B238" i="38"/>
  <c r="B237" i="38"/>
  <c r="B236" i="38"/>
  <c r="B231" i="38"/>
  <c r="B230" i="38"/>
  <c r="B229" i="38"/>
  <c r="B228" i="38"/>
  <c r="B227" i="38"/>
  <c r="B226" i="38"/>
  <c r="B225" i="38"/>
  <c r="B224" i="38"/>
  <c r="B223" i="38"/>
  <c r="B222" i="38"/>
  <c r="B221" i="38"/>
  <c r="B220" i="38"/>
  <c r="B219" i="38"/>
  <c r="B218" i="38"/>
  <c r="B217" i="38"/>
  <c r="B216" i="38"/>
  <c r="B215" i="38"/>
  <c r="B214" i="38"/>
  <c r="B213" i="38"/>
  <c r="B212" i="38"/>
  <c r="B211" i="38"/>
  <c r="B210" i="38"/>
  <c r="B209" i="38"/>
  <c r="B208" i="38"/>
  <c r="B207" i="38"/>
  <c r="B206" i="38"/>
  <c r="B205" i="38"/>
  <c r="B204" i="38"/>
  <c r="B203" i="38"/>
  <c r="B202" i="38"/>
  <c r="B201" i="38"/>
  <c r="B200" i="38"/>
  <c r="B199" i="38"/>
  <c r="B198" i="38"/>
  <c r="B197" i="38"/>
  <c r="B196" i="38"/>
  <c r="B195" i="38"/>
  <c r="B194" i="38"/>
  <c r="B193" i="38"/>
  <c r="B192" i="38"/>
  <c r="B191" i="38"/>
  <c r="B190" i="38"/>
  <c r="B185" i="38"/>
  <c r="B184" i="38"/>
  <c r="B183" i="38"/>
  <c r="B182" i="38"/>
  <c r="B181" i="38"/>
  <c r="B180" i="38"/>
  <c r="B179" i="38"/>
  <c r="B178" i="38"/>
  <c r="B177" i="38"/>
  <c r="B176" i="38"/>
  <c r="B175" i="38"/>
  <c r="B174" i="38"/>
  <c r="B173" i="38"/>
  <c r="B172" i="38"/>
  <c r="B171" i="38"/>
  <c r="B170" i="38"/>
  <c r="B169" i="38"/>
  <c r="B168" i="38"/>
  <c r="B167" i="38"/>
  <c r="B166" i="38"/>
  <c r="B165" i="38"/>
  <c r="B164" i="38"/>
  <c r="B163" i="38"/>
  <c r="B162" i="38"/>
  <c r="B161" i="38"/>
  <c r="B160" i="38"/>
  <c r="B159" i="38"/>
  <c r="B158" i="38"/>
  <c r="B157" i="38"/>
  <c r="B156" i="38"/>
  <c r="B155" i="38"/>
  <c r="B154" i="38"/>
  <c r="B153" i="38"/>
  <c r="B152" i="38"/>
  <c r="B151" i="38"/>
  <c r="B150" i="38"/>
  <c r="B149" i="38"/>
  <c r="B148" i="38"/>
  <c r="B147" i="38"/>
  <c r="B146" i="38"/>
  <c r="B145" i="38"/>
  <c r="B144" i="38"/>
  <c r="B139" i="38"/>
  <c r="B138" i="38"/>
  <c r="B137" i="38"/>
  <c r="B136" i="38"/>
  <c r="B135" i="38"/>
  <c r="B134" i="38"/>
  <c r="B133" i="38"/>
  <c r="B132" i="38"/>
  <c r="B131" i="38"/>
  <c r="B130" i="38"/>
  <c r="B129" i="38"/>
  <c r="B128" i="38"/>
  <c r="B127" i="38"/>
  <c r="B126" i="38"/>
  <c r="B125" i="38"/>
  <c r="B124" i="38"/>
  <c r="B123" i="38"/>
  <c r="B122" i="38"/>
  <c r="B121" i="38"/>
  <c r="B120" i="38"/>
  <c r="B119" i="38"/>
  <c r="B118" i="38"/>
  <c r="B117" i="38"/>
  <c r="B116" i="38"/>
  <c r="B115" i="38"/>
  <c r="B114" i="38"/>
  <c r="B113" i="38"/>
  <c r="B112" i="38"/>
  <c r="B111" i="38"/>
  <c r="B110" i="38"/>
  <c r="B109" i="38"/>
  <c r="B108" i="38"/>
  <c r="B107" i="38"/>
  <c r="B106" i="38"/>
  <c r="B105" i="38"/>
  <c r="B104" i="38"/>
  <c r="B103" i="38"/>
  <c r="B102" i="38"/>
  <c r="B101" i="38"/>
  <c r="B100" i="38"/>
  <c r="B99" i="38"/>
  <c r="B98" i="38"/>
  <c r="B93" i="38"/>
  <c r="B92" i="38"/>
  <c r="B91" i="38"/>
  <c r="B90" i="38"/>
  <c r="B89" i="38"/>
  <c r="B88" i="38"/>
  <c r="B87" i="38"/>
  <c r="B86" i="38"/>
  <c r="B85" i="38"/>
  <c r="B84" i="38"/>
  <c r="B83" i="38"/>
  <c r="B82" i="38"/>
  <c r="B81" i="38"/>
  <c r="B80" i="38"/>
  <c r="B79" i="38"/>
  <c r="B78" i="38"/>
  <c r="B77" i="38"/>
  <c r="B76" i="38"/>
  <c r="B75" i="38"/>
  <c r="B74" i="38"/>
  <c r="B73" i="38"/>
  <c r="B72" i="38"/>
  <c r="B71" i="38"/>
  <c r="B70" i="38"/>
  <c r="B69" i="38"/>
  <c r="B68" i="38"/>
  <c r="B67" i="38"/>
  <c r="B66" i="38"/>
  <c r="B65" i="38"/>
  <c r="B64" i="38"/>
  <c r="B63" i="38"/>
  <c r="B62" i="38"/>
  <c r="B61" i="38"/>
  <c r="B60" i="38"/>
  <c r="B59" i="38"/>
  <c r="B58" i="38"/>
  <c r="B57" i="38"/>
  <c r="B56" i="38"/>
  <c r="B55" i="38"/>
  <c r="B54" i="38"/>
  <c r="B53" i="38"/>
  <c r="B52" i="38"/>
  <c r="B47" i="38"/>
  <c r="B46" i="38"/>
  <c r="B45" i="38"/>
  <c r="B44" i="38"/>
  <c r="B43" i="38"/>
  <c r="B42" i="38"/>
  <c r="B41" i="38"/>
  <c r="B40" i="38"/>
  <c r="B39" i="38"/>
  <c r="B38" i="38"/>
  <c r="B37" i="38"/>
  <c r="B36" i="38"/>
  <c r="B35" i="38"/>
  <c r="B34" i="38"/>
  <c r="B33" i="38"/>
  <c r="B32" i="38"/>
  <c r="B31" i="38"/>
  <c r="B30" i="38"/>
  <c r="B29" i="38"/>
  <c r="B28" i="38"/>
  <c r="B27" i="38"/>
  <c r="B26" i="38"/>
  <c r="B25" i="38"/>
  <c r="B24" i="38"/>
  <c r="B23" i="38"/>
  <c r="B22" i="38"/>
  <c r="B21" i="38"/>
  <c r="B20" i="38"/>
  <c r="B19" i="38"/>
  <c r="B18" i="38"/>
  <c r="B17" i="38"/>
  <c r="B16" i="38"/>
  <c r="B15" i="38"/>
  <c r="B14" i="38"/>
  <c r="B13" i="38"/>
  <c r="B12" i="38"/>
  <c r="B11" i="38"/>
  <c r="B10" i="38"/>
  <c r="F7" i="38"/>
  <c r="E7" i="38"/>
  <c r="D7" i="38"/>
  <c r="F6" i="38"/>
  <c r="E6" i="38"/>
  <c r="D6" i="38"/>
  <c r="B9" i="38"/>
  <c r="D75" i="35"/>
  <c r="E75" i="35"/>
  <c r="D76" i="35"/>
  <c r="E76" i="35"/>
  <c r="C80" i="35"/>
  <c r="E80" i="35"/>
  <c r="C81" i="35"/>
  <c r="E81" i="35"/>
  <c r="C85" i="35"/>
  <c r="C86" i="35" s="1"/>
  <c r="D85" i="35"/>
  <c r="D86" i="35"/>
  <c r="K52" i="35"/>
  <c r="J52" i="35"/>
  <c r="I52" i="35"/>
  <c r="H52" i="35"/>
  <c r="G52" i="35"/>
  <c r="F52" i="35"/>
  <c r="E52" i="35"/>
  <c r="D52" i="35"/>
  <c r="C52" i="35"/>
  <c r="K51" i="35"/>
  <c r="K55" i="35" s="1"/>
  <c r="J51" i="35"/>
  <c r="J55" i="35" s="1"/>
  <c r="I51" i="35"/>
  <c r="H51" i="35"/>
  <c r="G51" i="35"/>
  <c r="F51" i="35"/>
  <c r="F55" i="35" s="1"/>
  <c r="F57" i="35" s="1"/>
  <c r="E51" i="35"/>
  <c r="E55" i="35" s="1"/>
  <c r="D51" i="35"/>
  <c r="D55" i="35" s="1"/>
  <c r="C51" i="35"/>
  <c r="C55" i="35" s="1"/>
  <c r="K50" i="35"/>
  <c r="J50" i="35"/>
  <c r="I50" i="35"/>
  <c r="H50" i="35"/>
  <c r="G50" i="35"/>
  <c r="F50" i="35"/>
  <c r="E50" i="35"/>
  <c r="D50" i="35"/>
  <c r="C50" i="35"/>
  <c r="B50" i="35"/>
  <c r="K49" i="35"/>
  <c r="J49" i="35"/>
  <c r="I49" i="35"/>
  <c r="H49" i="35"/>
  <c r="G49" i="35"/>
  <c r="F49" i="35"/>
  <c r="E49" i="35"/>
  <c r="D49" i="35"/>
  <c r="C49" i="35"/>
  <c r="B49" i="35"/>
  <c r="K37" i="35"/>
  <c r="J37" i="35"/>
  <c r="I37" i="35"/>
  <c r="H37" i="35"/>
  <c r="G37" i="35"/>
  <c r="F37" i="35"/>
  <c r="E37" i="35"/>
  <c r="D37" i="35"/>
  <c r="C37" i="35"/>
  <c r="K36" i="35"/>
  <c r="K40" i="35" s="1"/>
  <c r="K42" i="35" s="1"/>
  <c r="J36" i="35"/>
  <c r="I36" i="35"/>
  <c r="I40" i="35" s="1"/>
  <c r="I42" i="35" s="1"/>
  <c r="H36" i="35"/>
  <c r="G36" i="35"/>
  <c r="F36" i="35"/>
  <c r="F40" i="35" s="1"/>
  <c r="E36" i="35"/>
  <c r="E40" i="35" s="1"/>
  <c r="D36" i="35"/>
  <c r="C36" i="35"/>
  <c r="C40" i="35" s="1"/>
  <c r="C42" i="35" s="1"/>
  <c r="K35" i="35"/>
  <c r="J35" i="35"/>
  <c r="I35" i="35"/>
  <c r="H35" i="35"/>
  <c r="G35" i="35"/>
  <c r="F35" i="35"/>
  <c r="E35" i="35"/>
  <c r="D35" i="35"/>
  <c r="C35" i="35"/>
  <c r="B35" i="35"/>
  <c r="C41" i="35" s="1"/>
  <c r="K34" i="35"/>
  <c r="J34" i="35"/>
  <c r="I34" i="35"/>
  <c r="H34" i="35"/>
  <c r="G34" i="35"/>
  <c r="F34" i="35"/>
  <c r="E34" i="35"/>
  <c r="D34" i="35"/>
  <c r="C34" i="35"/>
  <c r="B34" i="35"/>
  <c r="K22" i="35"/>
  <c r="J22" i="35"/>
  <c r="I22" i="35"/>
  <c r="H22" i="35"/>
  <c r="G22" i="35"/>
  <c r="F22" i="35"/>
  <c r="E22" i="35"/>
  <c r="D22" i="35"/>
  <c r="C22" i="35"/>
  <c r="K21" i="35"/>
  <c r="K25" i="35" s="1"/>
  <c r="J21" i="35"/>
  <c r="J25" i="35" s="1"/>
  <c r="I21" i="35"/>
  <c r="I25" i="35" s="1"/>
  <c r="I27" i="35" s="1"/>
  <c r="H21" i="35"/>
  <c r="G21" i="35"/>
  <c r="F21" i="35"/>
  <c r="F25" i="35" s="1"/>
  <c r="F27" i="35" s="1"/>
  <c r="E21" i="35"/>
  <c r="D21" i="35"/>
  <c r="C21" i="35"/>
  <c r="C25" i="35" s="1"/>
  <c r="K20" i="35"/>
  <c r="J20" i="35"/>
  <c r="I20" i="35"/>
  <c r="H20" i="35"/>
  <c r="G20" i="35"/>
  <c r="F20" i="35"/>
  <c r="E20" i="35"/>
  <c r="D20" i="35"/>
  <c r="C20" i="35"/>
  <c r="B20" i="35"/>
  <c r="D26" i="35" s="1"/>
  <c r="K19" i="35"/>
  <c r="J19" i="35"/>
  <c r="I19" i="35"/>
  <c r="H19" i="35"/>
  <c r="G19" i="35"/>
  <c r="F19" i="35"/>
  <c r="E19" i="35"/>
  <c r="D19" i="35"/>
  <c r="C19" i="35"/>
  <c r="B19" i="35"/>
  <c r="B13" i="35"/>
  <c r="I9" i="35"/>
  <c r="F9" i="35"/>
  <c r="G9" i="35" s="1"/>
  <c r="H9" i="35" s="1"/>
  <c r="C9" i="35"/>
  <c r="I8" i="35"/>
  <c r="F8" i="35"/>
  <c r="G8" i="35" s="1"/>
  <c r="H8" i="35" s="1"/>
  <c r="C8" i="35"/>
  <c r="D8" i="35" s="1"/>
  <c r="E8" i="35" s="1"/>
  <c r="G25" i="35"/>
  <c r="D40" i="35"/>
  <c r="G40" i="35"/>
  <c r="G55" i="35"/>
  <c r="A4" i="35"/>
  <c r="A5" i="35"/>
  <c r="B5" i="35"/>
  <c r="C5" i="35"/>
  <c r="D5" i="35"/>
  <c r="E5" i="35"/>
  <c r="F5" i="35"/>
  <c r="G5" i="35"/>
  <c r="H5" i="35"/>
  <c r="I5" i="35"/>
  <c r="J5" i="35"/>
  <c r="K5" i="35"/>
  <c r="A6" i="35"/>
  <c r="J8" i="35"/>
  <c r="K8" i="35" s="1"/>
  <c r="J9" i="35"/>
  <c r="K9" i="35" s="1"/>
  <c r="A11" i="35"/>
  <c r="C11" i="35"/>
  <c r="D11" i="35"/>
  <c r="E11" i="35"/>
  <c r="F11" i="35"/>
  <c r="G11" i="35"/>
  <c r="H11" i="35"/>
  <c r="I11" i="35"/>
  <c r="J11" i="35"/>
  <c r="K11" i="35"/>
  <c r="A12" i="35"/>
  <c r="C12" i="35"/>
  <c r="D12" i="35"/>
  <c r="E12" i="35"/>
  <c r="F12" i="35"/>
  <c r="G12" i="35"/>
  <c r="H12" i="35"/>
  <c r="I12" i="35"/>
  <c r="J12" i="35"/>
  <c r="K12" i="35"/>
  <c r="A13" i="35"/>
  <c r="C13" i="35"/>
  <c r="F13" i="35" s="1"/>
  <c r="I13" i="35" s="1"/>
  <c r="F24" i="35"/>
  <c r="G24" i="35"/>
  <c r="H24" i="35"/>
  <c r="I24" i="35"/>
  <c r="J24" i="35"/>
  <c r="J26" i="35" s="1"/>
  <c r="K24" i="35"/>
  <c r="K26" i="35" s="1"/>
  <c r="D25" i="35"/>
  <c r="E25" i="35"/>
  <c r="F39" i="35"/>
  <c r="I39" i="35" s="1"/>
  <c r="I41" i="35" s="1"/>
  <c r="G39" i="35"/>
  <c r="G41" i="35" s="1"/>
  <c r="H39" i="35"/>
  <c r="K39" i="35"/>
  <c r="J40" i="35"/>
  <c r="J42" i="35" s="1"/>
  <c r="H41" i="35"/>
  <c r="C56" i="35"/>
  <c r="H55" i="35"/>
  <c r="F54" i="35"/>
  <c r="F56" i="35" s="1"/>
  <c r="G54" i="35"/>
  <c r="H54" i="35"/>
  <c r="H56" i="35" s="1"/>
  <c r="I54" i="35"/>
  <c r="I56" i="35" s="1"/>
  <c r="J54" i="35"/>
  <c r="J56" i="35" s="1"/>
  <c r="K54" i="35"/>
  <c r="K56" i="35" s="1"/>
  <c r="I55" i="35"/>
  <c r="I57" i="35" s="1"/>
  <c r="K41" i="35" l="1"/>
  <c r="C27" i="35"/>
  <c r="C28" i="35" s="1"/>
  <c r="C29" i="35" s="1"/>
  <c r="K27" i="35"/>
  <c r="K28" i="35" s="1"/>
  <c r="K29" i="35" s="1"/>
  <c r="H26" i="35"/>
  <c r="I58" i="35"/>
  <c r="I59" i="35" s="1"/>
  <c r="C26" i="35"/>
  <c r="G57" i="35"/>
  <c r="F42" i="35"/>
  <c r="F26" i="35"/>
  <c r="F28" i="35" s="1"/>
  <c r="F29" i="35" s="1"/>
  <c r="J39" i="35"/>
  <c r="J41" i="35" s="1"/>
  <c r="J43" i="35" s="1"/>
  <c r="J44" i="35" s="1"/>
  <c r="G42" i="35"/>
  <c r="G43" i="35" s="1"/>
  <c r="G44" i="35" s="1"/>
  <c r="G27" i="35"/>
  <c r="K57" i="35"/>
  <c r="K58" i="35" s="1"/>
  <c r="K59" i="35" s="1"/>
  <c r="I26" i="35"/>
  <c r="I28" i="35" s="1"/>
  <c r="I29" i="35" s="1"/>
  <c r="I43" i="35"/>
  <c r="I44" i="35" s="1"/>
  <c r="F58" i="35"/>
  <c r="F59" i="35" s="1"/>
  <c r="H57" i="35"/>
  <c r="H58" i="35" s="1"/>
  <c r="H59" i="35" s="1"/>
  <c r="H40" i="35"/>
  <c r="H42" i="35" s="1"/>
  <c r="H43" i="35" s="1"/>
  <c r="H44" i="35" s="1"/>
  <c r="H25" i="35"/>
  <c r="H27" i="35" s="1"/>
  <c r="H28" i="35" s="1"/>
  <c r="H29" i="35" s="1"/>
  <c r="D9" i="35"/>
  <c r="D27" i="35" s="1"/>
  <c r="D28" i="35" s="1"/>
  <c r="D29" i="35" s="1"/>
  <c r="C57" i="35"/>
  <c r="C58" i="35" s="1"/>
  <c r="C59" i="35" s="1"/>
  <c r="C43" i="35"/>
  <c r="C44" i="35" s="1"/>
  <c r="J57" i="35"/>
  <c r="J58" i="35" s="1"/>
  <c r="J59" i="35" s="1"/>
  <c r="J27" i="35"/>
  <c r="J28" i="35" s="1"/>
  <c r="J29" i="35" s="1"/>
  <c r="K43" i="35"/>
  <c r="K44" i="35" s="1"/>
  <c r="G56" i="35"/>
  <c r="E56" i="35"/>
  <c r="F41" i="35"/>
  <c r="F43" i="35" s="1"/>
  <c r="F44" i="35" s="1"/>
  <c r="G26" i="35"/>
  <c r="D41" i="35"/>
  <c r="E26" i="35"/>
  <c r="D56" i="35"/>
  <c r="E41" i="35"/>
  <c r="G28" i="35" l="1"/>
  <c r="G29" i="35" s="1"/>
  <c r="G58" i="35"/>
  <c r="G59" i="35" s="1"/>
  <c r="D42" i="35"/>
  <c r="D43" i="35" s="1"/>
  <c r="D44" i="35" s="1"/>
  <c r="I63" i="35"/>
  <c r="H63" i="35"/>
  <c r="E73" i="35" s="1"/>
  <c r="C63" i="35"/>
  <c r="F63" i="35"/>
  <c r="G63" i="35"/>
  <c r="K63" i="35"/>
  <c r="D73" i="35" s="1"/>
  <c r="J63" i="35"/>
  <c r="E9" i="35"/>
  <c r="D57" i="35"/>
  <c r="D58" i="35" s="1"/>
  <c r="D59" i="35" s="1"/>
  <c r="D63" i="35" l="1"/>
  <c r="D77" i="35"/>
  <c r="D78" i="35" s="1"/>
  <c r="D87" i="35"/>
  <c r="D88" i="35" s="1"/>
  <c r="E82" i="35"/>
  <c r="E83" i="35" s="1"/>
  <c r="E77" i="35"/>
  <c r="E78" i="35" s="1"/>
  <c r="E27" i="35"/>
  <c r="E28" i="35" s="1"/>
  <c r="E29" i="35" s="1"/>
  <c r="E42" i="35"/>
  <c r="E43" i="35" s="1"/>
  <c r="E44" i="35" s="1"/>
  <c r="E57" i="35"/>
  <c r="E58" i="35" s="1"/>
  <c r="E59" i="35" s="1"/>
  <c r="E63" i="35" l="1"/>
  <c r="C73" i="35" s="1"/>
  <c r="C82" i="35" l="1"/>
  <c r="C83" i="35" s="1"/>
  <c r="C87" i="35"/>
  <c r="C88" i="35" s="1"/>
  <c r="A17" i="33" l="1"/>
  <c r="G15" i="33"/>
  <c r="F15" i="33"/>
  <c r="E15" i="33"/>
  <c r="D15" i="33"/>
  <c r="C15" i="33"/>
  <c r="B15" i="33"/>
  <c r="A15" i="33"/>
  <c r="G14" i="33"/>
  <c r="F14" i="33"/>
  <c r="E14" i="33"/>
  <c r="D14" i="33"/>
  <c r="C14" i="33"/>
  <c r="B14" i="33"/>
  <c r="A14" i="33"/>
  <c r="G13" i="33"/>
  <c r="F13" i="33"/>
  <c r="E13" i="33"/>
  <c r="D13" i="33"/>
  <c r="C13" i="33"/>
  <c r="B13" i="33"/>
  <c r="A13" i="33"/>
  <c r="G12" i="33"/>
  <c r="F12" i="33"/>
  <c r="E12" i="33"/>
  <c r="D12" i="33"/>
  <c r="C12" i="33"/>
  <c r="B12" i="33"/>
  <c r="A12" i="33"/>
  <c r="G11" i="33"/>
  <c r="F11" i="33"/>
  <c r="E11" i="33"/>
  <c r="D11" i="33"/>
  <c r="C11" i="33"/>
  <c r="B11" i="33"/>
  <c r="A11" i="33"/>
  <c r="G9" i="33"/>
  <c r="F9" i="33"/>
  <c r="E9" i="33"/>
  <c r="D9" i="33"/>
  <c r="C9" i="33"/>
  <c r="B9" i="33"/>
  <c r="A9" i="33"/>
  <c r="G8" i="33"/>
  <c r="F8" i="33"/>
  <c r="E8" i="33"/>
  <c r="D8" i="33"/>
  <c r="C8" i="33"/>
  <c r="B8" i="33"/>
  <c r="A8" i="33"/>
  <c r="G6" i="33"/>
  <c r="F6" i="33"/>
  <c r="E6" i="33"/>
  <c r="D6" i="33"/>
  <c r="C6" i="33"/>
  <c r="B6" i="33"/>
  <c r="A6" i="33"/>
  <c r="G5" i="33"/>
  <c r="F5" i="33"/>
  <c r="E5" i="33"/>
  <c r="D5" i="33"/>
  <c r="C5" i="33"/>
  <c r="B5" i="33"/>
  <c r="A5" i="33"/>
  <c r="G3" i="33"/>
  <c r="F3" i="33"/>
  <c r="E3" i="33"/>
  <c r="D3" i="33"/>
  <c r="C3" i="33"/>
  <c r="B3" i="33"/>
  <c r="A3" i="33"/>
  <c r="G2" i="33"/>
  <c r="F2" i="33"/>
  <c r="E2" i="33"/>
  <c r="D2" i="33"/>
  <c r="C2" i="33"/>
  <c r="B2" i="33"/>
  <c r="A2" i="33"/>
  <c r="A20" i="32"/>
  <c r="I18" i="32"/>
  <c r="H18" i="32"/>
  <c r="G18" i="32"/>
  <c r="F18" i="32"/>
  <c r="E18" i="32"/>
  <c r="D18" i="32"/>
  <c r="C18" i="32"/>
  <c r="B18" i="32"/>
  <c r="A18" i="32"/>
  <c r="I17" i="32"/>
  <c r="H17" i="32"/>
  <c r="G17" i="32"/>
  <c r="F17" i="32"/>
  <c r="E17" i="32"/>
  <c r="D17" i="32"/>
  <c r="C17" i="32"/>
  <c r="B17" i="32"/>
  <c r="A17" i="32"/>
  <c r="I15" i="32"/>
  <c r="H15" i="32"/>
  <c r="G15" i="32"/>
  <c r="F15" i="32"/>
  <c r="E15" i="32"/>
  <c r="D15" i="32"/>
  <c r="C15" i="32"/>
  <c r="B15" i="32"/>
  <c r="A15" i="32"/>
  <c r="I14" i="32"/>
  <c r="H14" i="32"/>
  <c r="G14" i="32"/>
  <c r="F14" i="32"/>
  <c r="E14" i="32"/>
  <c r="D14" i="32"/>
  <c r="C14" i="32"/>
  <c r="B14" i="32"/>
  <c r="A14" i="32"/>
  <c r="I12" i="32"/>
  <c r="H12" i="32"/>
  <c r="G12" i="32"/>
  <c r="F12" i="32"/>
  <c r="E12" i="32"/>
  <c r="D12" i="32"/>
  <c r="C12" i="32"/>
  <c r="B12" i="32"/>
  <c r="A12" i="32"/>
  <c r="I11" i="32"/>
  <c r="H11" i="32"/>
  <c r="G11" i="32"/>
  <c r="F11" i="32"/>
  <c r="E11" i="32"/>
  <c r="D11" i="32"/>
  <c r="C11" i="32"/>
  <c r="B11" i="32"/>
  <c r="A11" i="32"/>
  <c r="I9" i="32"/>
  <c r="H9" i="32"/>
  <c r="G9" i="32"/>
  <c r="F9" i="32"/>
  <c r="E9" i="32"/>
  <c r="D9" i="32"/>
  <c r="C9" i="32"/>
  <c r="B9" i="32"/>
  <c r="A9" i="32"/>
  <c r="I8" i="32"/>
  <c r="H8" i="32"/>
  <c r="G8" i="32"/>
  <c r="F8" i="32"/>
  <c r="E8" i="32"/>
  <c r="D8" i="32"/>
  <c r="C8" i="32"/>
  <c r="B8" i="32"/>
  <c r="A8" i="32"/>
  <c r="I6" i="32"/>
  <c r="H6" i="32"/>
  <c r="G6" i="32"/>
  <c r="F6" i="32"/>
  <c r="E6" i="32"/>
  <c r="D6" i="32"/>
  <c r="C6" i="32"/>
  <c r="B6" i="32"/>
  <c r="A6" i="32"/>
  <c r="I5" i="32"/>
  <c r="H5" i="32"/>
  <c r="G5" i="32"/>
  <c r="F5" i="32"/>
  <c r="E5" i="32"/>
  <c r="D5" i="32"/>
  <c r="C5" i="32"/>
  <c r="B5" i="32"/>
  <c r="A5" i="32"/>
  <c r="I3" i="32"/>
  <c r="H3" i="32"/>
  <c r="G3" i="32"/>
  <c r="F3" i="32"/>
  <c r="E3" i="32"/>
  <c r="D3" i="32"/>
  <c r="C3" i="32"/>
  <c r="B3" i="32"/>
  <c r="A3" i="32"/>
  <c r="I2" i="32"/>
  <c r="H2" i="32"/>
  <c r="G2" i="32"/>
  <c r="F2" i="32"/>
  <c r="E2" i="32"/>
  <c r="D2" i="32"/>
  <c r="C2" i="32"/>
  <c r="B2" i="32"/>
  <c r="A2" i="32"/>
  <c r="C17" i="20" l="1"/>
  <c r="F14" i="20"/>
  <c r="F13" i="20"/>
  <c r="F12" i="20"/>
  <c r="F11" i="20"/>
  <c r="F10" i="20"/>
  <c r="K9" i="20"/>
  <c r="J9" i="20"/>
  <c r="H9" i="20"/>
  <c r="F9" i="20"/>
  <c r="F8" i="20"/>
  <c r="F7" i="20"/>
  <c r="F6" i="20"/>
  <c r="F5" i="20"/>
  <c r="F16" i="20" s="1"/>
  <c r="D9" i="6" l="1"/>
  <c r="E9" i="6"/>
  <c r="I9" i="6"/>
  <c r="M9" i="6"/>
  <c r="E10" i="6"/>
  <c r="I10" i="6"/>
  <c r="M10" i="6"/>
  <c r="D11" i="6"/>
  <c r="E11" i="6"/>
  <c r="I11" i="6"/>
  <c r="M11" i="6"/>
  <c r="E12" i="6"/>
  <c r="I12" i="6"/>
  <c r="M12" i="6"/>
  <c r="D14" i="6"/>
  <c r="F14" i="6"/>
  <c r="J14" i="6"/>
  <c r="N14" i="6"/>
  <c r="F15" i="6"/>
  <c r="J15" i="6"/>
  <c r="N15" i="6"/>
  <c r="D16" i="6"/>
  <c r="F16" i="6"/>
  <c r="J16" i="6"/>
  <c r="N16" i="6"/>
  <c r="F17" i="6"/>
  <c r="J17" i="6"/>
  <c r="N17" i="6"/>
  <c r="D19" i="6"/>
  <c r="G19" i="6"/>
  <c r="K19" i="6"/>
  <c r="O19" i="6"/>
  <c r="G20" i="6"/>
  <c r="K20" i="6"/>
  <c r="O20" i="6"/>
  <c r="D21" i="6"/>
  <c r="G21" i="6"/>
  <c r="K21" i="6"/>
  <c r="O21" i="6"/>
  <c r="G22" i="6"/>
  <c r="K22" i="6"/>
  <c r="O22" i="6"/>
  <c r="D24" i="6"/>
  <c r="H24" i="6"/>
  <c r="L24" i="6"/>
  <c r="P24" i="6"/>
  <c r="H25" i="6"/>
  <c r="L25" i="6"/>
  <c r="P25" i="6"/>
  <c r="D26" i="6"/>
  <c r="H26" i="6"/>
  <c r="L26" i="6"/>
  <c r="P26" i="6"/>
  <c r="H27" i="6"/>
  <c r="L27" i="6"/>
  <c r="P27" i="6"/>
  <c r="E29" i="6"/>
  <c r="F29" i="6"/>
  <c r="G29" i="6"/>
  <c r="H29" i="6"/>
  <c r="I29" i="6"/>
  <c r="J29" i="6"/>
  <c r="K29" i="6"/>
  <c r="L29" i="6"/>
  <c r="M29" i="6"/>
  <c r="N29" i="6"/>
  <c r="O29" i="6"/>
  <c r="P29" i="6"/>
  <c r="E30" i="6"/>
  <c r="F30" i="6"/>
  <c r="G30" i="6"/>
  <c r="H30" i="6"/>
  <c r="I30" i="6"/>
  <c r="J30" i="6"/>
  <c r="K30" i="6"/>
  <c r="L30" i="6"/>
  <c r="M30" i="6"/>
  <c r="N30" i="6"/>
  <c r="O30" i="6"/>
  <c r="P30" i="6"/>
  <c r="D14" i="4" l="1"/>
  <c r="H14" i="4"/>
  <c r="G14" i="4"/>
  <c r="F14" i="4"/>
  <c r="H18" i="4"/>
  <c r="G18" i="4"/>
  <c r="F18" i="4"/>
  <c r="H17" i="4"/>
  <c r="H16" i="4"/>
  <c r="G17" i="4"/>
  <c r="G16" i="4"/>
  <c r="F17" i="4"/>
  <c r="F16" i="4"/>
  <c r="M19" i="16"/>
  <c r="M18" i="16"/>
  <c r="M12" i="16"/>
  <c r="L11" i="16"/>
  <c r="K19" i="16"/>
  <c r="K15" i="16"/>
  <c r="K12" i="16"/>
  <c r="J14" i="16"/>
  <c r="I19" i="16"/>
  <c r="I12" i="16"/>
  <c r="G18" i="16"/>
  <c r="F19" i="16"/>
  <c r="E18" i="16"/>
  <c r="E9" i="16"/>
  <c r="E8" i="16"/>
  <c r="F8" i="16"/>
  <c r="F9" i="16"/>
  <c r="G11" i="16"/>
  <c r="I11" i="16"/>
  <c r="K11" i="16"/>
  <c r="M11" i="16"/>
  <c r="G12" i="16"/>
  <c r="L12" i="16"/>
  <c r="K14" i="16"/>
  <c r="J15" i="16"/>
  <c r="F18" i="16"/>
  <c r="I18" i="16"/>
  <c r="J18" i="16"/>
  <c r="K18" i="16"/>
  <c r="L18" i="16"/>
  <c r="E19" i="16"/>
  <c r="G19" i="16"/>
  <c r="J19" i="16"/>
  <c r="L19" i="16"/>
  <c r="H27" i="29"/>
  <c r="H26" i="29"/>
  <c r="H25" i="29"/>
  <c r="H24" i="29"/>
  <c r="H23" i="29"/>
  <c r="H22" i="29"/>
  <c r="H21" i="29"/>
  <c r="H20" i="29"/>
  <c r="H19" i="29"/>
  <c r="H18" i="29"/>
  <c r="H17" i="29"/>
  <c r="H16" i="29"/>
  <c r="H15" i="29"/>
  <c r="H14" i="29"/>
  <c r="H13" i="29"/>
  <c r="H12" i="29"/>
  <c r="H11" i="29"/>
  <c r="H10" i="29"/>
  <c r="N28" i="29"/>
  <c r="M28" i="29"/>
  <c r="K28" i="29"/>
  <c r="J28" i="29"/>
  <c r="I28" i="29"/>
  <c r="N27" i="29"/>
  <c r="M27" i="29"/>
  <c r="K27" i="29"/>
  <c r="J27" i="29"/>
  <c r="I27" i="29"/>
  <c r="N26" i="29"/>
  <c r="M26" i="29"/>
  <c r="K26" i="29"/>
  <c r="J26" i="29"/>
  <c r="I26" i="29"/>
  <c r="N25" i="29"/>
  <c r="M25" i="29"/>
  <c r="K25" i="29"/>
  <c r="J25" i="29"/>
  <c r="I25" i="29"/>
  <c r="N24" i="29"/>
  <c r="M24" i="29"/>
  <c r="K24" i="29"/>
  <c r="J24" i="29"/>
  <c r="I24" i="29"/>
  <c r="N23" i="29"/>
  <c r="M23" i="29"/>
  <c r="K23" i="29"/>
  <c r="J23" i="29"/>
  <c r="I23" i="29"/>
  <c r="N22" i="29"/>
  <c r="M22" i="29"/>
  <c r="K22" i="29"/>
  <c r="J22" i="29"/>
  <c r="I22" i="29"/>
  <c r="N21" i="29"/>
  <c r="M21" i="29"/>
  <c r="K21" i="29"/>
  <c r="J21" i="29"/>
  <c r="I21" i="29"/>
  <c r="N20" i="29"/>
  <c r="M20" i="29"/>
  <c r="K20" i="29"/>
  <c r="J20" i="29"/>
  <c r="I20" i="29"/>
  <c r="N19" i="29"/>
  <c r="M19" i="29"/>
  <c r="K19" i="29"/>
  <c r="J19" i="29"/>
  <c r="I19" i="29"/>
  <c r="N18" i="29"/>
  <c r="M18" i="29"/>
  <c r="K18" i="29"/>
  <c r="J18" i="29"/>
  <c r="I18" i="29"/>
  <c r="N17" i="29"/>
  <c r="M17" i="29"/>
  <c r="K17" i="29"/>
  <c r="J17" i="29"/>
  <c r="I17" i="29"/>
  <c r="N16" i="29"/>
  <c r="M16" i="29"/>
  <c r="K16" i="29"/>
  <c r="J16" i="29"/>
  <c r="I16" i="29"/>
  <c r="N15" i="29"/>
  <c r="M15" i="29"/>
  <c r="K15" i="29"/>
  <c r="J15" i="29"/>
  <c r="I15" i="29"/>
  <c r="N14" i="29"/>
  <c r="M14" i="29"/>
  <c r="K14" i="29"/>
  <c r="J14" i="29"/>
  <c r="I14" i="29"/>
  <c r="N13" i="29"/>
  <c r="M13" i="29"/>
  <c r="K13" i="29"/>
  <c r="J13" i="29"/>
  <c r="I13" i="29"/>
  <c r="N12" i="29"/>
  <c r="M12" i="29"/>
  <c r="K12" i="29"/>
  <c r="J12" i="29"/>
  <c r="I12" i="29"/>
  <c r="N11" i="29"/>
  <c r="M11" i="29"/>
  <c r="K11" i="29"/>
  <c r="J11" i="29"/>
  <c r="I11" i="29"/>
  <c r="M10" i="29"/>
  <c r="N10" i="29"/>
  <c r="K10" i="29"/>
  <c r="J10" i="29"/>
  <c r="I10" i="29"/>
  <c r="K10" i="28"/>
  <c r="K11" i="28"/>
  <c r="K12" i="28"/>
  <c r="K13" i="28"/>
  <c r="K14" i="28"/>
  <c r="K15" i="28"/>
  <c r="K16" i="28"/>
  <c r="K17" i="28"/>
  <c r="K18" i="28"/>
  <c r="K19" i="28"/>
  <c r="K20" i="28"/>
  <c r="K21" i="28"/>
  <c r="K22" i="28"/>
  <c r="K23" i="28"/>
  <c r="K24" i="28"/>
  <c r="K25" i="28"/>
  <c r="K26" i="28"/>
  <c r="K27" i="28"/>
  <c r="K28" i="28"/>
  <c r="K29" i="28"/>
  <c r="K30" i="28"/>
  <c r="J30" i="28"/>
  <c r="G30" i="28"/>
  <c r="F30" i="28"/>
  <c r="E30" i="28"/>
  <c r="J29" i="28"/>
  <c r="G29" i="28"/>
  <c r="F29" i="28"/>
  <c r="E29" i="28"/>
  <c r="D29" i="28"/>
  <c r="B29" i="28"/>
  <c r="J28" i="28"/>
  <c r="G28" i="28"/>
  <c r="F28" i="28"/>
  <c r="E28" i="28"/>
  <c r="D28" i="28"/>
  <c r="B28" i="28"/>
  <c r="J27" i="28"/>
  <c r="G27" i="28"/>
  <c r="F27" i="28"/>
  <c r="E27" i="28"/>
  <c r="D27" i="28"/>
  <c r="B27" i="28"/>
  <c r="J26" i="28"/>
  <c r="G26" i="28"/>
  <c r="F26" i="28"/>
  <c r="E26" i="28"/>
  <c r="D26" i="28"/>
  <c r="B26" i="28"/>
  <c r="J25" i="28"/>
  <c r="G25" i="28"/>
  <c r="F25" i="28"/>
  <c r="E25" i="28"/>
  <c r="D25" i="28"/>
  <c r="B25" i="28"/>
  <c r="J24" i="28"/>
  <c r="G24" i="28"/>
  <c r="F24" i="28"/>
  <c r="E24" i="28"/>
  <c r="D24" i="28"/>
  <c r="B24" i="28"/>
  <c r="J23" i="28"/>
  <c r="G23" i="28"/>
  <c r="F23" i="28"/>
  <c r="E23" i="28"/>
  <c r="D23" i="28"/>
  <c r="B23" i="28"/>
  <c r="J22" i="28"/>
  <c r="G22" i="28"/>
  <c r="F22" i="28"/>
  <c r="E22" i="28"/>
  <c r="D22" i="28"/>
  <c r="B22" i="28"/>
  <c r="J21" i="28"/>
  <c r="G21" i="28"/>
  <c r="F21" i="28"/>
  <c r="E21" i="28"/>
  <c r="D21" i="28"/>
  <c r="B21" i="28"/>
  <c r="J20" i="28"/>
  <c r="G20" i="28"/>
  <c r="F20" i="28"/>
  <c r="E20" i="28"/>
  <c r="D20" i="28"/>
  <c r="B20" i="28"/>
  <c r="J19" i="28"/>
  <c r="G19" i="28"/>
  <c r="F19" i="28"/>
  <c r="E19" i="28"/>
  <c r="D19" i="28"/>
  <c r="B19" i="28"/>
  <c r="J18" i="28"/>
  <c r="G18" i="28"/>
  <c r="F18" i="28"/>
  <c r="E18" i="28"/>
  <c r="D18" i="28"/>
  <c r="B18" i="28"/>
  <c r="J17" i="28"/>
  <c r="G17" i="28"/>
  <c r="F17" i="28"/>
  <c r="E17" i="28"/>
  <c r="D17" i="28"/>
  <c r="B17" i="28"/>
  <c r="J16" i="28"/>
  <c r="G16" i="28"/>
  <c r="F16" i="28"/>
  <c r="E16" i="28"/>
  <c r="D16" i="28"/>
  <c r="B16" i="28"/>
  <c r="J15" i="28"/>
  <c r="G15" i="28"/>
  <c r="F15" i="28"/>
  <c r="E15" i="28"/>
  <c r="D15" i="28"/>
  <c r="B15" i="28"/>
  <c r="J14" i="28"/>
  <c r="G14" i="28"/>
  <c r="F14" i="28"/>
  <c r="E14" i="28"/>
  <c r="D14" i="28"/>
  <c r="B14" i="28"/>
  <c r="J13" i="28"/>
  <c r="G13" i="28"/>
  <c r="F13" i="28"/>
  <c r="E13" i="28"/>
  <c r="D13" i="28"/>
  <c r="B13" i="28"/>
  <c r="J12" i="28"/>
  <c r="G12" i="28"/>
  <c r="F12" i="28"/>
  <c r="E12" i="28"/>
  <c r="D12" i="28"/>
  <c r="B12" i="28"/>
  <c r="J11" i="28"/>
  <c r="G11" i="28"/>
  <c r="F11" i="28"/>
  <c r="E11" i="28"/>
  <c r="D11" i="28"/>
  <c r="B11" i="28"/>
  <c r="J10" i="28"/>
  <c r="G10" i="28"/>
  <c r="F10" i="28"/>
  <c r="E10" i="28"/>
  <c r="D10" i="28"/>
  <c r="B10" i="28"/>
  <c r="I29" i="28" l="1"/>
  <c r="I28" i="28"/>
  <c r="I27" i="28"/>
  <c r="I26" i="28"/>
  <c r="I25" i="28"/>
  <c r="I24" i="28"/>
  <c r="I23" i="28"/>
  <c r="I22" i="28"/>
  <c r="I21" i="28"/>
  <c r="I20" i="28"/>
  <c r="I19" i="28"/>
  <c r="I18" i="28"/>
  <c r="I17" i="28"/>
  <c r="I16" i="28"/>
  <c r="I15" i="28"/>
  <c r="I14" i="28"/>
  <c r="I13" i="28"/>
  <c r="I12" i="28"/>
  <c r="I11" i="28"/>
  <c r="I10" i="28"/>
  <c r="A19" i="25" l="1"/>
  <c r="B10" i="25"/>
  <c r="B9" i="25"/>
  <c r="B8" i="25"/>
  <c r="A6" i="25"/>
  <c r="B4" i="25"/>
  <c r="A4" i="25"/>
  <c r="C3" i="25"/>
  <c r="B3" i="25"/>
  <c r="F30" i="24"/>
  <c r="F29" i="24"/>
  <c r="F28" i="24"/>
  <c r="F26" i="24"/>
  <c r="F25" i="24"/>
  <c r="F24" i="24"/>
  <c r="F23" i="24"/>
  <c r="D20" i="24"/>
  <c r="C20" i="24" s="1"/>
  <c r="C17" i="24"/>
  <c r="C16" i="24"/>
  <c r="C15" i="24"/>
  <c r="C13" i="24"/>
  <c r="D13" i="24" s="1"/>
  <c r="C12" i="24"/>
  <c r="D12" i="24" s="1"/>
  <c r="C11" i="24"/>
  <c r="D11" i="24" s="1"/>
  <c r="C10" i="24"/>
  <c r="D10" i="24" s="1"/>
  <c r="C7" i="24"/>
  <c r="D7" i="24" l="1"/>
  <c r="F16" i="24" s="1"/>
  <c r="F7" i="24"/>
  <c r="C26" i="24"/>
  <c r="D26" i="24" s="1"/>
  <c r="C23" i="24"/>
  <c r="D23" i="24" s="1"/>
  <c r="C28" i="24"/>
  <c r="C24" i="24"/>
  <c r="D24" i="24" s="1"/>
  <c r="C29" i="24"/>
  <c r="C25" i="24"/>
  <c r="D25" i="24" s="1"/>
  <c r="C30" i="24"/>
  <c r="E30" i="24" s="1"/>
  <c r="F13" i="24"/>
  <c r="E16" i="24"/>
  <c r="E15" i="24"/>
  <c r="E17" i="24"/>
  <c r="F17" i="24"/>
  <c r="F10" i="24"/>
  <c r="F11" i="24"/>
  <c r="F12" i="24"/>
  <c r="F15" i="24"/>
  <c r="E29" i="24" l="1"/>
  <c r="E28" i="24"/>
  <c r="B28" i="18" l="1"/>
  <c r="B26" i="18"/>
  <c r="B24" i="18"/>
  <c r="B23" i="18"/>
  <c r="A18" i="18"/>
  <c r="H9" i="2" l="1"/>
  <c r="H8" i="2"/>
  <c r="G10" i="13" l="1"/>
  <c r="G9" i="13"/>
  <c r="G8" i="13"/>
  <c r="G7" i="13"/>
  <c r="F10" i="13"/>
  <c r="F9" i="13"/>
  <c r="F8" i="13"/>
  <c r="F7" i="13"/>
  <c r="F12" i="13"/>
  <c r="G12" i="13" s="1"/>
  <c r="G13" i="13"/>
  <c r="F13" i="13"/>
  <c r="D13" i="13"/>
  <c r="D10" i="13"/>
  <c r="D9" i="13"/>
  <c r="D8" i="13"/>
  <c r="D7" i="13"/>
  <c r="C13" i="13"/>
  <c r="C10" i="13"/>
  <c r="C9" i="13"/>
  <c r="C8" i="13"/>
  <c r="C7" i="13"/>
  <c r="B18" i="12"/>
  <c r="C12" i="13" s="1"/>
  <c r="D12" i="13" s="1"/>
  <c r="A18" i="12"/>
  <c r="D16" i="12"/>
  <c r="B16" i="12"/>
  <c r="D15" i="12"/>
  <c r="B15" i="12"/>
  <c r="D14" i="12"/>
  <c r="B14" i="12"/>
  <c r="D13" i="12"/>
  <c r="B13" i="12"/>
  <c r="E4" i="12"/>
  <c r="D4" i="12"/>
  <c r="C4" i="12"/>
  <c r="B4" i="12"/>
  <c r="A4" i="12"/>
  <c r="A1" i="9"/>
  <c r="B2" i="9"/>
  <c r="C2" i="9"/>
  <c r="D2" i="9"/>
  <c r="E2" i="9"/>
  <c r="F2" i="9"/>
  <c r="G2" i="9"/>
  <c r="H2" i="9"/>
  <c r="I2" i="9"/>
  <c r="J2" i="9"/>
  <c r="K2" i="9"/>
  <c r="L2" i="9"/>
  <c r="M2" i="9"/>
  <c r="N2" i="9"/>
  <c r="O2" i="9"/>
  <c r="P2" i="9"/>
  <c r="Q2" i="9"/>
  <c r="R2" i="9"/>
  <c r="S2" i="9"/>
  <c r="T2" i="9"/>
  <c r="U2" i="9"/>
  <c r="V2" i="9"/>
  <c r="W2" i="9"/>
  <c r="X2" i="9"/>
  <c r="Y2" i="9"/>
  <c r="Z2" i="9"/>
  <c r="AA2" i="9"/>
  <c r="AB2" i="9"/>
  <c r="AC2" i="9"/>
  <c r="AD2" i="9"/>
  <c r="AE2" i="9"/>
  <c r="AF2" i="9"/>
  <c r="AG2" i="9"/>
  <c r="AH2" i="9"/>
  <c r="AI2" i="9"/>
  <c r="AJ2" i="9"/>
  <c r="AK2" i="9"/>
  <c r="AL2" i="9"/>
  <c r="AM2" i="9"/>
  <c r="AN2" i="9"/>
  <c r="A3" i="9"/>
  <c r="A5" i="9"/>
  <c r="B5" i="9"/>
  <c r="C5" i="9"/>
  <c r="D5" i="9"/>
  <c r="E5" i="9"/>
  <c r="F5" i="9"/>
  <c r="G5" i="9"/>
  <c r="H5" i="9"/>
  <c r="I5" i="9"/>
  <c r="J5" i="9"/>
  <c r="K5" i="9"/>
  <c r="L5" i="9"/>
  <c r="M5" i="9"/>
  <c r="N5" i="9"/>
  <c r="O5" i="9"/>
  <c r="P5" i="9"/>
  <c r="Q5" i="9"/>
  <c r="R5" i="9"/>
  <c r="S5" i="9"/>
  <c r="T5" i="9"/>
  <c r="U5" i="9"/>
  <c r="V5" i="9"/>
  <c r="W5" i="9"/>
  <c r="X5" i="9"/>
  <c r="Y5" i="9"/>
  <c r="Z5" i="9"/>
  <c r="AA5" i="9"/>
  <c r="AB5" i="9"/>
  <c r="AC5" i="9"/>
  <c r="AD5" i="9"/>
  <c r="AE5" i="9"/>
  <c r="AF5" i="9"/>
  <c r="AG5" i="9"/>
  <c r="AH5" i="9"/>
  <c r="AI5" i="9"/>
  <c r="AJ5" i="9"/>
  <c r="AK5" i="9"/>
  <c r="AL5" i="9"/>
  <c r="AM5" i="9"/>
  <c r="AN5" i="9"/>
  <c r="A6" i="9"/>
  <c r="B6" i="9"/>
  <c r="C6" i="9"/>
  <c r="D6" i="9"/>
  <c r="E6" i="9"/>
  <c r="F6" i="9"/>
  <c r="G6" i="9"/>
  <c r="H6" i="9"/>
  <c r="I6" i="9"/>
  <c r="J6" i="9"/>
  <c r="K6" i="9"/>
  <c r="L6" i="9"/>
  <c r="M6" i="9"/>
  <c r="N6" i="9"/>
  <c r="O6" i="9"/>
  <c r="P6" i="9"/>
  <c r="Q6" i="9"/>
  <c r="R6" i="9"/>
  <c r="S6" i="9"/>
  <c r="T6" i="9"/>
  <c r="U6" i="9"/>
  <c r="V6" i="9"/>
  <c r="W6" i="9"/>
  <c r="X6" i="9"/>
  <c r="Y6" i="9"/>
  <c r="Z6" i="9"/>
  <c r="AA6" i="9"/>
  <c r="AB6" i="9"/>
  <c r="AC6" i="9"/>
  <c r="AD6" i="9"/>
  <c r="AE6" i="9"/>
  <c r="AF6" i="9"/>
  <c r="AG6" i="9"/>
  <c r="AH6" i="9"/>
  <c r="AI6" i="9"/>
  <c r="AJ6" i="9"/>
  <c r="AK6" i="9"/>
  <c r="AL6" i="9"/>
  <c r="AM6" i="9"/>
  <c r="AN6" i="9"/>
  <c r="A7" i="9"/>
  <c r="B7" i="9"/>
  <c r="C7" i="9"/>
  <c r="D7" i="9"/>
  <c r="E7" i="9"/>
  <c r="F7" i="9"/>
  <c r="G7" i="9"/>
  <c r="H7" i="9"/>
  <c r="I7" i="9"/>
  <c r="J7" i="9"/>
  <c r="K7" i="9"/>
  <c r="L7" i="9"/>
  <c r="M7" i="9"/>
  <c r="N7" i="9"/>
  <c r="O7" i="9"/>
  <c r="P7" i="9"/>
  <c r="Q7" i="9"/>
  <c r="R7" i="9"/>
  <c r="S7" i="9"/>
  <c r="T7" i="9"/>
  <c r="U7" i="9"/>
  <c r="V7" i="9"/>
  <c r="W7" i="9"/>
  <c r="X7" i="9"/>
  <c r="Y7" i="9"/>
  <c r="Z7" i="9"/>
  <c r="AA7" i="9"/>
  <c r="AB7" i="9"/>
  <c r="AC7" i="9"/>
  <c r="AD7" i="9"/>
  <c r="AE7" i="9"/>
  <c r="AF7" i="9"/>
  <c r="AG7" i="9"/>
  <c r="AH7" i="9"/>
  <c r="AI7" i="9"/>
  <c r="AJ7" i="9"/>
  <c r="AK7" i="9"/>
  <c r="AL7" i="9"/>
  <c r="AM7" i="9"/>
  <c r="AN7" i="9"/>
  <c r="A8" i="9"/>
  <c r="B8" i="9"/>
  <c r="C8" i="9"/>
  <c r="D8" i="9"/>
  <c r="E8" i="9"/>
  <c r="F8" i="9"/>
  <c r="G8" i="9"/>
  <c r="H8" i="9"/>
  <c r="I8" i="9"/>
  <c r="J8" i="9"/>
  <c r="K8" i="9"/>
  <c r="L8" i="9"/>
  <c r="M8" i="9"/>
  <c r="N8" i="9"/>
  <c r="O8" i="9"/>
  <c r="P8" i="9"/>
  <c r="Q8" i="9"/>
  <c r="R8" i="9"/>
  <c r="S8" i="9"/>
  <c r="T8" i="9"/>
  <c r="U8" i="9"/>
  <c r="V8" i="9"/>
  <c r="W8" i="9"/>
  <c r="X8" i="9"/>
  <c r="Y8" i="9"/>
  <c r="Z8" i="9"/>
  <c r="AA8" i="9"/>
  <c r="AB8" i="9"/>
  <c r="AC8" i="9"/>
  <c r="AD8" i="9"/>
  <c r="AE8" i="9"/>
  <c r="AF8" i="9"/>
  <c r="AG8" i="9"/>
  <c r="AH8" i="9"/>
  <c r="AI8" i="9"/>
  <c r="AJ8" i="9"/>
  <c r="AK8" i="9"/>
  <c r="AL8" i="9"/>
  <c r="AM8" i="9"/>
  <c r="AN8" i="9"/>
  <c r="A9" i="9"/>
  <c r="B9" i="9"/>
  <c r="C9"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10" i="9"/>
  <c r="B10"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AF10" i="9"/>
  <c r="AG10" i="9"/>
  <c r="AH10" i="9"/>
  <c r="AI10" i="9"/>
  <c r="AJ10" i="9"/>
  <c r="AK10" i="9"/>
  <c r="AL10" i="9"/>
  <c r="AM10" i="9"/>
  <c r="AN10" i="9"/>
  <c r="A11" i="9"/>
  <c r="B11"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AF11" i="9"/>
  <c r="AG11" i="9"/>
  <c r="AH11" i="9"/>
  <c r="AI11" i="9"/>
  <c r="AJ11" i="9"/>
  <c r="AK11" i="9"/>
  <c r="AL11" i="9"/>
  <c r="AM11" i="9"/>
  <c r="AN11" i="9"/>
  <c r="A12" i="9"/>
  <c r="B12"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AF12" i="9"/>
  <c r="AG12" i="9"/>
  <c r="AH12" i="9"/>
  <c r="AI12" i="9"/>
  <c r="AJ12" i="9"/>
  <c r="AK12" i="9"/>
  <c r="AL12" i="9"/>
  <c r="AM12" i="9"/>
  <c r="AN12" i="9"/>
  <c r="A13" i="9"/>
  <c r="B13"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AF13" i="9"/>
  <c r="AG13" i="9"/>
  <c r="AH13" i="9"/>
  <c r="AI13" i="9"/>
  <c r="AJ13" i="9"/>
  <c r="AK13" i="9"/>
  <c r="AL13" i="9"/>
  <c r="AM13" i="9"/>
  <c r="AN13" i="9"/>
  <c r="A14" i="9"/>
  <c r="B14" i="9"/>
  <c r="C14" i="9"/>
  <c r="D14" i="9"/>
  <c r="E14" i="9"/>
  <c r="F14" i="9"/>
  <c r="G14" i="9"/>
  <c r="H14" i="9"/>
  <c r="I14" i="9"/>
  <c r="J14" i="9"/>
  <c r="K14" i="9"/>
  <c r="L14" i="9"/>
  <c r="M14" i="9"/>
  <c r="N14" i="9"/>
  <c r="O14" i="9"/>
  <c r="P14" i="9"/>
  <c r="Q14" i="9"/>
  <c r="R14" i="9"/>
  <c r="S14" i="9"/>
  <c r="T14" i="9"/>
  <c r="U14" i="9"/>
  <c r="V14" i="9"/>
  <c r="W14" i="9"/>
  <c r="X14" i="9"/>
  <c r="Y14" i="9"/>
  <c r="Z14" i="9"/>
  <c r="AA14" i="9"/>
  <c r="AB14" i="9"/>
  <c r="AC14" i="9"/>
  <c r="AD14" i="9"/>
  <c r="AE14" i="9"/>
  <c r="AF14" i="9"/>
  <c r="AG14" i="9"/>
  <c r="AH14" i="9"/>
  <c r="AI14" i="9"/>
  <c r="AJ14" i="9"/>
  <c r="AK14" i="9"/>
  <c r="AL14" i="9"/>
  <c r="AM14" i="9"/>
  <c r="AN14" i="9"/>
  <c r="A15" i="9"/>
  <c r="B15"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AF15" i="9"/>
  <c r="AG15" i="9"/>
  <c r="AH15" i="9"/>
  <c r="AI15" i="9"/>
  <c r="AJ15" i="9"/>
  <c r="AK15" i="9"/>
  <c r="AL15" i="9"/>
  <c r="AM15" i="9"/>
  <c r="AN15" i="9"/>
  <c r="A16" i="9"/>
  <c r="B16" i="9"/>
  <c r="C16" i="9"/>
  <c r="D16" i="9"/>
  <c r="E16" i="9"/>
  <c r="F16" i="9"/>
  <c r="G16" i="9"/>
  <c r="H16" i="9"/>
  <c r="I16" i="9"/>
  <c r="J16" i="9"/>
  <c r="K16" i="9"/>
  <c r="L16" i="9"/>
  <c r="M16" i="9"/>
  <c r="N16" i="9"/>
  <c r="O16" i="9"/>
  <c r="P16" i="9"/>
  <c r="Q16" i="9"/>
  <c r="R16" i="9"/>
  <c r="S16" i="9"/>
  <c r="T16" i="9"/>
  <c r="U16" i="9"/>
  <c r="V16" i="9"/>
  <c r="W16" i="9"/>
  <c r="X16" i="9"/>
  <c r="Y16" i="9"/>
  <c r="Z16" i="9"/>
  <c r="AA16" i="9"/>
  <c r="AB16" i="9"/>
  <c r="AC16" i="9"/>
  <c r="AD16" i="9"/>
  <c r="AE16" i="9"/>
  <c r="AF16" i="9"/>
  <c r="AG16" i="9"/>
  <c r="AH16" i="9"/>
  <c r="AI16" i="9"/>
  <c r="AJ16" i="9"/>
  <c r="AK16" i="9"/>
  <c r="AL16" i="9"/>
  <c r="AM16" i="9"/>
  <c r="AN16" i="9"/>
  <c r="A17" i="9"/>
  <c r="B17"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AF17" i="9"/>
  <c r="AG17" i="9"/>
  <c r="AH17" i="9"/>
  <c r="AI17" i="9"/>
  <c r="AJ17" i="9"/>
  <c r="AK17" i="9"/>
  <c r="AL17" i="9"/>
  <c r="AM17" i="9"/>
  <c r="AN17" i="9"/>
  <c r="A18" i="9"/>
  <c r="B18"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AF18" i="9"/>
  <c r="AG18" i="9"/>
  <c r="AH18" i="9"/>
  <c r="AI18" i="9"/>
  <c r="AJ18" i="9"/>
  <c r="AK18" i="9"/>
  <c r="AL18" i="9"/>
  <c r="AM18" i="9"/>
  <c r="AN18" i="9"/>
  <c r="A19" i="9"/>
  <c r="B19"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AF19" i="9"/>
  <c r="AG19" i="9"/>
  <c r="AH19" i="9"/>
  <c r="AI19" i="9"/>
  <c r="AJ19" i="9"/>
  <c r="AK19" i="9"/>
  <c r="AL19" i="9"/>
  <c r="AM19" i="9"/>
  <c r="AN19" i="9"/>
  <c r="A20" i="9"/>
  <c r="B20"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AF20" i="9"/>
  <c r="AG20" i="9"/>
  <c r="AH20" i="9"/>
  <c r="AI20" i="9"/>
  <c r="AJ20" i="9"/>
  <c r="AK20" i="9"/>
  <c r="AL20" i="9"/>
  <c r="AM20" i="9"/>
  <c r="AN20" i="9"/>
  <c r="A21" i="9"/>
  <c r="B21"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AF21" i="9"/>
  <c r="AG21" i="9"/>
  <c r="AH21" i="9"/>
  <c r="AI21" i="9"/>
  <c r="AJ21" i="9"/>
  <c r="AK21" i="9"/>
  <c r="AL21" i="9"/>
  <c r="AM21" i="9"/>
  <c r="AN21" i="9"/>
  <c r="A22" i="9"/>
  <c r="B22"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AG22" i="9"/>
  <c r="AH22" i="9"/>
  <c r="AI22" i="9"/>
  <c r="AJ22" i="9"/>
  <c r="AK22" i="9"/>
  <c r="AL22" i="9"/>
  <c r="AM22" i="9"/>
  <c r="AN22" i="9"/>
  <c r="A23" i="9"/>
  <c r="B23"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AF23" i="9"/>
  <c r="AG23" i="9"/>
  <c r="AH23" i="9"/>
  <c r="AI23" i="9"/>
  <c r="AJ23" i="9"/>
  <c r="AK23" i="9"/>
  <c r="AL23" i="9"/>
  <c r="AM23" i="9"/>
  <c r="AN23" i="9"/>
  <c r="A24" i="9"/>
  <c r="B24"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AF24" i="9"/>
  <c r="AG24" i="9"/>
  <c r="AH24" i="9"/>
  <c r="AI24" i="9"/>
  <c r="AJ24" i="9"/>
  <c r="AK24" i="9"/>
  <c r="AL24" i="9"/>
  <c r="AM24" i="9"/>
  <c r="AN24" i="9"/>
  <c r="A26" i="9"/>
  <c r="B26"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AF26" i="9"/>
  <c r="AG26" i="9"/>
  <c r="AH26" i="9"/>
  <c r="AI26" i="9"/>
  <c r="AJ26" i="9"/>
  <c r="AK26" i="9"/>
  <c r="AL26" i="9"/>
  <c r="AM26" i="9"/>
  <c r="AN26" i="9"/>
  <c r="A27" i="9"/>
  <c r="B27"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AG27" i="9"/>
  <c r="AH27" i="9"/>
  <c r="AI27" i="9"/>
  <c r="AJ27" i="9"/>
  <c r="AK27" i="9"/>
  <c r="AL27" i="9"/>
  <c r="AM27" i="9"/>
  <c r="AN27" i="9"/>
  <c r="A28" i="9"/>
  <c r="B28" i="9"/>
  <c r="A29" i="9"/>
  <c r="B29" i="9"/>
  <c r="C29" i="9"/>
  <c r="D29" i="9"/>
  <c r="E29" i="9"/>
  <c r="F29" i="9"/>
  <c r="G29" i="9"/>
  <c r="H29" i="9"/>
  <c r="I29" i="9"/>
  <c r="J29" i="9"/>
  <c r="T29" i="6" s="1"/>
  <c r="K29" i="9"/>
  <c r="L29" i="9"/>
  <c r="M29" i="9"/>
  <c r="N29" i="9"/>
  <c r="O29" i="9"/>
  <c r="P29" i="9"/>
  <c r="Q29" i="9"/>
  <c r="R29" i="9"/>
  <c r="S29" i="9"/>
  <c r="T29" i="9"/>
  <c r="U29" i="9"/>
  <c r="V29" i="9"/>
  <c r="W29" i="9"/>
  <c r="X29" i="9"/>
  <c r="Y29" i="9"/>
  <c r="Z29" i="9"/>
  <c r="AA29" i="9"/>
  <c r="AB29" i="9"/>
  <c r="AC29" i="9"/>
  <c r="AD29" i="9"/>
  <c r="AE29" i="9"/>
  <c r="AF29" i="9"/>
  <c r="AG29" i="9"/>
  <c r="AH29" i="9"/>
  <c r="AI29" i="9"/>
  <c r="AJ29" i="9"/>
  <c r="AK29" i="9"/>
  <c r="AL29" i="9"/>
  <c r="AM29" i="9"/>
  <c r="AN29" i="9"/>
  <c r="A30" i="9"/>
  <c r="B30"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AF30" i="9"/>
  <c r="AG30" i="9"/>
  <c r="AH30" i="9"/>
  <c r="AI30" i="9"/>
  <c r="AJ30" i="9"/>
  <c r="AK30" i="9"/>
  <c r="AL30" i="9"/>
  <c r="AM30" i="9"/>
  <c r="AN30" i="9"/>
  <c r="A34" i="9"/>
  <c r="A36" i="9"/>
  <c r="A38" i="9"/>
  <c r="B38"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AF38" i="9"/>
  <c r="AG38" i="9"/>
  <c r="AH38" i="9"/>
  <c r="AI38" i="9"/>
  <c r="AJ38" i="9"/>
  <c r="AK38" i="9"/>
  <c r="AL38" i="9"/>
  <c r="AM38" i="9"/>
  <c r="AN38" i="9"/>
  <c r="A39" i="9"/>
  <c r="B39"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AF39" i="9"/>
  <c r="AG39" i="9"/>
  <c r="AH39" i="9"/>
  <c r="AI39" i="9"/>
  <c r="AJ39" i="9"/>
  <c r="AK39" i="9"/>
  <c r="AL39" i="9"/>
  <c r="AM39" i="9"/>
  <c r="AN39" i="9"/>
  <c r="A40" i="9"/>
  <c r="B40"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AF40" i="9"/>
  <c r="AG40" i="9"/>
  <c r="AH40" i="9"/>
  <c r="AI40" i="9"/>
  <c r="AJ40" i="9"/>
  <c r="AK40" i="9"/>
  <c r="AL40" i="9"/>
  <c r="AM40" i="9"/>
  <c r="AN40" i="9"/>
  <c r="A41" i="9"/>
  <c r="B41"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AF41" i="9"/>
  <c r="AG41" i="9"/>
  <c r="AH41" i="9"/>
  <c r="AI41" i="9"/>
  <c r="AJ41" i="9"/>
  <c r="AK41" i="9"/>
  <c r="AL41" i="9"/>
  <c r="AM41" i="9"/>
  <c r="AN41" i="9"/>
  <c r="A42" i="9"/>
  <c r="B42"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AF42" i="9"/>
  <c r="AG42" i="9"/>
  <c r="AH42" i="9"/>
  <c r="AI42" i="9"/>
  <c r="AJ42" i="9"/>
  <c r="AK42" i="9"/>
  <c r="AL42" i="9"/>
  <c r="AM42" i="9"/>
  <c r="AN42" i="9"/>
  <c r="A43" i="9"/>
  <c r="B43"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AF43" i="9"/>
  <c r="AG43" i="9"/>
  <c r="AH43" i="9"/>
  <c r="AI43" i="9"/>
  <c r="AJ43" i="9"/>
  <c r="AK43" i="9"/>
  <c r="AL43" i="9"/>
  <c r="AM43" i="9"/>
  <c r="AN43" i="9"/>
  <c r="A44" i="9"/>
  <c r="B44"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AF44" i="9"/>
  <c r="AG44" i="9"/>
  <c r="AH44" i="9"/>
  <c r="AI44" i="9"/>
  <c r="AJ44" i="9"/>
  <c r="AK44" i="9"/>
  <c r="AL44" i="9"/>
  <c r="AM44" i="9"/>
  <c r="AN44" i="9"/>
  <c r="A45" i="9"/>
  <c r="B45"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AF45" i="9"/>
  <c r="AG45" i="9"/>
  <c r="AH45" i="9"/>
  <c r="AI45" i="9"/>
  <c r="AJ45" i="9"/>
  <c r="AK45" i="9"/>
  <c r="AL45" i="9"/>
  <c r="AM45" i="9"/>
  <c r="AN45" i="9"/>
  <c r="A46" i="9"/>
  <c r="B46"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AF46" i="9"/>
  <c r="AG46" i="9"/>
  <c r="AH46" i="9"/>
  <c r="AI46" i="9"/>
  <c r="AJ46" i="9"/>
  <c r="AK46" i="9"/>
  <c r="AL46" i="9"/>
  <c r="AM46" i="9"/>
  <c r="AN46" i="9"/>
  <c r="A47" i="9"/>
  <c r="B47"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AF47" i="9"/>
  <c r="AG47" i="9"/>
  <c r="AH47" i="9"/>
  <c r="AI47" i="9"/>
  <c r="AJ47" i="9"/>
  <c r="AK47" i="9"/>
  <c r="AL47" i="9"/>
  <c r="AM47" i="9"/>
  <c r="AN47" i="9"/>
  <c r="A48" i="9"/>
  <c r="B48"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AF48" i="9"/>
  <c r="AG48" i="9"/>
  <c r="AH48" i="9"/>
  <c r="AI48" i="9"/>
  <c r="AJ48" i="9"/>
  <c r="AK48" i="9"/>
  <c r="AL48" i="9"/>
  <c r="AM48" i="9"/>
  <c r="AN48" i="9"/>
  <c r="A49" i="9"/>
  <c r="B49"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AF49" i="9"/>
  <c r="AG49" i="9"/>
  <c r="AH49" i="9"/>
  <c r="AI49" i="9"/>
  <c r="AJ49" i="9"/>
  <c r="AK49" i="9"/>
  <c r="AL49" i="9"/>
  <c r="AM49" i="9"/>
  <c r="AN49" i="9"/>
  <c r="A50" i="9"/>
  <c r="B50" i="9"/>
  <c r="C50" i="9"/>
  <c r="D50" i="9"/>
  <c r="E50" i="9"/>
  <c r="F50" i="9"/>
  <c r="G50" i="9"/>
  <c r="H50" i="9"/>
  <c r="I50" i="9"/>
  <c r="J50" i="9"/>
  <c r="K50" i="9"/>
  <c r="L50" i="9"/>
  <c r="M50" i="9"/>
  <c r="N50" i="9"/>
  <c r="O50" i="9"/>
  <c r="P50" i="9"/>
  <c r="Q50" i="9"/>
  <c r="R50" i="9"/>
  <c r="S50" i="9"/>
  <c r="T50" i="9"/>
  <c r="U50" i="9"/>
  <c r="V50" i="9"/>
  <c r="W50" i="9"/>
  <c r="X50" i="9"/>
  <c r="Y50" i="9"/>
  <c r="Z50" i="9"/>
  <c r="AA50" i="9"/>
  <c r="AB50" i="9"/>
  <c r="AC50" i="9"/>
  <c r="AD50" i="9"/>
  <c r="AE50" i="9"/>
  <c r="AF50" i="9"/>
  <c r="AG50" i="9"/>
  <c r="AH50" i="9"/>
  <c r="AI50" i="9"/>
  <c r="AJ50" i="9"/>
  <c r="AK50" i="9"/>
  <c r="AL50" i="9"/>
  <c r="AM50" i="9"/>
  <c r="AN50" i="9"/>
  <c r="A51" i="9"/>
  <c r="B51" i="9"/>
  <c r="C51" i="9"/>
  <c r="D51" i="9"/>
  <c r="E51" i="9"/>
  <c r="F51" i="9"/>
  <c r="G51" i="9"/>
  <c r="H51" i="9"/>
  <c r="I51" i="9"/>
  <c r="J51" i="9"/>
  <c r="K51" i="9"/>
  <c r="L51" i="9"/>
  <c r="M51" i="9"/>
  <c r="N51" i="9"/>
  <c r="O51" i="9"/>
  <c r="P51" i="9"/>
  <c r="Q51" i="9"/>
  <c r="R51" i="9"/>
  <c r="S51" i="9"/>
  <c r="T51" i="9"/>
  <c r="U51" i="9"/>
  <c r="V51" i="9"/>
  <c r="W51" i="9"/>
  <c r="X51" i="9"/>
  <c r="Y51" i="9"/>
  <c r="Z51" i="9"/>
  <c r="AA51" i="9"/>
  <c r="AB51" i="9"/>
  <c r="AC51" i="9"/>
  <c r="AD51" i="9"/>
  <c r="AE51" i="9"/>
  <c r="AF51" i="9"/>
  <c r="AG51" i="9"/>
  <c r="AH51" i="9"/>
  <c r="AI51" i="9"/>
  <c r="AJ51" i="9"/>
  <c r="AK51" i="9"/>
  <c r="AL51" i="9"/>
  <c r="AM51" i="9"/>
  <c r="AN51" i="9"/>
  <c r="A52" i="9"/>
  <c r="B52" i="9"/>
  <c r="C52" i="9"/>
  <c r="D52" i="9"/>
  <c r="E52" i="9"/>
  <c r="F52" i="9"/>
  <c r="G52" i="9"/>
  <c r="H52" i="9"/>
  <c r="I52" i="9"/>
  <c r="J52" i="9"/>
  <c r="K52" i="9"/>
  <c r="L52" i="9"/>
  <c r="M52" i="9"/>
  <c r="N52" i="9"/>
  <c r="O52" i="9"/>
  <c r="P52" i="9"/>
  <c r="Q52" i="9"/>
  <c r="R52" i="9"/>
  <c r="S52" i="9"/>
  <c r="T52" i="9"/>
  <c r="U52" i="9"/>
  <c r="V52" i="9"/>
  <c r="W52" i="9"/>
  <c r="X52" i="9"/>
  <c r="Y52" i="9"/>
  <c r="Z52" i="9"/>
  <c r="AA52" i="9"/>
  <c r="AB52" i="9"/>
  <c r="AC52" i="9"/>
  <c r="AD52" i="9"/>
  <c r="AE52" i="9"/>
  <c r="AF52" i="9"/>
  <c r="AG52" i="9"/>
  <c r="AH52" i="9"/>
  <c r="AI52" i="9"/>
  <c r="AJ52" i="9"/>
  <c r="AK52" i="9"/>
  <c r="AL52" i="9"/>
  <c r="AM52" i="9"/>
  <c r="AN52" i="9"/>
  <c r="A53" i="9"/>
  <c r="B53" i="9"/>
  <c r="C53" i="9"/>
  <c r="D53" i="9"/>
  <c r="E53" i="9"/>
  <c r="F53" i="9"/>
  <c r="G53" i="9"/>
  <c r="H53" i="9"/>
  <c r="I53" i="9"/>
  <c r="J53" i="9"/>
  <c r="K53" i="9"/>
  <c r="L53" i="9"/>
  <c r="M53" i="9"/>
  <c r="N53" i="9"/>
  <c r="O53" i="9"/>
  <c r="P53" i="9"/>
  <c r="Q53" i="9"/>
  <c r="R53" i="9"/>
  <c r="S53" i="9"/>
  <c r="T53" i="9"/>
  <c r="U53" i="9"/>
  <c r="V53" i="9"/>
  <c r="W53" i="9"/>
  <c r="X53" i="9"/>
  <c r="Y53" i="9"/>
  <c r="Z53" i="9"/>
  <c r="AA53" i="9"/>
  <c r="AB53" i="9"/>
  <c r="AC53" i="9"/>
  <c r="AD53" i="9"/>
  <c r="AE53" i="9"/>
  <c r="AF53" i="9"/>
  <c r="AG53" i="9"/>
  <c r="AH53" i="9"/>
  <c r="AI53" i="9"/>
  <c r="AJ53" i="9"/>
  <c r="AK53" i="9"/>
  <c r="AL53" i="9"/>
  <c r="AM53" i="9"/>
  <c r="AN53" i="9"/>
  <c r="A54" i="9"/>
  <c r="B54" i="9"/>
  <c r="C54" i="9"/>
  <c r="D54" i="9"/>
  <c r="E54" i="9"/>
  <c r="F54" i="9"/>
  <c r="G54" i="9"/>
  <c r="H54" i="9"/>
  <c r="I54" i="9"/>
  <c r="J54" i="9"/>
  <c r="K54" i="9"/>
  <c r="L54" i="9"/>
  <c r="M54" i="9"/>
  <c r="N54" i="9"/>
  <c r="O54" i="9"/>
  <c r="P54" i="9"/>
  <c r="Q54" i="9"/>
  <c r="R54" i="9"/>
  <c r="S54" i="9"/>
  <c r="T54" i="9"/>
  <c r="U54" i="9"/>
  <c r="V54" i="9"/>
  <c r="W54" i="9"/>
  <c r="X54" i="9"/>
  <c r="Y54" i="9"/>
  <c r="Z54" i="9"/>
  <c r="AA54" i="9"/>
  <c r="AB54" i="9"/>
  <c r="AC54" i="9"/>
  <c r="AD54" i="9"/>
  <c r="AE54" i="9"/>
  <c r="AF54" i="9"/>
  <c r="AG54" i="9"/>
  <c r="AH54" i="9"/>
  <c r="AI54" i="9"/>
  <c r="AJ54" i="9"/>
  <c r="AK54" i="9"/>
  <c r="AL54" i="9"/>
  <c r="AM54" i="9"/>
  <c r="AN54" i="9"/>
  <c r="A55" i="9"/>
  <c r="B55" i="9"/>
  <c r="C55" i="9"/>
  <c r="D55" i="9"/>
  <c r="E55" i="9"/>
  <c r="F55" i="9"/>
  <c r="G55" i="9"/>
  <c r="H55" i="9"/>
  <c r="I55" i="9"/>
  <c r="J55" i="9"/>
  <c r="K55" i="9"/>
  <c r="L55" i="9"/>
  <c r="M55" i="9"/>
  <c r="N55" i="9"/>
  <c r="O55" i="9"/>
  <c r="P55" i="9"/>
  <c r="Q55" i="9"/>
  <c r="R55" i="9"/>
  <c r="S55" i="9"/>
  <c r="T55" i="9"/>
  <c r="U55" i="9"/>
  <c r="V55" i="9"/>
  <c r="W55" i="9"/>
  <c r="X55" i="9"/>
  <c r="Y55" i="9"/>
  <c r="Z55" i="9"/>
  <c r="AA55" i="9"/>
  <c r="AB55" i="9"/>
  <c r="AC55" i="9"/>
  <c r="AD55" i="9"/>
  <c r="AE55" i="9"/>
  <c r="AF55" i="9"/>
  <c r="AG55" i="9"/>
  <c r="AH55" i="9"/>
  <c r="AI55" i="9"/>
  <c r="AJ55" i="9"/>
  <c r="AK55" i="9"/>
  <c r="AL55" i="9"/>
  <c r="AM55" i="9"/>
  <c r="AN55" i="9"/>
  <c r="A57" i="9"/>
  <c r="B57" i="9"/>
  <c r="C57" i="9"/>
  <c r="D57" i="9"/>
  <c r="E57" i="9"/>
  <c r="F57" i="9"/>
  <c r="G57" i="9"/>
  <c r="H57" i="9"/>
  <c r="I57" i="9"/>
  <c r="J57" i="9"/>
  <c r="K57" i="9"/>
  <c r="L57" i="9"/>
  <c r="M57" i="9"/>
  <c r="N57" i="9"/>
  <c r="O57" i="9"/>
  <c r="P57" i="9"/>
  <c r="Q57" i="9"/>
  <c r="R57" i="9"/>
  <c r="S57" i="9"/>
  <c r="T57" i="9"/>
  <c r="U57" i="9"/>
  <c r="V57" i="9"/>
  <c r="W57" i="9"/>
  <c r="X57" i="9"/>
  <c r="Y57" i="9"/>
  <c r="Z57" i="9"/>
  <c r="AA57" i="9"/>
  <c r="AB57" i="9"/>
  <c r="AC57" i="9"/>
  <c r="AD57" i="9"/>
  <c r="AE57" i="9"/>
  <c r="AF57" i="9"/>
  <c r="AG57" i="9"/>
  <c r="AH57" i="9"/>
  <c r="AI57" i="9"/>
  <c r="AJ57" i="9"/>
  <c r="AK57" i="9"/>
  <c r="AL57" i="9"/>
  <c r="AM57" i="9"/>
  <c r="AN57" i="9"/>
  <c r="A58" i="9"/>
  <c r="B58" i="9"/>
  <c r="C58" i="9"/>
  <c r="D58" i="9"/>
  <c r="E58" i="9"/>
  <c r="F58" i="9"/>
  <c r="G58" i="9"/>
  <c r="H58" i="9"/>
  <c r="I58" i="9"/>
  <c r="J58" i="9"/>
  <c r="K58" i="9"/>
  <c r="L58" i="9"/>
  <c r="M58" i="9"/>
  <c r="N58" i="9"/>
  <c r="O58" i="9"/>
  <c r="P58" i="9"/>
  <c r="Q58" i="9"/>
  <c r="R58" i="9"/>
  <c r="S58" i="9"/>
  <c r="T58" i="9"/>
  <c r="U58" i="9"/>
  <c r="V58" i="9"/>
  <c r="W58" i="9"/>
  <c r="X58" i="9"/>
  <c r="Y58" i="9"/>
  <c r="Z58" i="9"/>
  <c r="AA58" i="9"/>
  <c r="AB58" i="9"/>
  <c r="AC58" i="9"/>
  <c r="AD58" i="9"/>
  <c r="AE58" i="9"/>
  <c r="AF58" i="9"/>
  <c r="AG58" i="9"/>
  <c r="AH58" i="9"/>
  <c r="AI58" i="9"/>
  <c r="AJ58" i="9"/>
  <c r="AK58" i="9"/>
  <c r="AL58" i="9"/>
  <c r="AM58" i="9"/>
  <c r="AN58" i="9"/>
  <c r="A59" i="9"/>
  <c r="B59" i="9"/>
  <c r="A60" i="9"/>
  <c r="B60" i="9"/>
  <c r="C60" i="9"/>
  <c r="D60" i="9"/>
  <c r="Z30" i="6" s="1"/>
  <c r="E60" i="9"/>
  <c r="F60" i="9"/>
  <c r="G60" i="9"/>
  <c r="H60" i="9"/>
  <c r="I60" i="9"/>
  <c r="J60" i="9"/>
  <c r="X29" i="6" s="1"/>
  <c r="K60" i="9"/>
  <c r="L60" i="9"/>
  <c r="M60" i="9"/>
  <c r="N60" i="9"/>
  <c r="O60" i="9"/>
  <c r="P60" i="9"/>
  <c r="Q60" i="9"/>
  <c r="R60" i="9"/>
  <c r="S60" i="9"/>
  <c r="T60" i="9"/>
  <c r="U60" i="9"/>
  <c r="V60" i="9"/>
  <c r="W60" i="9"/>
  <c r="X60" i="9"/>
  <c r="Y60" i="9"/>
  <c r="Z60" i="9"/>
  <c r="AA60" i="9"/>
  <c r="AB60" i="9"/>
  <c r="AC60" i="9"/>
  <c r="AD60" i="9"/>
  <c r="AE60" i="9"/>
  <c r="AF60" i="9"/>
  <c r="AG60" i="9"/>
  <c r="AH60" i="9"/>
  <c r="AI60" i="9"/>
  <c r="AJ60" i="9"/>
  <c r="AK60" i="9"/>
  <c r="AL60" i="9"/>
  <c r="AM60" i="9"/>
  <c r="AN60" i="9"/>
  <c r="A61" i="9"/>
  <c r="B61" i="9"/>
  <c r="C61" i="9"/>
  <c r="D61" i="9"/>
  <c r="E61" i="9"/>
  <c r="F61" i="9"/>
  <c r="G61" i="9"/>
  <c r="H61" i="9"/>
  <c r="I61" i="9"/>
  <c r="J61" i="9"/>
  <c r="K61" i="9"/>
  <c r="L61" i="9"/>
  <c r="M61" i="9"/>
  <c r="N61" i="9"/>
  <c r="O61" i="9"/>
  <c r="P61" i="9"/>
  <c r="Q61" i="9"/>
  <c r="R61" i="9"/>
  <c r="S61" i="9"/>
  <c r="T61" i="9"/>
  <c r="U61" i="9"/>
  <c r="V61" i="9"/>
  <c r="W61" i="9"/>
  <c r="X61" i="9"/>
  <c r="Y61" i="9"/>
  <c r="Z61" i="9"/>
  <c r="AA61" i="9"/>
  <c r="AB61" i="9"/>
  <c r="AC61" i="9"/>
  <c r="AD61" i="9"/>
  <c r="AE61" i="9"/>
  <c r="AF61" i="9"/>
  <c r="AG61" i="9"/>
  <c r="AH61" i="9"/>
  <c r="AI61" i="9"/>
  <c r="AJ61" i="9"/>
  <c r="AK61" i="9"/>
  <c r="AL61" i="9"/>
  <c r="AM61" i="9"/>
  <c r="AN61" i="9"/>
  <c r="A65" i="9"/>
  <c r="A66" i="9"/>
  <c r="A67" i="9"/>
  <c r="A69" i="9"/>
  <c r="B69" i="9"/>
  <c r="C69" i="9"/>
  <c r="D69" i="9"/>
  <c r="E69" i="9"/>
  <c r="F69" i="9"/>
  <c r="G69" i="9"/>
  <c r="H69" i="9"/>
  <c r="I69" i="9"/>
  <c r="J69" i="9"/>
  <c r="K69" i="9"/>
  <c r="L69" i="9"/>
  <c r="M69" i="9"/>
  <c r="N69" i="9"/>
  <c r="O69" i="9"/>
  <c r="P69" i="9"/>
  <c r="Q69" i="9"/>
  <c r="R69" i="9"/>
  <c r="S69" i="9"/>
  <c r="T69" i="9"/>
  <c r="U69" i="9"/>
  <c r="V69" i="9"/>
  <c r="W69" i="9"/>
  <c r="X69" i="9"/>
  <c r="Y69" i="9"/>
  <c r="Z69" i="9"/>
  <c r="AA69" i="9"/>
  <c r="AB69" i="9"/>
  <c r="AC69" i="9"/>
  <c r="AD69" i="9"/>
  <c r="AE69" i="9"/>
  <c r="AF69" i="9"/>
  <c r="AG69" i="9"/>
  <c r="AH69" i="9"/>
  <c r="AI69" i="9"/>
  <c r="AJ69" i="9"/>
  <c r="AK69" i="9"/>
  <c r="AL69" i="9"/>
  <c r="AM69" i="9"/>
  <c r="AN69" i="9"/>
  <c r="A70" i="9"/>
  <c r="B70" i="9"/>
  <c r="C70" i="9"/>
  <c r="D70" i="9"/>
  <c r="AD22" i="6" s="1"/>
  <c r="E70" i="9"/>
  <c r="F70" i="9"/>
  <c r="G70" i="9"/>
  <c r="H70" i="9"/>
  <c r="I70" i="9"/>
  <c r="J70" i="9"/>
  <c r="K70" i="9"/>
  <c r="L70" i="9"/>
  <c r="M70" i="9"/>
  <c r="N70" i="9"/>
  <c r="O70" i="9"/>
  <c r="P70" i="9"/>
  <c r="Q70" i="9"/>
  <c r="R70" i="9"/>
  <c r="S70" i="9"/>
  <c r="T70" i="9"/>
  <c r="U70" i="9"/>
  <c r="V70" i="9"/>
  <c r="W70" i="9"/>
  <c r="X70" i="9"/>
  <c r="Y70" i="9"/>
  <c r="Z70" i="9"/>
  <c r="AA70" i="9"/>
  <c r="AB70" i="9"/>
  <c r="AC70" i="9"/>
  <c r="AD70" i="9"/>
  <c r="AE70" i="9"/>
  <c r="AF70" i="9"/>
  <c r="AG70" i="9"/>
  <c r="AH70" i="9"/>
  <c r="AI70" i="9"/>
  <c r="AJ70" i="9"/>
  <c r="AK70" i="9"/>
  <c r="AL70" i="9"/>
  <c r="AM70" i="9"/>
  <c r="AN70" i="9"/>
  <c r="A71" i="9"/>
  <c r="B71" i="9"/>
  <c r="C71" i="9"/>
  <c r="D71" i="9"/>
  <c r="E71" i="9"/>
  <c r="F71" i="9"/>
  <c r="G71" i="9"/>
  <c r="H71" i="9"/>
  <c r="I71" i="9"/>
  <c r="J71" i="9"/>
  <c r="K71" i="9"/>
  <c r="L71" i="9"/>
  <c r="M71" i="9"/>
  <c r="N71" i="9"/>
  <c r="O71" i="9"/>
  <c r="P71" i="9"/>
  <c r="Q71" i="9"/>
  <c r="R71" i="9"/>
  <c r="S71" i="9"/>
  <c r="T71" i="9"/>
  <c r="U71" i="9"/>
  <c r="V71" i="9"/>
  <c r="W71" i="9"/>
  <c r="X71" i="9"/>
  <c r="Y71" i="9"/>
  <c r="Z71" i="9"/>
  <c r="AA71" i="9"/>
  <c r="AB71" i="9"/>
  <c r="AC71" i="9"/>
  <c r="AD71" i="9"/>
  <c r="AE71" i="9"/>
  <c r="AF71" i="9"/>
  <c r="AG71" i="9"/>
  <c r="AH71" i="9"/>
  <c r="AI71" i="9"/>
  <c r="AJ71" i="9"/>
  <c r="AK71" i="9"/>
  <c r="AL71" i="9"/>
  <c r="AM71" i="9"/>
  <c r="AN71" i="9"/>
  <c r="A72" i="9"/>
  <c r="B72" i="9"/>
  <c r="C72" i="9"/>
  <c r="D72" i="9"/>
  <c r="AD20" i="6" s="1"/>
  <c r="E72" i="9"/>
  <c r="F72" i="9"/>
  <c r="G72" i="9"/>
  <c r="H72" i="9"/>
  <c r="I72" i="9"/>
  <c r="J72" i="9"/>
  <c r="K72" i="9"/>
  <c r="L72" i="9"/>
  <c r="M72" i="9"/>
  <c r="N72" i="9"/>
  <c r="O72" i="9"/>
  <c r="P72" i="9"/>
  <c r="Q72" i="9"/>
  <c r="R72" i="9"/>
  <c r="S72" i="9"/>
  <c r="T72" i="9"/>
  <c r="U72" i="9"/>
  <c r="V72" i="9"/>
  <c r="W72" i="9"/>
  <c r="X72" i="9"/>
  <c r="Y72" i="9"/>
  <c r="Z72" i="9"/>
  <c r="AA72" i="9"/>
  <c r="AB72" i="9"/>
  <c r="AC72" i="9"/>
  <c r="AD72" i="9"/>
  <c r="AE72" i="9"/>
  <c r="AF72" i="9"/>
  <c r="AG72" i="9"/>
  <c r="AH72" i="9"/>
  <c r="AI72" i="9"/>
  <c r="AJ72" i="9"/>
  <c r="AK72" i="9"/>
  <c r="AL72" i="9"/>
  <c r="AM72" i="9"/>
  <c r="AN72" i="9"/>
  <c r="A73" i="9"/>
  <c r="B73" i="9"/>
  <c r="C73" i="9"/>
  <c r="D73" i="9"/>
  <c r="E73" i="9"/>
  <c r="F73" i="9"/>
  <c r="G73" i="9"/>
  <c r="H73" i="9"/>
  <c r="I73" i="9"/>
  <c r="J73" i="9"/>
  <c r="K73" i="9"/>
  <c r="L73" i="9"/>
  <c r="M73" i="9"/>
  <c r="N73" i="9"/>
  <c r="O73" i="9"/>
  <c r="P73" i="9"/>
  <c r="Q73" i="9"/>
  <c r="R73" i="9"/>
  <c r="S73" i="9"/>
  <c r="T73" i="9"/>
  <c r="U73" i="9"/>
  <c r="V73" i="9"/>
  <c r="W73" i="9"/>
  <c r="X73" i="9"/>
  <c r="Y73" i="9"/>
  <c r="Z73" i="9"/>
  <c r="AA73" i="9"/>
  <c r="AB73" i="9"/>
  <c r="AC73" i="9"/>
  <c r="AD73" i="9"/>
  <c r="AE73" i="9"/>
  <c r="AF73" i="9"/>
  <c r="AG73" i="9"/>
  <c r="AH73" i="9"/>
  <c r="AI73" i="9"/>
  <c r="AJ73" i="9"/>
  <c r="AK73" i="9"/>
  <c r="AL73" i="9"/>
  <c r="AM73" i="9"/>
  <c r="AN73" i="9"/>
  <c r="A74" i="9"/>
  <c r="B74" i="9"/>
  <c r="C74" i="9"/>
  <c r="D74" i="9"/>
  <c r="E74" i="9"/>
  <c r="F74" i="9"/>
  <c r="G74" i="9"/>
  <c r="H74" i="9"/>
  <c r="I74" i="9"/>
  <c r="J74" i="9"/>
  <c r="K74" i="9"/>
  <c r="L74" i="9"/>
  <c r="M74" i="9"/>
  <c r="N74" i="9"/>
  <c r="O74" i="9"/>
  <c r="P74" i="9"/>
  <c r="Q74" i="9"/>
  <c r="R74" i="9"/>
  <c r="S74" i="9"/>
  <c r="T74" i="9"/>
  <c r="U74" i="9"/>
  <c r="V74" i="9"/>
  <c r="W74" i="9"/>
  <c r="X74" i="9"/>
  <c r="Y74" i="9"/>
  <c r="Z74" i="9"/>
  <c r="AA74" i="9"/>
  <c r="AB74" i="9"/>
  <c r="AC74" i="9"/>
  <c r="AD74" i="9"/>
  <c r="AE74" i="9"/>
  <c r="AF74" i="9"/>
  <c r="AG74" i="9"/>
  <c r="AH74" i="9"/>
  <c r="AI74" i="9"/>
  <c r="AJ74" i="9"/>
  <c r="AK74" i="9"/>
  <c r="AL74" i="9"/>
  <c r="AM74" i="9"/>
  <c r="AN74" i="9"/>
  <c r="A75" i="9"/>
  <c r="B75" i="9"/>
  <c r="C75" i="9"/>
  <c r="D75" i="9"/>
  <c r="E75" i="9"/>
  <c r="F75" i="9"/>
  <c r="G75" i="9"/>
  <c r="H75" i="9"/>
  <c r="I75" i="9"/>
  <c r="J75" i="9"/>
  <c r="K75" i="9"/>
  <c r="L75" i="9"/>
  <c r="M75" i="9"/>
  <c r="N75" i="9"/>
  <c r="O75" i="9"/>
  <c r="P75" i="9"/>
  <c r="Q75" i="9"/>
  <c r="R75" i="9"/>
  <c r="S75" i="9"/>
  <c r="T75" i="9"/>
  <c r="U75" i="9"/>
  <c r="V75" i="9"/>
  <c r="W75" i="9"/>
  <c r="X75" i="9"/>
  <c r="Y75" i="9"/>
  <c r="Z75" i="9"/>
  <c r="AA75" i="9"/>
  <c r="AB75" i="9"/>
  <c r="AC75" i="9"/>
  <c r="AD75" i="9"/>
  <c r="AE75" i="9"/>
  <c r="AF75" i="9"/>
  <c r="AG75" i="9"/>
  <c r="AH75" i="9"/>
  <c r="AI75" i="9"/>
  <c r="AJ75" i="9"/>
  <c r="AK75" i="9"/>
  <c r="AL75" i="9"/>
  <c r="AM75" i="9"/>
  <c r="AN75" i="9"/>
  <c r="A76" i="9"/>
  <c r="B76" i="9"/>
  <c r="C76" i="9"/>
  <c r="D76" i="9"/>
  <c r="E76" i="9"/>
  <c r="F76" i="9"/>
  <c r="G76" i="9"/>
  <c r="H76" i="9"/>
  <c r="I76" i="9"/>
  <c r="J76" i="9"/>
  <c r="K76" i="9"/>
  <c r="L76" i="9"/>
  <c r="M76" i="9"/>
  <c r="N76" i="9"/>
  <c r="O76" i="9"/>
  <c r="P76" i="9"/>
  <c r="Q76" i="9"/>
  <c r="R76" i="9"/>
  <c r="S76" i="9"/>
  <c r="T76" i="9"/>
  <c r="U76" i="9"/>
  <c r="V76" i="9"/>
  <c r="W76" i="9"/>
  <c r="X76" i="9"/>
  <c r="Y76" i="9"/>
  <c r="Z76" i="9"/>
  <c r="AA76" i="9"/>
  <c r="AB76" i="9"/>
  <c r="AC76" i="9"/>
  <c r="AD76" i="9"/>
  <c r="AE76" i="9"/>
  <c r="AF76" i="9"/>
  <c r="AG76" i="9"/>
  <c r="AH76" i="9"/>
  <c r="AI76" i="9"/>
  <c r="AJ76" i="9"/>
  <c r="AK76" i="9"/>
  <c r="AL76" i="9"/>
  <c r="AM76" i="9"/>
  <c r="AN76" i="9"/>
  <c r="A77" i="9"/>
  <c r="B77" i="9"/>
  <c r="C77" i="9"/>
  <c r="D77" i="9"/>
  <c r="E77" i="9"/>
  <c r="F77" i="9"/>
  <c r="G77" i="9"/>
  <c r="H77" i="9"/>
  <c r="I77" i="9"/>
  <c r="J77" i="9"/>
  <c r="K77" i="9"/>
  <c r="L77" i="9"/>
  <c r="M77" i="9"/>
  <c r="N77" i="9"/>
  <c r="O77" i="9"/>
  <c r="P77" i="9"/>
  <c r="Q77" i="9"/>
  <c r="R77" i="9"/>
  <c r="S77" i="9"/>
  <c r="T77" i="9"/>
  <c r="U77" i="9"/>
  <c r="V77" i="9"/>
  <c r="W77" i="9"/>
  <c r="X77" i="9"/>
  <c r="Y77" i="9"/>
  <c r="Z77" i="9"/>
  <c r="AA77" i="9"/>
  <c r="AB77" i="9"/>
  <c r="AC77" i="9"/>
  <c r="AD77" i="9"/>
  <c r="AE77" i="9"/>
  <c r="AF77" i="9"/>
  <c r="AG77" i="9"/>
  <c r="AH77" i="9"/>
  <c r="AI77" i="9"/>
  <c r="AJ77" i="9"/>
  <c r="AK77" i="9"/>
  <c r="AL77" i="9"/>
  <c r="AM77" i="9"/>
  <c r="AN77" i="9"/>
  <c r="A78" i="9"/>
  <c r="B78" i="9"/>
  <c r="C78" i="9"/>
  <c r="D78" i="9"/>
  <c r="E78" i="9"/>
  <c r="F78" i="9"/>
  <c r="G78" i="9"/>
  <c r="H78" i="9"/>
  <c r="I78" i="9"/>
  <c r="J78" i="9"/>
  <c r="AB12" i="6" s="1"/>
  <c r="K78" i="9"/>
  <c r="L78" i="9"/>
  <c r="M78" i="9"/>
  <c r="N78" i="9"/>
  <c r="O78" i="9"/>
  <c r="P78" i="9"/>
  <c r="Q78" i="9"/>
  <c r="R78" i="9"/>
  <c r="S78" i="9"/>
  <c r="T78" i="9"/>
  <c r="U78" i="9"/>
  <c r="V78" i="9"/>
  <c r="W78" i="9"/>
  <c r="X78" i="9"/>
  <c r="Y78" i="9"/>
  <c r="Z78" i="9"/>
  <c r="AA78" i="9"/>
  <c r="AB78" i="9"/>
  <c r="AC78" i="9"/>
  <c r="AD78" i="9"/>
  <c r="AE78" i="9"/>
  <c r="AF78" i="9"/>
  <c r="AG78" i="9"/>
  <c r="AH78" i="9"/>
  <c r="AI78" i="9"/>
  <c r="AJ78" i="9"/>
  <c r="AK78" i="9"/>
  <c r="AL78" i="9"/>
  <c r="AM78" i="9"/>
  <c r="AN78" i="9"/>
  <c r="A79" i="9"/>
  <c r="B79" i="9"/>
  <c r="C79" i="9"/>
  <c r="D79" i="9"/>
  <c r="E79" i="9"/>
  <c r="F79" i="9"/>
  <c r="G79" i="9"/>
  <c r="H79" i="9"/>
  <c r="I79" i="9"/>
  <c r="J79" i="9"/>
  <c r="K79" i="9"/>
  <c r="L79" i="9"/>
  <c r="M79" i="9"/>
  <c r="N79" i="9"/>
  <c r="O79" i="9"/>
  <c r="P79" i="9"/>
  <c r="Q79" i="9"/>
  <c r="R79" i="9"/>
  <c r="S79" i="9"/>
  <c r="T79" i="9"/>
  <c r="U79" i="9"/>
  <c r="V79" i="9"/>
  <c r="W79" i="9"/>
  <c r="X79" i="9"/>
  <c r="Y79" i="9"/>
  <c r="Z79" i="9"/>
  <c r="AA79" i="9"/>
  <c r="AB79" i="9"/>
  <c r="AC79" i="9"/>
  <c r="AD79" i="9"/>
  <c r="AE79" i="9"/>
  <c r="AF79" i="9"/>
  <c r="AG79" i="9"/>
  <c r="AH79" i="9"/>
  <c r="AI79" i="9"/>
  <c r="AJ79" i="9"/>
  <c r="AK79" i="9"/>
  <c r="AL79" i="9"/>
  <c r="AM79" i="9"/>
  <c r="AN79" i="9"/>
  <c r="A80" i="9"/>
  <c r="B80" i="9"/>
  <c r="C80" i="9"/>
  <c r="D80" i="9"/>
  <c r="E80" i="9"/>
  <c r="F80" i="9"/>
  <c r="G80" i="9"/>
  <c r="H80" i="9"/>
  <c r="I80" i="9"/>
  <c r="J80" i="9"/>
  <c r="K80" i="9"/>
  <c r="L80" i="9"/>
  <c r="M80" i="9"/>
  <c r="N80" i="9"/>
  <c r="O80" i="9"/>
  <c r="P80" i="9"/>
  <c r="Q80" i="9"/>
  <c r="R80" i="9"/>
  <c r="S80" i="9"/>
  <c r="T80" i="9"/>
  <c r="U80" i="9"/>
  <c r="V80" i="9"/>
  <c r="W80" i="9"/>
  <c r="X80" i="9"/>
  <c r="Y80" i="9"/>
  <c r="Z80" i="9"/>
  <c r="AA80" i="9"/>
  <c r="AB80" i="9"/>
  <c r="AC80" i="9"/>
  <c r="AD80" i="9"/>
  <c r="AE80" i="9"/>
  <c r="AF80" i="9"/>
  <c r="AG80" i="9"/>
  <c r="AH80" i="9"/>
  <c r="AI80" i="9"/>
  <c r="AJ80" i="9"/>
  <c r="AK80" i="9"/>
  <c r="AL80" i="9"/>
  <c r="AM80" i="9"/>
  <c r="AN80" i="9"/>
  <c r="A81" i="9"/>
  <c r="B81" i="9"/>
  <c r="C81" i="9"/>
  <c r="D81" i="9"/>
  <c r="E81" i="9"/>
  <c r="F81" i="9"/>
  <c r="G81" i="9"/>
  <c r="H81" i="9"/>
  <c r="I81" i="9"/>
  <c r="J81" i="9"/>
  <c r="K81" i="9"/>
  <c r="L81" i="9"/>
  <c r="M81" i="9"/>
  <c r="N81" i="9"/>
  <c r="O81" i="9"/>
  <c r="P81" i="9"/>
  <c r="Q81" i="9"/>
  <c r="R81" i="9"/>
  <c r="S81" i="9"/>
  <c r="T81" i="9"/>
  <c r="U81" i="9"/>
  <c r="V81" i="9"/>
  <c r="W81" i="9"/>
  <c r="X81" i="9"/>
  <c r="Y81" i="9"/>
  <c r="Z81" i="9"/>
  <c r="AA81" i="9"/>
  <c r="AB81" i="9"/>
  <c r="AC81" i="9"/>
  <c r="AD81" i="9"/>
  <c r="AE81" i="9"/>
  <c r="AF81" i="9"/>
  <c r="AG81" i="9"/>
  <c r="AH81" i="9"/>
  <c r="AI81" i="9"/>
  <c r="AJ81" i="9"/>
  <c r="AK81" i="9"/>
  <c r="AL81" i="9"/>
  <c r="AM81" i="9"/>
  <c r="AN81" i="9"/>
  <c r="A82" i="9"/>
  <c r="B82" i="9"/>
  <c r="C82" i="9"/>
  <c r="D82" i="9"/>
  <c r="E82" i="9"/>
  <c r="F82" i="9"/>
  <c r="G82" i="9"/>
  <c r="H82" i="9"/>
  <c r="I82" i="9"/>
  <c r="J82" i="9"/>
  <c r="K82" i="9"/>
  <c r="L82" i="9"/>
  <c r="M82" i="9"/>
  <c r="N82" i="9"/>
  <c r="O82" i="9"/>
  <c r="P82" i="9"/>
  <c r="Q82" i="9"/>
  <c r="R82" i="9"/>
  <c r="S82" i="9"/>
  <c r="T82" i="9"/>
  <c r="U82" i="9"/>
  <c r="V82" i="9"/>
  <c r="W82" i="9"/>
  <c r="X82" i="9"/>
  <c r="Y82" i="9"/>
  <c r="Z82" i="9"/>
  <c r="AA82" i="9"/>
  <c r="AB82" i="9"/>
  <c r="AC82" i="9"/>
  <c r="AD82" i="9"/>
  <c r="AE82" i="9"/>
  <c r="AF82" i="9"/>
  <c r="AG82" i="9"/>
  <c r="AH82" i="9"/>
  <c r="AI82" i="9"/>
  <c r="AJ82" i="9"/>
  <c r="AK82" i="9"/>
  <c r="AL82" i="9"/>
  <c r="AM82" i="9"/>
  <c r="AN82" i="9"/>
  <c r="A83" i="9"/>
  <c r="B83" i="9"/>
  <c r="C83" i="9"/>
  <c r="D83" i="9"/>
  <c r="E83" i="9"/>
  <c r="F83" i="9"/>
  <c r="G83" i="9"/>
  <c r="H83" i="9"/>
  <c r="I83" i="9"/>
  <c r="J83" i="9"/>
  <c r="K83" i="9"/>
  <c r="L83" i="9"/>
  <c r="M83" i="9"/>
  <c r="N83" i="9"/>
  <c r="O83" i="9"/>
  <c r="P83" i="9"/>
  <c r="Q83" i="9"/>
  <c r="R83" i="9"/>
  <c r="S83" i="9"/>
  <c r="T83" i="9"/>
  <c r="U83" i="9"/>
  <c r="V83" i="9"/>
  <c r="W83" i="9"/>
  <c r="X83" i="9"/>
  <c r="Y83" i="9"/>
  <c r="Z83" i="9"/>
  <c r="AA83" i="9"/>
  <c r="AB83" i="9"/>
  <c r="AC83" i="9"/>
  <c r="AD83" i="9"/>
  <c r="AE83" i="9"/>
  <c r="AF83" i="9"/>
  <c r="AG83" i="9"/>
  <c r="AH83" i="9"/>
  <c r="AI83" i="9"/>
  <c r="AJ83" i="9"/>
  <c r="AK83" i="9"/>
  <c r="AL83" i="9"/>
  <c r="AM83" i="9"/>
  <c r="AN83" i="9"/>
  <c r="A84" i="9"/>
  <c r="B84" i="9"/>
  <c r="C84" i="9"/>
  <c r="D84" i="9"/>
  <c r="E84" i="9"/>
  <c r="F84" i="9"/>
  <c r="G84" i="9"/>
  <c r="H84" i="9"/>
  <c r="I84" i="9"/>
  <c r="J84" i="9"/>
  <c r="K84" i="9"/>
  <c r="L84" i="9"/>
  <c r="M84" i="9"/>
  <c r="N84" i="9"/>
  <c r="O84" i="9"/>
  <c r="P84" i="9"/>
  <c r="Q84" i="9"/>
  <c r="R84" i="9"/>
  <c r="S84" i="9"/>
  <c r="T84" i="9"/>
  <c r="U84" i="9"/>
  <c r="V84" i="9"/>
  <c r="W84" i="9"/>
  <c r="X84" i="9"/>
  <c r="Y84" i="9"/>
  <c r="Z84" i="9"/>
  <c r="AA84" i="9"/>
  <c r="AB84" i="9"/>
  <c r="AC84" i="9"/>
  <c r="AD84" i="9"/>
  <c r="AE84" i="9"/>
  <c r="AF84" i="9"/>
  <c r="AG84" i="9"/>
  <c r="AH84" i="9"/>
  <c r="AI84" i="9"/>
  <c r="AJ84" i="9"/>
  <c r="AK84" i="9"/>
  <c r="AL84" i="9"/>
  <c r="AM84" i="9"/>
  <c r="AN84" i="9"/>
  <c r="A85" i="9"/>
  <c r="B85" i="9"/>
  <c r="C85" i="9"/>
  <c r="D85" i="9"/>
  <c r="E85" i="9"/>
  <c r="F85" i="9"/>
  <c r="G85" i="9"/>
  <c r="H85" i="9"/>
  <c r="I85" i="9"/>
  <c r="J85" i="9"/>
  <c r="K85" i="9"/>
  <c r="L85" i="9"/>
  <c r="M85" i="9"/>
  <c r="N85" i="9"/>
  <c r="O85" i="9"/>
  <c r="P85" i="9"/>
  <c r="Q85" i="9"/>
  <c r="R85" i="9"/>
  <c r="S85" i="9"/>
  <c r="T85" i="9"/>
  <c r="U85" i="9"/>
  <c r="V85" i="9"/>
  <c r="W85" i="9"/>
  <c r="X85" i="9"/>
  <c r="Y85" i="9"/>
  <c r="Z85" i="9"/>
  <c r="AA85" i="9"/>
  <c r="AB85" i="9"/>
  <c r="AC85" i="9"/>
  <c r="AD85" i="9"/>
  <c r="AE85" i="9"/>
  <c r="AF85" i="9"/>
  <c r="AG85" i="9"/>
  <c r="AH85" i="9"/>
  <c r="AI85" i="9"/>
  <c r="AJ85" i="9"/>
  <c r="AK85" i="9"/>
  <c r="AL85" i="9"/>
  <c r="AM85" i="9"/>
  <c r="AN85" i="9"/>
  <c r="A86" i="9"/>
  <c r="B86" i="9"/>
  <c r="C86" i="9"/>
  <c r="D86" i="9"/>
  <c r="E86" i="9"/>
  <c r="F86" i="9"/>
  <c r="G86" i="9"/>
  <c r="H86" i="9"/>
  <c r="I86" i="9"/>
  <c r="J86" i="9"/>
  <c r="K86" i="9"/>
  <c r="L86" i="9"/>
  <c r="M86" i="9"/>
  <c r="N86" i="9"/>
  <c r="O86" i="9"/>
  <c r="P86" i="9"/>
  <c r="Q86" i="9"/>
  <c r="R86" i="9"/>
  <c r="S86" i="9"/>
  <c r="T86" i="9"/>
  <c r="U86" i="9"/>
  <c r="V86" i="9"/>
  <c r="W86" i="9"/>
  <c r="X86" i="9"/>
  <c r="Y86" i="9"/>
  <c r="Z86" i="9"/>
  <c r="AA86" i="9"/>
  <c r="AB86" i="9"/>
  <c r="AC86" i="9"/>
  <c r="AD86" i="9"/>
  <c r="AE86" i="9"/>
  <c r="AF86" i="9"/>
  <c r="AG86" i="9"/>
  <c r="AH86" i="9"/>
  <c r="AI86" i="9"/>
  <c r="AJ86" i="9"/>
  <c r="AK86" i="9"/>
  <c r="AL86" i="9"/>
  <c r="AM86" i="9"/>
  <c r="AN86" i="9"/>
  <c r="A87" i="9"/>
  <c r="B87" i="9"/>
  <c r="C87" i="9"/>
  <c r="D87" i="9"/>
  <c r="E87" i="9"/>
  <c r="F87" i="9"/>
  <c r="G87" i="9"/>
  <c r="H87" i="9"/>
  <c r="I87" i="9"/>
  <c r="J87" i="9"/>
  <c r="K87" i="9"/>
  <c r="L87" i="9"/>
  <c r="M87" i="9"/>
  <c r="N87" i="9"/>
  <c r="O87" i="9"/>
  <c r="P87" i="9"/>
  <c r="Q87" i="9"/>
  <c r="R87" i="9"/>
  <c r="S87" i="9"/>
  <c r="T87" i="9"/>
  <c r="U87" i="9"/>
  <c r="V87" i="9"/>
  <c r="W87" i="9"/>
  <c r="X87" i="9"/>
  <c r="Y87" i="9"/>
  <c r="Z87" i="9"/>
  <c r="AA87" i="9"/>
  <c r="AB87" i="9"/>
  <c r="AC87" i="9"/>
  <c r="AD87" i="9"/>
  <c r="AE87" i="9"/>
  <c r="AF87" i="9"/>
  <c r="AG87" i="9"/>
  <c r="AH87" i="9"/>
  <c r="AI87" i="9"/>
  <c r="AJ87" i="9"/>
  <c r="AK87" i="9"/>
  <c r="AL87" i="9"/>
  <c r="AM87" i="9"/>
  <c r="AN87" i="9"/>
  <c r="A88" i="9"/>
  <c r="B88" i="9"/>
  <c r="C88" i="9"/>
  <c r="D88" i="9"/>
  <c r="E88" i="9"/>
  <c r="F88" i="9"/>
  <c r="G88" i="9"/>
  <c r="H88" i="9"/>
  <c r="I88" i="9"/>
  <c r="J88" i="9"/>
  <c r="K88" i="9"/>
  <c r="L88" i="9"/>
  <c r="M88" i="9"/>
  <c r="N88" i="9"/>
  <c r="O88" i="9"/>
  <c r="P88" i="9"/>
  <c r="Q88" i="9"/>
  <c r="R88" i="9"/>
  <c r="S88" i="9"/>
  <c r="T88" i="9"/>
  <c r="U88" i="9"/>
  <c r="V88" i="9"/>
  <c r="W88" i="9"/>
  <c r="X88" i="9"/>
  <c r="Y88" i="9"/>
  <c r="Z88" i="9"/>
  <c r="AA88" i="9"/>
  <c r="AB88" i="9"/>
  <c r="AC88" i="9"/>
  <c r="AD88" i="9"/>
  <c r="AE88" i="9"/>
  <c r="AF88" i="9"/>
  <c r="AG88" i="9"/>
  <c r="AH88" i="9"/>
  <c r="AI88" i="9"/>
  <c r="AJ88" i="9"/>
  <c r="AK88" i="9"/>
  <c r="AL88" i="9"/>
  <c r="AM88" i="9"/>
  <c r="AN88" i="9"/>
  <c r="A90" i="9"/>
  <c r="B90" i="9"/>
  <c r="C90" i="9"/>
  <c r="D90" i="9"/>
  <c r="E90" i="9"/>
  <c r="F90" i="9"/>
  <c r="G90" i="9"/>
  <c r="H90" i="9"/>
  <c r="I90" i="9"/>
  <c r="J90" i="9"/>
  <c r="K90" i="9"/>
  <c r="L90" i="9"/>
  <c r="M90" i="9"/>
  <c r="N90" i="9"/>
  <c r="O90" i="9"/>
  <c r="P90" i="9"/>
  <c r="Q90" i="9"/>
  <c r="R90" i="9"/>
  <c r="S90" i="9"/>
  <c r="T90" i="9"/>
  <c r="U90" i="9"/>
  <c r="V90" i="9"/>
  <c r="W90" i="9"/>
  <c r="X90" i="9"/>
  <c r="Y90" i="9"/>
  <c r="Z90" i="9"/>
  <c r="AA90" i="9"/>
  <c r="AB90" i="9"/>
  <c r="AC90" i="9"/>
  <c r="AD90" i="9"/>
  <c r="AE90" i="9"/>
  <c r="AF90" i="9"/>
  <c r="AG90" i="9"/>
  <c r="AH90" i="9"/>
  <c r="AI90" i="9"/>
  <c r="AJ90" i="9"/>
  <c r="AK90" i="9"/>
  <c r="AL90" i="9"/>
  <c r="AM90" i="9"/>
  <c r="AN90" i="9"/>
  <c r="A91" i="9"/>
  <c r="B91" i="9"/>
  <c r="C91" i="9"/>
  <c r="D91" i="9"/>
  <c r="E91" i="9"/>
  <c r="F91" i="9"/>
  <c r="G91" i="9"/>
  <c r="H91" i="9"/>
  <c r="I91" i="9"/>
  <c r="J91" i="9"/>
  <c r="K91" i="9"/>
  <c r="L91" i="9"/>
  <c r="M91" i="9"/>
  <c r="N91" i="9"/>
  <c r="O91" i="9"/>
  <c r="P91" i="9"/>
  <c r="Q91" i="9"/>
  <c r="R91" i="9"/>
  <c r="S91" i="9"/>
  <c r="T91" i="9"/>
  <c r="U91" i="9"/>
  <c r="V91" i="9"/>
  <c r="W91" i="9"/>
  <c r="X91" i="9"/>
  <c r="Y91" i="9"/>
  <c r="Z91" i="9"/>
  <c r="AA91" i="9"/>
  <c r="AB91" i="9"/>
  <c r="AC91" i="9"/>
  <c r="AD91" i="9"/>
  <c r="AE91" i="9"/>
  <c r="AF91" i="9"/>
  <c r="AG91" i="9"/>
  <c r="AH91" i="9"/>
  <c r="AI91" i="9"/>
  <c r="AJ91" i="9"/>
  <c r="AK91" i="9"/>
  <c r="AL91" i="9"/>
  <c r="AM91" i="9"/>
  <c r="AN91" i="9"/>
  <c r="A92" i="9"/>
  <c r="B92" i="9"/>
  <c r="A93" i="9"/>
  <c r="B93" i="9"/>
  <c r="C93" i="9"/>
  <c r="D93" i="9"/>
  <c r="E93" i="9"/>
  <c r="F93" i="9"/>
  <c r="G93" i="9"/>
  <c r="H93" i="9"/>
  <c r="I93" i="9"/>
  <c r="J93" i="9"/>
  <c r="AB30" i="6" s="1"/>
  <c r="K93" i="9"/>
  <c r="L93" i="9"/>
  <c r="M93" i="9"/>
  <c r="N93" i="9"/>
  <c r="O93" i="9"/>
  <c r="P93" i="9"/>
  <c r="Q93" i="9"/>
  <c r="R93" i="9"/>
  <c r="S93" i="9"/>
  <c r="T93" i="9"/>
  <c r="U93" i="9"/>
  <c r="V93" i="9"/>
  <c r="W93" i="9"/>
  <c r="X93" i="9"/>
  <c r="Y93" i="9"/>
  <c r="Z93" i="9"/>
  <c r="AA93" i="9"/>
  <c r="AB93" i="9"/>
  <c r="AC93" i="9"/>
  <c r="AD93" i="9"/>
  <c r="AE93" i="9"/>
  <c r="AF93" i="9"/>
  <c r="AG93" i="9"/>
  <c r="AH93" i="9"/>
  <c r="AI93" i="9"/>
  <c r="AJ93" i="9"/>
  <c r="AK93" i="9"/>
  <c r="AL93" i="9"/>
  <c r="AM93" i="9"/>
  <c r="AN93" i="9"/>
  <c r="A94" i="9"/>
  <c r="B94" i="9"/>
  <c r="C94" i="9"/>
  <c r="D94" i="9"/>
  <c r="E94" i="9"/>
  <c r="F94" i="9"/>
  <c r="G94" i="9"/>
  <c r="H94" i="9"/>
  <c r="I94" i="9"/>
  <c r="J94" i="9"/>
  <c r="K94" i="9"/>
  <c r="L94" i="9"/>
  <c r="M94" i="9"/>
  <c r="N94" i="9"/>
  <c r="O94" i="9"/>
  <c r="P94" i="9"/>
  <c r="Q94" i="9"/>
  <c r="R94" i="9"/>
  <c r="S94" i="9"/>
  <c r="T94" i="9"/>
  <c r="U94" i="9"/>
  <c r="V94" i="9"/>
  <c r="W94" i="9"/>
  <c r="X94" i="9"/>
  <c r="Y94" i="9"/>
  <c r="Z94" i="9"/>
  <c r="AA94" i="9"/>
  <c r="AB94" i="9"/>
  <c r="AC94" i="9"/>
  <c r="AD94" i="9"/>
  <c r="AE94" i="9"/>
  <c r="AF94" i="9"/>
  <c r="AG94" i="9"/>
  <c r="AH94" i="9"/>
  <c r="AI94" i="9"/>
  <c r="AJ94" i="9"/>
  <c r="AK94" i="9"/>
  <c r="AL94" i="9"/>
  <c r="AM94" i="9"/>
  <c r="AN94" i="9"/>
  <c r="A1" i="8"/>
  <c r="A2" i="8"/>
  <c r="B2" i="8"/>
  <c r="C2" i="8"/>
  <c r="D2" i="8"/>
  <c r="E2" i="8"/>
  <c r="F2" i="8"/>
  <c r="G2" i="8"/>
  <c r="H2" i="8"/>
  <c r="I2" i="8"/>
  <c r="J2" i="8"/>
  <c r="K2" i="8"/>
  <c r="A3" i="8"/>
  <c r="A5" i="8"/>
  <c r="B5" i="8"/>
  <c r="C5" i="8"/>
  <c r="D5" i="8"/>
  <c r="E5" i="8"/>
  <c r="G21" i="5" s="1"/>
  <c r="F5" i="8"/>
  <c r="G5" i="8"/>
  <c r="H5" i="8"/>
  <c r="I5" i="8"/>
  <c r="J5" i="8"/>
  <c r="K5" i="8"/>
  <c r="A6" i="8"/>
  <c r="B6" i="8"/>
  <c r="E22" i="5" s="1"/>
  <c r="C6" i="8"/>
  <c r="D6" i="8"/>
  <c r="E6" i="8"/>
  <c r="G22" i="5" s="1"/>
  <c r="F6" i="8"/>
  <c r="G6" i="8"/>
  <c r="H6" i="8"/>
  <c r="M22" i="5" s="1"/>
  <c r="I6" i="8"/>
  <c r="J6" i="8"/>
  <c r="K6" i="8"/>
  <c r="C7" i="8"/>
  <c r="D7" i="8"/>
  <c r="E7" i="8"/>
  <c r="F7" i="8"/>
  <c r="G7" i="8"/>
  <c r="H7" i="8"/>
  <c r="N21" i="5" s="1"/>
  <c r="O21" i="5" s="1"/>
  <c r="P21" i="5" s="1"/>
  <c r="Q21" i="5" s="1"/>
  <c r="I7" i="8"/>
  <c r="J7" i="8"/>
  <c r="K7" i="8"/>
  <c r="C8" i="8"/>
  <c r="D8" i="8"/>
  <c r="E8" i="8"/>
  <c r="F8" i="8"/>
  <c r="G8" i="8"/>
  <c r="H8" i="8"/>
  <c r="I8" i="8"/>
  <c r="J8" i="8"/>
  <c r="K8" i="8"/>
  <c r="A9" i="8"/>
  <c r="B9" i="8"/>
  <c r="C9" i="8"/>
  <c r="D9" i="8"/>
  <c r="E9" i="8"/>
  <c r="F9" i="8"/>
  <c r="G9" i="8"/>
  <c r="H9" i="8"/>
  <c r="I9" i="8"/>
  <c r="J9" i="8"/>
  <c r="K9" i="8"/>
  <c r="A10" i="8"/>
  <c r="B10" i="8"/>
  <c r="C10" i="8"/>
  <c r="D10" i="8"/>
  <c r="E10" i="8"/>
  <c r="F10" i="8"/>
  <c r="G10" i="8"/>
  <c r="H10" i="8"/>
  <c r="I10" i="8"/>
  <c r="J10" i="8"/>
  <c r="K10" i="8"/>
  <c r="C11" i="8"/>
  <c r="D11" i="8"/>
  <c r="E11" i="8"/>
  <c r="F11" i="8"/>
  <c r="G11" i="8"/>
  <c r="H11" i="8"/>
  <c r="I11" i="8"/>
  <c r="J11" i="8"/>
  <c r="K11" i="8"/>
  <c r="C12" i="8"/>
  <c r="D12" i="8"/>
  <c r="E12" i="8"/>
  <c r="F12" i="8"/>
  <c r="G12" i="8"/>
  <c r="H12" i="8"/>
  <c r="I12" i="8"/>
  <c r="J12" i="8"/>
  <c r="K12" i="8"/>
  <c r="A13" i="8"/>
  <c r="B13" i="8"/>
  <c r="C13" i="8"/>
  <c r="D13" i="8"/>
  <c r="E13" i="8"/>
  <c r="F13" i="8"/>
  <c r="G13" i="8"/>
  <c r="H13" i="8"/>
  <c r="I13" i="8"/>
  <c r="J13" i="8"/>
  <c r="K13" i="8"/>
  <c r="A14" i="8"/>
  <c r="B14" i="8"/>
  <c r="C14" i="8"/>
  <c r="D14" i="8"/>
  <c r="E14" i="8"/>
  <c r="F14" i="8"/>
  <c r="G14" i="8"/>
  <c r="H14" i="8"/>
  <c r="M24" i="5" s="1"/>
  <c r="I14" i="8"/>
  <c r="J14" i="8"/>
  <c r="K14" i="8"/>
  <c r="C15" i="8"/>
  <c r="D15" i="8"/>
  <c r="E15" i="8"/>
  <c r="F15" i="8"/>
  <c r="G15" i="8"/>
  <c r="H15" i="8"/>
  <c r="I15" i="8"/>
  <c r="J15" i="8"/>
  <c r="K15" i="8"/>
  <c r="C16" i="8"/>
  <c r="D16" i="8"/>
  <c r="E16" i="8"/>
  <c r="F16" i="8"/>
  <c r="G16" i="8"/>
  <c r="H16" i="8"/>
  <c r="I16" i="8"/>
  <c r="J16" i="8"/>
  <c r="K16" i="8"/>
  <c r="A17" i="8"/>
  <c r="B17" i="8"/>
  <c r="C17" i="8"/>
  <c r="D17" i="8"/>
  <c r="E17" i="8"/>
  <c r="G17" i="5" s="1"/>
  <c r="F17" i="8"/>
  <c r="G17" i="8"/>
  <c r="H17" i="8"/>
  <c r="I17" i="8"/>
  <c r="J17" i="8"/>
  <c r="K17" i="8"/>
  <c r="A18" i="8"/>
  <c r="B18" i="8"/>
  <c r="C18" i="8"/>
  <c r="D18" i="8"/>
  <c r="E18" i="8"/>
  <c r="F18" i="8"/>
  <c r="G18" i="8"/>
  <c r="H18" i="8"/>
  <c r="M18" i="5" s="1"/>
  <c r="I18" i="8"/>
  <c r="J18" i="8"/>
  <c r="K18" i="8"/>
  <c r="C19" i="8"/>
  <c r="D19" i="8"/>
  <c r="E19" i="8"/>
  <c r="F19" i="8"/>
  <c r="G19" i="8"/>
  <c r="H19" i="8"/>
  <c r="I19" i="8"/>
  <c r="J19" i="8"/>
  <c r="K19" i="8"/>
  <c r="C20" i="8"/>
  <c r="D20" i="8"/>
  <c r="E20" i="8"/>
  <c r="F20" i="8"/>
  <c r="G20" i="8"/>
  <c r="H20" i="8"/>
  <c r="I20" i="8"/>
  <c r="J20" i="8"/>
  <c r="K20" i="8"/>
  <c r="A21" i="8"/>
  <c r="B21" i="8"/>
  <c r="C21" i="8"/>
  <c r="D21" i="8"/>
  <c r="E21" i="8"/>
  <c r="F21" i="8"/>
  <c r="G21" i="8"/>
  <c r="H21" i="8"/>
  <c r="I21" i="8"/>
  <c r="J21" i="8"/>
  <c r="K21" i="8"/>
  <c r="A22" i="8"/>
  <c r="B22" i="8"/>
  <c r="E31" i="5" s="1"/>
  <c r="C22" i="8"/>
  <c r="D22" i="8"/>
  <c r="E22" i="8"/>
  <c r="G31" i="5" s="1"/>
  <c r="F22" i="8"/>
  <c r="G22" i="8"/>
  <c r="H22" i="8"/>
  <c r="M31" i="5" s="1"/>
  <c r="I22" i="8"/>
  <c r="J22" i="8"/>
  <c r="K22" i="8"/>
  <c r="C23" i="8"/>
  <c r="D23" i="8"/>
  <c r="E23" i="8"/>
  <c r="F23" i="8"/>
  <c r="G23" i="8"/>
  <c r="H23" i="8"/>
  <c r="I23" i="8"/>
  <c r="J23" i="8"/>
  <c r="K23" i="8"/>
  <c r="T30" i="5" s="1"/>
  <c r="U30" i="5" s="1"/>
  <c r="C24" i="8"/>
  <c r="D24" i="8"/>
  <c r="E24" i="8"/>
  <c r="F24" i="8"/>
  <c r="G24" i="8"/>
  <c r="H24" i="8"/>
  <c r="I24" i="8"/>
  <c r="J24" i="8"/>
  <c r="K24" i="8"/>
  <c r="A25" i="8"/>
  <c r="B25" i="8"/>
  <c r="C25" i="8"/>
  <c r="D25" i="8"/>
  <c r="E25" i="8"/>
  <c r="F25" i="8"/>
  <c r="G25" i="8"/>
  <c r="H25" i="8"/>
  <c r="I25" i="8"/>
  <c r="J25" i="8"/>
  <c r="K25" i="8"/>
  <c r="A26" i="8"/>
  <c r="B26" i="8"/>
  <c r="E33" i="5" s="1"/>
  <c r="C26" i="8"/>
  <c r="D26" i="8"/>
  <c r="E26" i="8"/>
  <c r="G33" i="5" s="1"/>
  <c r="F26" i="8"/>
  <c r="G26" i="8"/>
  <c r="H26" i="8"/>
  <c r="M33" i="5" s="1"/>
  <c r="I26" i="8"/>
  <c r="J26" i="8"/>
  <c r="K26" i="8"/>
  <c r="C27" i="8"/>
  <c r="D27" i="8"/>
  <c r="E27" i="8"/>
  <c r="F27" i="8"/>
  <c r="G27" i="8"/>
  <c r="H27" i="8"/>
  <c r="I27" i="8"/>
  <c r="J27" i="8"/>
  <c r="K27" i="8"/>
  <c r="C28" i="8"/>
  <c r="D28" i="8"/>
  <c r="E28" i="8"/>
  <c r="F28" i="8"/>
  <c r="G28" i="8"/>
  <c r="H28" i="8"/>
  <c r="I28" i="8"/>
  <c r="J28" i="8"/>
  <c r="K28" i="8"/>
  <c r="A29" i="8"/>
  <c r="D26" i="5" s="1"/>
  <c r="B29" i="8"/>
  <c r="C29" i="8"/>
  <c r="D29" i="8"/>
  <c r="E29" i="8"/>
  <c r="G26" i="5" s="1"/>
  <c r="F29" i="8"/>
  <c r="G29" i="8"/>
  <c r="H29" i="8"/>
  <c r="I29" i="8"/>
  <c r="J29" i="8"/>
  <c r="K29" i="8"/>
  <c r="S26" i="5" s="1"/>
  <c r="A30" i="8"/>
  <c r="B30" i="8"/>
  <c r="C30" i="8"/>
  <c r="D30" i="8"/>
  <c r="E30" i="8"/>
  <c r="F30" i="8"/>
  <c r="G30" i="8"/>
  <c r="H30" i="8"/>
  <c r="M27" i="5" s="1"/>
  <c r="I30" i="8"/>
  <c r="J30" i="8"/>
  <c r="K30" i="8"/>
  <c r="C31" i="8"/>
  <c r="D31" i="8"/>
  <c r="E31" i="8"/>
  <c r="F31" i="8"/>
  <c r="G31" i="8"/>
  <c r="H31" i="8"/>
  <c r="I31" i="8"/>
  <c r="J31" i="8"/>
  <c r="K31" i="8"/>
  <c r="C32" i="8"/>
  <c r="D32" i="8"/>
  <c r="E32" i="8"/>
  <c r="F32" i="8"/>
  <c r="G32" i="8"/>
  <c r="H32" i="8"/>
  <c r="I32" i="8"/>
  <c r="J32" i="8"/>
  <c r="K32" i="8"/>
  <c r="A33" i="8"/>
  <c r="B33" i="8"/>
  <c r="C33" i="8"/>
  <c r="D33" i="8"/>
  <c r="E33" i="8"/>
  <c r="F33" i="8"/>
  <c r="G33" i="8"/>
  <c r="H33" i="8"/>
  <c r="I33" i="8"/>
  <c r="J33" i="8"/>
  <c r="K33" i="8"/>
  <c r="A34" i="8"/>
  <c r="B34" i="8"/>
  <c r="E20" i="5" s="1"/>
  <c r="C34" i="8"/>
  <c r="D34" i="8"/>
  <c r="E34" i="8"/>
  <c r="G20" i="5" s="1"/>
  <c r="F34" i="8"/>
  <c r="G34" i="8"/>
  <c r="H34" i="8"/>
  <c r="M20" i="5" s="1"/>
  <c r="I34" i="8"/>
  <c r="J34" i="8"/>
  <c r="K34" i="8"/>
  <c r="C35" i="8"/>
  <c r="D35" i="8"/>
  <c r="E35" i="8"/>
  <c r="H19" i="5" s="1"/>
  <c r="F35" i="8"/>
  <c r="G35" i="8"/>
  <c r="H35" i="8"/>
  <c r="N19" i="5" s="1"/>
  <c r="I35" i="8"/>
  <c r="J35" i="8"/>
  <c r="K35" i="8"/>
  <c r="T19" i="5" s="1"/>
  <c r="C36" i="8"/>
  <c r="D36" i="8"/>
  <c r="E36" i="8"/>
  <c r="F36" i="8"/>
  <c r="G36" i="8"/>
  <c r="H36" i="8"/>
  <c r="I36" i="8"/>
  <c r="J36" i="8"/>
  <c r="K36" i="8"/>
  <c r="A37" i="8"/>
  <c r="B37" i="8"/>
  <c r="C37" i="8"/>
  <c r="D37" i="8"/>
  <c r="E37" i="8"/>
  <c r="F37" i="8"/>
  <c r="G37" i="8"/>
  <c r="H37" i="8"/>
  <c r="I37" i="8"/>
  <c r="J37" i="8"/>
  <c r="K37" i="8"/>
  <c r="A38" i="8"/>
  <c r="B38" i="8"/>
  <c r="C38" i="8"/>
  <c r="D38" i="8"/>
  <c r="E38" i="8"/>
  <c r="F38" i="8"/>
  <c r="G38" i="8"/>
  <c r="H38" i="8"/>
  <c r="I38" i="8"/>
  <c r="J38" i="8"/>
  <c r="K38" i="8"/>
  <c r="C39" i="8"/>
  <c r="D39" i="8"/>
  <c r="E39" i="8"/>
  <c r="F39" i="8"/>
  <c r="G39" i="8"/>
  <c r="H39" i="8"/>
  <c r="I39" i="8"/>
  <c r="J39" i="8"/>
  <c r="K39" i="8"/>
  <c r="C40" i="8"/>
  <c r="D40" i="8"/>
  <c r="E40" i="8"/>
  <c r="F40" i="8"/>
  <c r="G40" i="8"/>
  <c r="H40" i="8"/>
  <c r="I40" i="8"/>
  <c r="J40" i="8"/>
  <c r="K40" i="8"/>
  <c r="A41" i="8"/>
  <c r="B41" i="8"/>
  <c r="C41" i="8"/>
  <c r="D41" i="8"/>
  <c r="E41" i="8"/>
  <c r="F41" i="8"/>
  <c r="G41" i="8"/>
  <c r="H41" i="8"/>
  <c r="I41" i="8"/>
  <c r="J41" i="8"/>
  <c r="K41" i="8"/>
  <c r="A42" i="8"/>
  <c r="B42" i="8"/>
  <c r="C42" i="8"/>
  <c r="D42" i="8"/>
  <c r="E42" i="8"/>
  <c r="F42" i="8"/>
  <c r="G42" i="8"/>
  <c r="H42" i="8"/>
  <c r="M36" i="5" s="1"/>
  <c r="I42" i="8"/>
  <c r="J42" i="8"/>
  <c r="K42" i="8"/>
  <c r="C43" i="8"/>
  <c r="D43" i="8"/>
  <c r="E43" i="8"/>
  <c r="F43" i="8"/>
  <c r="G43" i="8"/>
  <c r="H43" i="8"/>
  <c r="I43" i="8"/>
  <c r="J43" i="8"/>
  <c r="K43" i="8"/>
  <c r="C44" i="8"/>
  <c r="D44" i="8"/>
  <c r="E44" i="8"/>
  <c r="F44" i="8"/>
  <c r="G44" i="8"/>
  <c r="H44" i="8"/>
  <c r="I44" i="8"/>
  <c r="J44" i="8"/>
  <c r="K44" i="8"/>
  <c r="A45" i="8"/>
  <c r="B45" i="8"/>
  <c r="E15" i="5" s="1"/>
  <c r="C45" i="8"/>
  <c r="D45" i="8"/>
  <c r="E45" i="8"/>
  <c r="G15" i="5" s="1"/>
  <c r="F45" i="8"/>
  <c r="G45" i="8"/>
  <c r="H45" i="8"/>
  <c r="I45" i="8"/>
  <c r="J45" i="8"/>
  <c r="K45" i="8"/>
  <c r="A46" i="8"/>
  <c r="B46" i="8"/>
  <c r="E16" i="5" s="1"/>
  <c r="C46" i="8"/>
  <c r="D46" i="8"/>
  <c r="E46" i="8"/>
  <c r="G16" i="5" s="1"/>
  <c r="F46" i="8"/>
  <c r="G46" i="8"/>
  <c r="H46" i="8"/>
  <c r="M16" i="5" s="1"/>
  <c r="I46" i="8"/>
  <c r="J46" i="8"/>
  <c r="K46" i="8"/>
  <c r="C47" i="8"/>
  <c r="D47" i="8"/>
  <c r="E47" i="8"/>
  <c r="F47" i="8"/>
  <c r="G47" i="8"/>
  <c r="H47" i="8"/>
  <c r="I47" i="8"/>
  <c r="J47" i="8"/>
  <c r="K47" i="8"/>
  <c r="T15" i="5" s="1"/>
  <c r="U15" i="5" s="1"/>
  <c r="C48" i="8"/>
  <c r="D48" i="8"/>
  <c r="E48" i="8"/>
  <c r="F48" i="8"/>
  <c r="G48" i="8"/>
  <c r="H48" i="8"/>
  <c r="I48" i="8"/>
  <c r="J48" i="8"/>
  <c r="K48" i="8"/>
  <c r="A49" i="8"/>
  <c r="D37" i="5" s="1"/>
  <c r="B49" i="8"/>
  <c r="C49" i="8"/>
  <c r="D49" i="8"/>
  <c r="E49" i="8"/>
  <c r="G37" i="5" s="1"/>
  <c r="F49" i="8"/>
  <c r="G49" i="8"/>
  <c r="H49" i="8"/>
  <c r="M37" i="5" s="1"/>
  <c r="I49" i="8"/>
  <c r="J49" i="8"/>
  <c r="K49" i="8"/>
  <c r="S37" i="5" s="1"/>
  <c r="A50" i="8"/>
  <c r="B50" i="8"/>
  <c r="E38" i="5" s="1"/>
  <c r="C50" i="8"/>
  <c r="D50" i="8"/>
  <c r="E50" i="8"/>
  <c r="F50" i="8"/>
  <c r="G50" i="8"/>
  <c r="H50" i="8"/>
  <c r="I50" i="8"/>
  <c r="J50" i="8"/>
  <c r="K50" i="8"/>
  <c r="C51" i="8"/>
  <c r="D51" i="8"/>
  <c r="E51" i="8"/>
  <c r="F51" i="8"/>
  <c r="G51" i="8"/>
  <c r="H51" i="8"/>
  <c r="N37" i="5" s="1"/>
  <c r="O37" i="5" s="1"/>
  <c r="P37" i="5" s="1"/>
  <c r="Q37" i="5" s="1"/>
  <c r="I51" i="8"/>
  <c r="J51" i="8"/>
  <c r="K51" i="8"/>
  <c r="T37" i="5" s="1"/>
  <c r="U37" i="5" s="1"/>
  <c r="C52" i="8"/>
  <c r="D52" i="8"/>
  <c r="E52" i="8"/>
  <c r="F52" i="8"/>
  <c r="G52" i="8"/>
  <c r="H52" i="8"/>
  <c r="I52" i="8"/>
  <c r="J52" i="8"/>
  <c r="K52" i="8"/>
  <c r="A53" i="8"/>
  <c r="D28" i="5" s="1"/>
  <c r="B53" i="8"/>
  <c r="E28" i="5" s="1"/>
  <c r="C53" i="8"/>
  <c r="D53" i="8"/>
  <c r="E53" i="8"/>
  <c r="G28" i="5" s="1"/>
  <c r="F53" i="8"/>
  <c r="G53" i="8"/>
  <c r="H53" i="8"/>
  <c r="I53" i="8"/>
  <c r="J53" i="8"/>
  <c r="K53" i="8"/>
  <c r="A54" i="8"/>
  <c r="B54" i="8"/>
  <c r="C54" i="8"/>
  <c r="D54" i="8"/>
  <c r="E54" i="8"/>
  <c r="F54" i="8"/>
  <c r="G54" i="8"/>
  <c r="H54" i="8"/>
  <c r="M29" i="5" s="1"/>
  <c r="I54" i="8"/>
  <c r="J54" i="8"/>
  <c r="K54" i="8"/>
  <c r="C55" i="8"/>
  <c r="D55" i="8"/>
  <c r="E55" i="8"/>
  <c r="F55" i="8"/>
  <c r="G55" i="8"/>
  <c r="H55" i="8"/>
  <c r="N28" i="5" s="1"/>
  <c r="I55" i="8"/>
  <c r="J55" i="8"/>
  <c r="K55" i="8"/>
  <c r="C56" i="8"/>
  <c r="D56" i="8"/>
  <c r="E56" i="8"/>
  <c r="F56" i="8"/>
  <c r="G56" i="8"/>
  <c r="H56" i="8"/>
  <c r="I56" i="8"/>
  <c r="J56" i="8"/>
  <c r="K56" i="8"/>
  <c r="A57" i="8"/>
  <c r="B57" i="8"/>
  <c r="D6" i="11" s="1"/>
  <c r="F57" i="8"/>
  <c r="G57" i="8"/>
  <c r="H57" i="8"/>
  <c r="F12" i="11" s="1"/>
  <c r="I57" i="8"/>
  <c r="J57" i="8"/>
  <c r="K57" i="8"/>
  <c r="E12" i="11" s="1"/>
  <c r="B58" i="8"/>
  <c r="D7" i="11" s="1"/>
  <c r="D8" i="11" s="1"/>
  <c r="F58" i="8"/>
  <c r="G58" i="8"/>
  <c r="H58" i="8"/>
  <c r="F13" i="11" s="1"/>
  <c r="I58" i="8"/>
  <c r="J58" i="8"/>
  <c r="K58" i="8"/>
  <c r="E13" i="11" s="1"/>
  <c r="F59" i="8"/>
  <c r="G59" i="8"/>
  <c r="H59" i="8"/>
  <c r="I59" i="8"/>
  <c r="J59" i="8"/>
  <c r="K59" i="8"/>
  <c r="F60" i="8"/>
  <c r="G60" i="8"/>
  <c r="H60" i="8"/>
  <c r="I60" i="8"/>
  <c r="J60" i="8"/>
  <c r="K60" i="8"/>
  <c r="A61" i="8"/>
  <c r="B61" i="8"/>
  <c r="F6" i="11" s="1"/>
  <c r="C61" i="8"/>
  <c r="D61" i="8"/>
  <c r="E61" i="8"/>
  <c r="D20" i="11" s="1"/>
  <c r="I61" i="8"/>
  <c r="J61" i="8"/>
  <c r="K61" i="8"/>
  <c r="E20" i="11" s="1"/>
  <c r="A62" i="8"/>
  <c r="B62" i="8"/>
  <c r="F7" i="11" s="1"/>
  <c r="F8" i="11" s="1"/>
  <c r="C62" i="8"/>
  <c r="D62" i="8"/>
  <c r="E62" i="8"/>
  <c r="D21" i="11" s="1"/>
  <c r="I62" i="8"/>
  <c r="J62" i="8"/>
  <c r="K62" i="8"/>
  <c r="E21" i="11" s="1"/>
  <c r="C63" i="8"/>
  <c r="D63" i="8"/>
  <c r="E63" i="8"/>
  <c r="I63" i="8"/>
  <c r="J63" i="8"/>
  <c r="K63" i="8"/>
  <c r="C64" i="8"/>
  <c r="D64" i="8"/>
  <c r="E64" i="8"/>
  <c r="I64" i="8"/>
  <c r="J64" i="8"/>
  <c r="K64" i="8"/>
  <c r="A65" i="8"/>
  <c r="B65" i="8"/>
  <c r="E6" i="11" s="1"/>
  <c r="C65" i="8"/>
  <c r="D65" i="8"/>
  <c r="E65" i="8"/>
  <c r="D16" i="11" s="1"/>
  <c r="F65" i="8"/>
  <c r="G65" i="8"/>
  <c r="H65" i="8"/>
  <c r="F16" i="11" s="1"/>
  <c r="B66" i="8"/>
  <c r="E7" i="11" s="1"/>
  <c r="E8" i="11" s="1"/>
  <c r="C66" i="8"/>
  <c r="D66" i="8"/>
  <c r="E66" i="8"/>
  <c r="D17" i="11" s="1"/>
  <c r="F66" i="8"/>
  <c r="G66" i="8"/>
  <c r="H66" i="8"/>
  <c r="F17" i="11" s="1"/>
  <c r="C67" i="8"/>
  <c r="D67" i="8"/>
  <c r="E67" i="8"/>
  <c r="F67" i="8"/>
  <c r="G67" i="8"/>
  <c r="H67" i="8"/>
  <c r="C68" i="8"/>
  <c r="D68" i="8"/>
  <c r="E68" i="8"/>
  <c r="F68" i="8"/>
  <c r="G68" i="8"/>
  <c r="H68" i="8"/>
  <c r="A70" i="8"/>
  <c r="C70" i="8"/>
  <c r="D70" i="8"/>
  <c r="E70" i="8"/>
  <c r="F70" i="8"/>
  <c r="G70" i="8"/>
  <c r="H70" i="8"/>
  <c r="I70" i="8"/>
  <c r="J70" i="8"/>
  <c r="K70" i="8"/>
  <c r="A71" i="8"/>
  <c r="C71" i="8"/>
  <c r="D71" i="8"/>
  <c r="E71" i="8"/>
  <c r="F71" i="8"/>
  <c r="G71" i="8"/>
  <c r="H71" i="8"/>
  <c r="I71" i="8"/>
  <c r="J71" i="8"/>
  <c r="K71" i="8"/>
  <c r="A72" i="8"/>
  <c r="C72" i="8"/>
  <c r="F72" i="8"/>
  <c r="I72" i="8"/>
  <c r="T12" i="6"/>
  <c r="X12" i="6"/>
  <c r="V22" i="6"/>
  <c r="Z22" i="6"/>
  <c r="V29" i="6"/>
  <c r="Z29" i="6"/>
  <c r="AD29" i="6"/>
  <c r="V30" i="6"/>
  <c r="AD30" i="6"/>
  <c r="D15" i="5"/>
  <c r="H15" i="5"/>
  <c r="I15" i="5" s="1"/>
  <c r="J15" i="5" s="1"/>
  <c r="K15" i="5" s="1"/>
  <c r="M15" i="5"/>
  <c r="S16" i="5"/>
  <c r="D17" i="5"/>
  <c r="H17" i="5"/>
  <c r="I17" i="5" s="1"/>
  <c r="J17" i="5" s="1"/>
  <c r="K17" i="5" s="1"/>
  <c r="M17" i="5"/>
  <c r="S18" i="5"/>
  <c r="D19" i="5"/>
  <c r="E19" i="5"/>
  <c r="M19" i="5"/>
  <c r="S20" i="5"/>
  <c r="D21" i="5"/>
  <c r="E21" i="5"/>
  <c r="H21" i="5"/>
  <c r="I21" i="5" s="1"/>
  <c r="J21" i="5" s="1"/>
  <c r="K21" i="5" s="1"/>
  <c r="M21" i="5"/>
  <c r="S22" i="5"/>
  <c r="D23" i="5"/>
  <c r="E23" i="5"/>
  <c r="H23" i="5"/>
  <c r="M23" i="5"/>
  <c r="G24" i="5"/>
  <c r="S24" i="5"/>
  <c r="E26" i="5"/>
  <c r="H26" i="5"/>
  <c r="I26" i="5" s="1"/>
  <c r="J26" i="5" s="1"/>
  <c r="K26" i="5" s="1"/>
  <c r="M26" i="5"/>
  <c r="S27" i="5"/>
  <c r="H28" i="5"/>
  <c r="M28" i="5"/>
  <c r="G29" i="5"/>
  <c r="S29" i="5"/>
  <c r="D30" i="5"/>
  <c r="H30" i="5"/>
  <c r="I30" i="5" s="1"/>
  <c r="J30" i="5" s="1"/>
  <c r="K30" i="5" s="1"/>
  <c r="M30" i="5"/>
  <c r="S31" i="5"/>
  <c r="D32" i="5"/>
  <c r="E32" i="5"/>
  <c r="M32" i="5"/>
  <c r="S33" i="5"/>
  <c r="D35" i="5"/>
  <c r="E35" i="5"/>
  <c r="H35" i="5"/>
  <c r="I35" i="5" s="1"/>
  <c r="J35" i="5" s="1"/>
  <c r="K35" i="5" s="1"/>
  <c r="M35" i="5"/>
  <c r="E36" i="5"/>
  <c r="S36" i="5"/>
  <c r="E37" i="5"/>
  <c r="H37" i="5"/>
  <c r="I37" i="5" s="1"/>
  <c r="J37" i="5" s="1"/>
  <c r="K37" i="5" s="1"/>
  <c r="G38" i="5"/>
  <c r="S38" i="5"/>
  <c r="V37" i="5" l="1"/>
  <c r="W37" i="5" s="1"/>
  <c r="V15" i="5"/>
  <c r="W15" i="5" s="1"/>
  <c r="V30" i="5"/>
  <c r="W30" i="5" s="1"/>
  <c r="F14" i="11"/>
  <c r="D22" i="11" s="1"/>
  <c r="H32" i="5"/>
  <c r="G27" i="5"/>
  <c r="T21" i="5"/>
  <c r="U21" i="5" s="1"/>
  <c r="X30" i="6"/>
  <c r="G23" i="5"/>
  <c r="E30" i="5"/>
  <c r="E17" i="5"/>
  <c r="AB29" i="6"/>
  <c r="S35" i="5"/>
  <c r="N17" i="5"/>
  <c r="O17" i="5" s="1"/>
  <c r="P17" i="5" s="1"/>
  <c r="Q17" i="5" s="1"/>
  <c r="G36" i="5"/>
  <c r="T30" i="6"/>
  <c r="G18" i="5"/>
  <c r="T35" i="5"/>
  <c r="U35" i="5" s="1"/>
  <c r="S28" i="5"/>
  <c r="T26" i="5"/>
  <c r="U26" i="5" s="1"/>
  <c r="T23" i="5"/>
  <c r="E18" i="5"/>
  <c r="S15" i="5"/>
  <c r="N32" i="5"/>
  <c r="S30" i="5"/>
  <c r="S23" i="5"/>
  <c r="T17" i="5"/>
  <c r="U17" i="5" s="1"/>
  <c r="N30" i="5"/>
  <c r="O30" i="5" s="1"/>
  <c r="P30" i="5" s="1"/>
  <c r="Q30" i="5" s="1"/>
  <c r="N23" i="5"/>
  <c r="S17" i="5"/>
  <c r="M38" i="5"/>
  <c r="N35" i="5"/>
  <c r="O35" i="5" s="1"/>
  <c r="P35" i="5" s="1"/>
  <c r="Q35" i="5" s="1"/>
  <c r="S21" i="5"/>
  <c r="N15" i="5"/>
  <c r="O15" i="5" s="1"/>
  <c r="P15" i="5" s="1"/>
  <c r="Q15" i="5" s="1"/>
  <c r="T32" i="5"/>
  <c r="S32" i="5"/>
  <c r="N26" i="5"/>
  <c r="O26" i="5" s="1"/>
  <c r="P26" i="5" s="1"/>
  <c r="Q26" i="5" s="1"/>
  <c r="S19" i="5"/>
  <c r="Z20" i="6"/>
  <c r="G30" i="5"/>
  <c r="T28" i="5"/>
  <c r="E24" i="5"/>
  <c r="G19" i="5"/>
  <c r="Y29" i="6"/>
  <c r="Y30" i="6"/>
  <c r="E27" i="5"/>
  <c r="X10" i="6"/>
  <c r="G32" i="5"/>
  <c r="T10" i="6"/>
  <c r="AC30" i="6"/>
  <c r="AC29" i="6"/>
  <c r="G35" i="5"/>
  <c r="E29" i="5"/>
  <c r="U30" i="6"/>
  <c r="U29" i="6"/>
  <c r="AB10" i="6"/>
  <c r="V20" i="6"/>
  <c r="AD19" i="6"/>
  <c r="AD21" i="6"/>
  <c r="Z19" i="6"/>
  <c r="Z21" i="6"/>
  <c r="V19" i="6"/>
  <c r="V21" i="6"/>
  <c r="AB9" i="6"/>
  <c r="AB11" i="6"/>
  <c r="X9" i="6"/>
  <c r="X11" i="6"/>
  <c r="T9" i="6"/>
  <c r="T11" i="6"/>
  <c r="F18" i="11"/>
  <c r="E22" i="11" s="1"/>
  <c r="D14" i="13"/>
  <c r="D15" i="13"/>
  <c r="F14" i="13"/>
  <c r="F15" i="13"/>
  <c r="C14" i="13"/>
  <c r="C15" i="13"/>
  <c r="G14" i="13"/>
  <c r="G15" i="13"/>
  <c r="B12" i="3"/>
  <c r="G11" i="3"/>
  <c r="L14" i="4" s="1"/>
  <c r="F11" i="3"/>
  <c r="K14" i="4" s="1"/>
  <c r="E11" i="3"/>
  <c r="J14" i="4" s="1"/>
  <c r="D11" i="3"/>
  <c r="C11" i="3"/>
  <c r="B11" i="3"/>
  <c r="G10" i="3"/>
  <c r="L18" i="4" s="1"/>
  <c r="F10" i="3"/>
  <c r="K18" i="4" s="1"/>
  <c r="E10" i="3"/>
  <c r="J18" i="4" s="1"/>
  <c r="D10" i="3"/>
  <c r="C10" i="3"/>
  <c r="B10" i="3"/>
  <c r="B9" i="3"/>
  <c r="A9" i="3"/>
  <c r="G7" i="3"/>
  <c r="L17" i="4" s="1"/>
  <c r="F7" i="3"/>
  <c r="K17" i="4" s="1"/>
  <c r="E7" i="3"/>
  <c r="J17" i="4" s="1"/>
  <c r="D7" i="3"/>
  <c r="C7" i="3"/>
  <c r="B7" i="3"/>
  <c r="A7" i="3"/>
  <c r="G6" i="3"/>
  <c r="L16" i="4" s="1"/>
  <c r="F6" i="3"/>
  <c r="K16" i="4" s="1"/>
  <c r="E6" i="3"/>
  <c r="J16" i="4" s="1"/>
  <c r="D6" i="3"/>
  <c r="C6" i="3"/>
  <c r="B6" i="3"/>
  <c r="G4" i="3"/>
  <c r="F4" i="3"/>
  <c r="E4" i="3"/>
  <c r="D4" i="3"/>
  <c r="C4" i="3"/>
  <c r="B4" i="3"/>
  <c r="A4" i="3"/>
  <c r="G3" i="3"/>
  <c r="F3" i="3"/>
  <c r="E3" i="3"/>
  <c r="D3" i="3"/>
  <c r="C3" i="3"/>
  <c r="B3" i="3"/>
  <c r="A3" i="3"/>
  <c r="A1" i="3"/>
  <c r="H33" i="2"/>
  <c r="H32" i="2"/>
  <c r="H31" i="2"/>
  <c r="H30" i="2"/>
  <c r="H29" i="2"/>
  <c r="H28" i="2"/>
  <c r="H27" i="2"/>
  <c r="H25" i="2"/>
  <c r="H24" i="2"/>
  <c r="H22" i="2"/>
  <c r="H21" i="2"/>
  <c r="H20" i="2"/>
  <c r="H19" i="2"/>
  <c r="H18" i="2"/>
  <c r="H17" i="2"/>
  <c r="H15" i="2"/>
  <c r="H14" i="2"/>
  <c r="H13" i="2"/>
  <c r="H12" i="2"/>
  <c r="H11" i="2"/>
  <c r="H10" i="2"/>
  <c r="H7" i="2"/>
  <c r="H6" i="2"/>
  <c r="G33" i="2"/>
  <c r="G32" i="2"/>
  <c r="G31" i="2"/>
  <c r="G30" i="2"/>
  <c r="G29" i="2"/>
  <c r="G28" i="2"/>
  <c r="G27" i="2"/>
  <c r="G26" i="2"/>
  <c r="G25" i="2"/>
  <c r="G24" i="2"/>
  <c r="G22" i="2"/>
  <c r="G21" i="2"/>
  <c r="G20" i="2"/>
  <c r="G19" i="2"/>
  <c r="G18" i="2"/>
  <c r="G17" i="2"/>
  <c r="G15" i="2"/>
  <c r="G14" i="2"/>
  <c r="G13" i="2"/>
  <c r="G12" i="2"/>
  <c r="G11" i="2"/>
  <c r="G10" i="2"/>
  <c r="G9" i="2"/>
  <c r="G8" i="2"/>
  <c r="G7" i="2"/>
  <c r="G6" i="2"/>
  <c r="F33" i="2"/>
  <c r="F32" i="2"/>
  <c r="F31" i="2"/>
  <c r="F30" i="2"/>
  <c r="F29" i="2"/>
  <c r="F28" i="2"/>
  <c r="F27" i="2"/>
  <c r="F26" i="2"/>
  <c r="F25" i="2"/>
  <c r="F22" i="2"/>
  <c r="F21" i="2"/>
  <c r="F20" i="2"/>
  <c r="F19" i="2"/>
  <c r="F18" i="2"/>
  <c r="F17" i="2"/>
  <c r="F15" i="2"/>
  <c r="F14" i="2"/>
  <c r="F13" i="2"/>
  <c r="F12" i="2"/>
  <c r="F11" i="2"/>
  <c r="F10" i="2"/>
  <c r="F9" i="2"/>
  <c r="F8" i="2"/>
  <c r="F7" i="2"/>
  <c r="F6" i="2"/>
  <c r="E33" i="2"/>
  <c r="E32" i="2"/>
  <c r="E31" i="2"/>
  <c r="E30" i="2"/>
  <c r="E29" i="2"/>
  <c r="E28" i="2"/>
  <c r="E27" i="2"/>
  <c r="E26" i="2"/>
  <c r="E25" i="2"/>
  <c r="E24" i="2"/>
  <c r="E22" i="2"/>
  <c r="E21" i="2"/>
  <c r="E20" i="2"/>
  <c r="E19" i="2"/>
  <c r="E18" i="2"/>
  <c r="E17" i="2"/>
  <c r="E15" i="2"/>
  <c r="E14" i="2"/>
  <c r="E13" i="2"/>
  <c r="E12" i="2"/>
  <c r="E11" i="2"/>
  <c r="E10" i="2"/>
  <c r="E9" i="2"/>
  <c r="E8" i="2"/>
  <c r="E7" i="2"/>
  <c r="E6" i="2"/>
  <c r="D6" i="2"/>
  <c r="A32" i="1"/>
  <c r="D33" i="2" s="1"/>
  <c r="A31" i="1"/>
  <c r="D32" i="2" s="1"/>
  <c r="A30" i="1"/>
  <c r="A29" i="1"/>
  <c r="D30" i="2" s="1"/>
  <c r="A28" i="1"/>
  <c r="A27" i="1"/>
  <c r="D28" i="2" s="1"/>
  <c r="A26" i="1"/>
  <c r="A25" i="1"/>
  <c r="D26" i="2" s="1"/>
  <c r="A24" i="1"/>
  <c r="A23" i="1"/>
  <c r="D24" i="2" s="1"/>
  <c r="A22" i="1"/>
  <c r="A21" i="1"/>
  <c r="D21" i="2" s="1"/>
  <c r="A20" i="1"/>
  <c r="A19" i="1"/>
  <c r="D19" i="2" s="1"/>
  <c r="A18" i="1"/>
  <c r="A17" i="1"/>
  <c r="D17" i="2" s="1"/>
  <c r="A16" i="1"/>
  <c r="A15" i="1"/>
  <c r="D14" i="2" s="1"/>
  <c r="A14" i="1"/>
  <c r="A13" i="1"/>
  <c r="D12" i="2" s="1"/>
  <c r="A12" i="1"/>
  <c r="A11" i="1"/>
  <c r="D10" i="2" s="1"/>
  <c r="A10" i="1"/>
  <c r="A9" i="1"/>
  <c r="D8" i="2" s="1"/>
  <c r="A8" i="1"/>
  <c r="E6" i="1"/>
  <c r="D6" i="1"/>
  <c r="C6" i="1"/>
  <c r="B6" i="1"/>
  <c r="A6" i="1"/>
  <c r="A5" i="1"/>
  <c r="E3" i="1"/>
  <c r="D3" i="1"/>
  <c r="C3" i="1"/>
  <c r="B3" i="1"/>
  <c r="A3" i="1"/>
  <c r="V26" i="5" l="1"/>
  <c r="W26" i="5" s="1"/>
  <c r="V17" i="5"/>
  <c r="W17" i="5" s="1"/>
  <c r="V35" i="5"/>
  <c r="W35" i="5" s="1"/>
  <c r="V21" i="5"/>
  <c r="W21" i="5" s="1"/>
  <c r="E14" i="11"/>
  <c r="D18"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tc={4B329E48-B728-6242-9F52-878A59B57852}</author>
  </authors>
  <commentList>
    <comment ref="B14"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Is this coded based on the surname? Why do we have it and not race?
Reply:
    Hispanic ethnicity is based on the numident (from several sources including decennial census answers), I probably kept this variable by mistake (it’s not on the Location paper T1. We also have race in the data, but we did not disclose it)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tc={7A6E77EB-1EE2-C042-A348-B9F15EDCE2C8}</author>
  </authors>
  <commentList>
    <comment ref="Q35" authorId="0" shapeId="0" xr:uid="{00000000-0006-0000-0500-000002000000}">
      <text>
        <t>[Threaded comment]
Your version of Excel allows you to read this threaded comment; however, any edits to it will get removed if the file is opened in a newer version of Excel. Learn more: https://go.microsoft.com/fwlink/?linkid=870924
Comment:
    FYI, this comes out negative (though rounds to 0). I’m guessing/hoping it is due to rounding in the adjusted R2 that was released. The only other explanation I can think of is that I made a math error.
I think it is worth confirming this number internally. To do this, we need to compute the predicted value from the regression of theta on union coverage, that. Then compute V(yhat) and V(y), using the same regression weights but just the 50 CZs. We want to know confirm that the ratio of these rounds to 0.
Reply:
    I checked this and the ratio rounds out to zero or 0.01, for yhat, I only used coverage as a regressor (no division/region controls). I also checked using the R2 formulas and the number is positive but very close to zero (e.g. the unadjusted R2s for the reg of theta on Z and the reg of theta on Z and coverage are very very close to each other).</t>
      </text>
    </comment>
  </commentList>
</comments>
</file>

<file path=xl/sharedStrings.xml><?xml version="1.0" encoding="utf-8"?>
<sst xmlns="http://schemas.openxmlformats.org/spreadsheetml/2006/main" count="1342" uniqueCount="868">
  <si>
    <t>Output 1: Descriptive Table</t>
  </si>
  <si>
    <t>Sample 1</t>
  </si>
  <si>
    <t>Industry stayers subgroup</t>
  </si>
  <si>
    <t>Industry movers subgroup</t>
  </si>
  <si>
    <t>Event study sample</t>
  </si>
  <si>
    <t>lne</t>
  </si>
  <si>
    <t>15510</t>
  </si>
  <si>
    <t>16050</t>
  </si>
  <si>
    <t>14630</t>
  </si>
  <si>
    <t>16350</t>
  </si>
  <si>
    <t>(18020)</t>
  </si>
  <si>
    <t>(19710)</t>
  </si>
  <si>
    <t>(14860)</t>
  </si>
  <si>
    <t>(45670)</t>
  </si>
  <si>
    <t>42.43</t>
  </si>
  <si>
    <t>44.04</t>
  </si>
  <si>
    <t>39.85</t>
  </si>
  <si>
    <t>.001232</t>
  </si>
  <si>
    <t>(10.78)</t>
  </si>
  <si>
    <t>(10.71)</t>
  </si>
  <si>
    <t>(10.39)</t>
  </si>
  <si>
    <t>(.2631)</t>
  </si>
  <si>
    <t>.4734</t>
  </si>
  <si>
    <t>.4839</t>
  </si>
  <si>
    <t>.4565</t>
  </si>
  <si>
    <t>.4629</t>
  </si>
  <si>
    <t>(.4993)</t>
  </si>
  <si>
    <t>(.4997)</t>
  </si>
  <si>
    <t>(.4981)</t>
  </si>
  <si>
    <t>(.4986)</t>
  </si>
  <si>
    <t>.1607</t>
  </si>
  <si>
    <t>.1632</t>
  </si>
  <si>
    <t>.1566</t>
  </si>
  <si>
    <t>.143</t>
  </si>
  <si>
    <t>(.3672)</t>
  </si>
  <si>
    <t>(.3695)</t>
  </si>
  <si>
    <t>(.3634)</t>
  </si>
  <si>
    <t>(.3501)</t>
  </si>
  <si>
    <t>.1334</t>
  </si>
  <si>
    <t>.1295</t>
  </si>
  <si>
    <t>.1396</t>
  </si>
  <si>
    <t>.1228</t>
  </si>
  <si>
    <t>(.34)</t>
  </si>
  <si>
    <t>(.3358)</t>
  </si>
  <si>
    <t>(.3466)</t>
  </si>
  <si>
    <t>(.3282)</t>
  </si>
  <si>
    <t>.786</t>
  </si>
  <si>
    <t>.824</t>
  </si>
  <si>
    <t>.7248</t>
  </si>
  <si>
    <t>.9993</t>
  </si>
  <si>
    <t>(.4101)</t>
  </si>
  <si>
    <t>(.3808)</t>
  </si>
  <si>
    <t>(.4466)</t>
  </si>
  <si>
    <t>(.02634)</t>
  </si>
  <si>
    <t>.1734</t>
  </si>
  <si>
    <t>.1434</t>
  </si>
  <si>
    <t>.2218</t>
  </si>
  <si>
    <t>.0006942</t>
  </si>
  <si>
    <t>(.3786)</t>
  </si>
  <si>
    <t>(.3504)</t>
  </si>
  <si>
    <t>(.4154)</t>
  </si>
  <si>
    <t>.04057</t>
  </si>
  <si>
    <t>.03259</t>
  </si>
  <si>
    <t>.05341</t>
  </si>
  <si>
    <t>(.1973)</t>
  </si>
  <si>
    <t>(.1776)</t>
  </si>
  <si>
    <t>(.2248)</t>
  </si>
  <si>
    <t>.6166</t>
  </si>
  <si>
    <t>(.4862)</t>
  </si>
  <si>
    <t>.2607</t>
  </si>
  <si>
    <t>.68</t>
  </si>
  <si>
    <t>(.439)</t>
  </si>
  <si>
    <t>(.4665)</t>
  </si>
  <si>
    <t>.1227</t>
  </si>
  <si>
    <t>.32</t>
  </si>
  <si>
    <t>(.3281)</t>
  </si>
  <si>
    <t>25.85</t>
  </si>
  <si>
    <t>27.19</t>
  </si>
  <si>
    <t>23.7</t>
  </si>
  <si>
    <t>10.01</t>
  </si>
  <si>
    <t>(7.683)</t>
  </si>
  <si>
    <t>(7.757)</t>
  </si>
  <si>
    <t>(7.045)</t>
  </si>
  <si>
    <t>(.2634)</t>
  </si>
  <si>
    <t>Full sample</t>
  </si>
  <si>
    <t>Industry stayers</t>
  </si>
  <si>
    <t>Industry switchers</t>
  </si>
  <si>
    <t>Hispanic</t>
  </si>
  <si>
    <t>3+</t>
  </si>
  <si>
    <t>Number of unique people (millions)</t>
  </si>
  <si>
    <t>2+</t>
  </si>
  <si>
    <t>psi_j</t>
  </si>
  <si>
    <t>Adjusted R2</t>
  </si>
  <si>
    <t>SD of Dependent Variable</t>
  </si>
  <si>
    <t>SD of regressor (psi_j)</t>
  </si>
  <si>
    <t>Preferred model</t>
  </si>
  <si>
    <t>Standard deviation of industry effects</t>
  </si>
  <si>
    <t>Alternative model controls for:</t>
  </si>
  <si>
    <t>R2 (adj)</t>
  </si>
  <si>
    <t>X</t>
  </si>
  <si>
    <t>Regression of alternative model estimates on preferred model estimates (N=311)</t>
  </si>
  <si>
    <t>ln(minimum wage)</t>
  </si>
  <si>
    <t>Union coverage</t>
  </si>
  <si>
    <t>Expected share of workers with alphas in Q1 and Q5</t>
  </si>
  <si>
    <t>Expected share of firms with psis in Q1 and Q5</t>
  </si>
  <si>
    <t>Share of workers with alphas in Q1 and Q5</t>
  </si>
  <si>
    <t>Share of firms with psis in Q1 and Q5</t>
  </si>
  <si>
    <t>Adj R2</t>
  </si>
  <si>
    <t>Alpha(j,c) on alpha(j)</t>
  </si>
  <si>
    <t>Alpha(j,c) on psi(j)</t>
  </si>
  <si>
    <t>Psi(j,c) on psi(j)</t>
  </si>
  <si>
    <t>Mean</t>
  </si>
  <si>
    <t>R2</t>
  </si>
  <si>
    <t>Expected given industry share</t>
  </si>
  <si>
    <t>Actual</t>
  </si>
  <si>
    <t>Dependent Variable: "b_ajc_aj"</t>
  </si>
  <si>
    <t>Dependent Variable: "b_ajc_pj"</t>
  </si>
  <si>
    <t>Dependent Variable: "b_pjc_pj"</t>
  </si>
  <si>
    <t>Mean/SD</t>
  </si>
  <si>
    <t>theta(psi, psi)</t>
  </si>
  <si>
    <t>theta(alpha, psi)</t>
  </si>
  <si>
    <t>theta(alpha, alpha)</t>
  </si>
  <si>
    <t>Adj. R2</t>
  </si>
  <si>
    <t>Output 12: Regression coefficients of (psi_f-psi_j) on industry experience</t>
  </si>
  <si>
    <t>Young subgroup</t>
  </si>
  <si>
    <t>Old subgroup</t>
  </si>
  <si>
    <t>indexp</t>
  </si>
  <si>
    <t>0.00119***</t>
  </si>
  <si>
    <t>0.00101***</t>
  </si>
  <si>
    <t>0.000702***</t>
  </si>
  <si>
    <t>0.000587***</t>
  </si>
  <si>
    <t/>
  </si>
  <si>
    <t>(0.000191)</t>
  </si>
  <si>
    <t>(0.0000884)</t>
  </si>
  <si>
    <t>(0.000118)</t>
  </si>
  <si>
    <t>(0.0000579)</t>
  </si>
  <si>
    <t>indexp^2</t>
  </si>
  <si>
    <t>-0.0000328***</t>
  </si>
  <si>
    <t>-0.0000293***</t>
  </si>
  <si>
    <t>-0.0000161***</t>
  </si>
  <si>
    <t>-0.0000160***</t>
  </si>
  <si>
    <t>(0.00000568)</t>
  </si>
  <si>
    <t>(0.00000265)</t>
  </si>
  <si>
    <t>(0.00000294)</t>
  </si>
  <si>
    <t>(0.00000162)</t>
  </si>
  <si>
    <t>0.000368</t>
  </si>
  <si>
    <t>0.734</t>
  </si>
  <si>
    <t>0.000173</t>
  </si>
  <si>
    <t>0.837</t>
  </si>
  <si>
    <t>Mean of Dependent Variable</t>
  </si>
  <si>
    <t>Mean of regressor (indexp)</t>
  </si>
  <si>
    <t>SD of regressor (indexp)</t>
  </si>
  <si>
    <t>Young workers</t>
  </si>
  <si>
    <t>Older workers</t>
  </si>
  <si>
    <t>Number of quarters in industry/10</t>
  </si>
  <si>
    <t>N</t>
  </si>
  <si>
    <t>Y</t>
  </si>
  <si>
    <t>Experience (in quarters) at which slope=0</t>
  </si>
  <si>
    <t>Cumulative effect of 5 years of experience</t>
  </si>
  <si>
    <t>Calculations for R2</t>
  </si>
  <si>
    <t>Incremental R2</t>
  </si>
  <si>
    <t>Actual R2</t>
  </si>
  <si>
    <t>Within-region R2</t>
  </si>
  <si>
    <r>
      <t>R</t>
    </r>
    <r>
      <rPr>
        <vertAlign val="superscript"/>
        <sz val="12"/>
        <color theme="1"/>
        <rFont val="Calibri"/>
        <family val="2"/>
      </rPr>
      <t>2</t>
    </r>
  </si>
  <si>
    <t>Mean firm effect in CZ</t>
  </si>
  <si>
    <t>Average person effect in CZ</t>
  </si>
  <si>
    <t>ln(city size)</t>
  </si>
  <si>
    <t>Constant</t>
  </si>
  <si>
    <t>Note: N≈60. Each coefficient is from a regression of the column variable on the row variables, with indicators for four regions and for each of approximately 10 composite Czs.</t>
  </si>
  <si>
    <t>Expected mean person effect in CZ</t>
  </si>
  <si>
    <t xml:space="preserve">Actual - expected </t>
  </si>
  <si>
    <t>Expected given industry shares</t>
  </si>
  <si>
    <t xml:space="preserve">Mean pay premium in CZ </t>
  </si>
  <si>
    <t>R-squared</t>
  </si>
  <si>
    <t>Adjusted R-squared</t>
  </si>
  <si>
    <t>Note: N≈60. Each coefficient is from a regression of the column variable on the row variables, with indicators for four regions and for each of approximately 10 composite CZs. Standard errors are approximated.</t>
  </si>
  <si>
    <t>Num. observations</t>
  </si>
  <si>
    <t>Cross-sectional models (fit to ACS)</t>
  </si>
  <si>
    <t>Industry Mover models (fit to LEHD)</t>
  </si>
  <si>
    <t xml:space="preserve">Year effects and age/experience </t>
  </si>
  <si>
    <t xml:space="preserve">Field of study and immigration </t>
  </si>
  <si>
    <t>Education, gender, and race/ethicity</t>
  </si>
  <si>
    <t>CZ fixed effects</t>
  </si>
  <si>
    <t>Industry-by-CZ fixed effects</t>
  </si>
  <si>
    <t>Person fixed effects</t>
  </si>
  <si>
    <t>Note: Preferred model is "ground-up" model, based on averages of firm effects from AKM specification. Regressions are of industry effects from alternative model on industry effects from preferred model, and are weighted by the number of person-quarter observations in the industry. Alternative models in columns 2-4 are fit to ACS, and include 222 NAICS codes (some combining 4 digit codes). These are then merged to 310 4-digit NAICS codes.  Alternative models in columns 5-7 are fit to LEHD with person effects and 311 4-digit NAICS dummies, as well as year and age effects.  Robust standard errors in parentheses.</t>
  </si>
  <si>
    <t xml:space="preserve">    (standard deviation)</t>
  </si>
  <si>
    <t>Mean age</t>
  </si>
  <si>
    <t>Fraction female</t>
  </si>
  <si>
    <t>Fraction foreign born</t>
  </si>
  <si>
    <t>Mean number of quarters observed</t>
  </si>
  <si>
    <t xml:space="preserve">  (standard deviation)</t>
  </si>
  <si>
    <t>Table 1. Summary Statistics for LEHD Samples</t>
  </si>
  <si>
    <t>Number of CZs in which observed:</t>
  </si>
  <si>
    <t>Number of industry switches (within CZs):</t>
  </si>
  <si>
    <t>Number of person-quarter obs. (millions)</t>
  </si>
  <si>
    <t>Notes: See text for discussion of sample derivation. "Industry switchers" in column 3 are people observed in more than one industry within a single CZ. "Industry stayers" in column 2 may be observed in multiple CZ's, potentially in different industries in each, but are observed in only one industry per CZ. Event study sample is comprised of workers who switch industries exactly once within a CZ, and are observed for at least five continuous quarters within the CZ before and after the switch.</t>
  </si>
  <si>
    <t>Table 4. Relationships Between Worker Skills and Industry Wage Premiums</t>
  </si>
  <si>
    <t xml:space="preserve">Based on LEHD </t>
  </si>
  <si>
    <t>Based on Linked LEHD and ACS</t>
  </si>
  <si>
    <t>Note: Each column is a separate regression model, estimated across 4-digit industries, with dependent variable in column heading.  In columns 4-8 the sample excludes one industry (Central Banking) that cannot be linked to ACS.  Skill index is constructed from ACS data and merged to 4-digit industry data from LEHD. All models are fit by weighted OLS, using the number of person-quarter observations in the industry in our LEHD sample as a weight. Robust standard errors in parentheses.</t>
  </si>
  <si>
    <t>Table 5. Worker Experience and the Industry Hierarchy Effect</t>
  </si>
  <si>
    <t xml:space="preserve">Fixed effects for worker, CZ, industry, time </t>
  </si>
  <si>
    <t>Table 6. Comparisons of Industry Effects from Alternative Models</t>
  </si>
  <si>
    <t xml:space="preserve">  Standard deviation</t>
  </si>
  <si>
    <t>Coefficient</t>
  </si>
  <si>
    <t>(Standard error)</t>
  </si>
  <si>
    <r>
      <t>R</t>
    </r>
    <r>
      <rPr>
        <vertAlign val="superscript"/>
        <sz val="12"/>
        <rFont val="Calibri"/>
        <family val="2"/>
        <charset val="1"/>
      </rPr>
      <t>2</t>
    </r>
    <r>
      <rPr>
        <sz val="12"/>
        <rFont val="Calibri"/>
        <family val="2"/>
        <charset val="1"/>
      </rPr>
      <t xml:space="preserve"> (within-region)</t>
    </r>
  </si>
  <si>
    <t>Table 8. Bivariate Relationships Between Beta Coefficients and CZ Characteristics</t>
  </si>
  <si>
    <t>[Std Dev.]</t>
  </si>
  <si>
    <t>Dependent Variable:</t>
  </si>
  <si>
    <t>Expected average pay premiums and expected average worker skills, given industry composition:</t>
  </si>
  <si>
    <t>Mean pay premium in CZ</t>
  </si>
  <si>
    <t>Expected mean pay premium in CZ</t>
  </si>
  <si>
    <t>Institutional features:</t>
  </si>
  <si>
    <t>Explanatory Variable:</t>
  </si>
  <si>
    <t>Table A-3. Testing the Role of Industry Composition Effects</t>
  </si>
  <si>
    <t>Output 2: Main decomposition AKM</t>
  </si>
  <si>
    <t>Sample 8</t>
  </si>
  <si>
    <t>Person-quarter</t>
  </si>
  <si>
    <t>SD &amp; Var%</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</si>
  <si>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</si>
  <si>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</si>
  <si>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</si>
  <si>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</si>
  <si>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</si>
  <si>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</si>
  <si>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</si>
  <si>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</si>
  <si>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</si>
  <si>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</si>
  <si>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</si>
  <si>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sum of variance shares</t>
  </si>
  <si>
    <t>sum of covariance shares</t>
  </si>
  <si>
    <t>cov(pe,fe)/var(fe)</t>
  </si>
  <si>
    <t>correl (pe,fe)</t>
  </si>
  <si>
    <t>Table A1: Summary of AKM Estimation Results</t>
  </si>
  <si>
    <t>Estimated person, establishment effects and covariates</t>
  </si>
  <si>
    <t>Mean quarterly earnings</t>
  </si>
  <si>
    <t>CZ</t>
  </si>
  <si>
    <t>Notes: Each column is a separate regression. Dependent variable in all columns is the hierarchy effect for a given worker in a given quarter (the difference between the workplace pay premium and the industry average pay premium). Young workers in columns 1-2 are those who were not yet 27 at the beginning of 2010; older workers are all others in our main sample. Industry experience is the cumulative number of quarters from 2010-Q1 to date that the worker has been observed in their current industry (including previous spells). Standard errors are clustered at the industry level.</t>
  </si>
  <si>
    <t>Variance decomposition of observed earnings and AKM components (sample 1)</t>
  </si>
  <si>
    <t>variance or component</t>
  </si>
  <si>
    <t>mean</t>
  </si>
  <si>
    <t>sd</t>
  </si>
  <si>
    <t>variance share</t>
  </si>
  <si>
    <t>var(y)=</t>
  </si>
  <si>
    <t>var(pe)=</t>
  </si>
  <si>
    <t>var(fe)=</t>
  </si>
  <si>
    <t>var(xb)=</t>
  </si>
  <si>
    <t>var(r)=</t>
  </si>
  <si>
    <t>2cov(pe,fe)=</t>
  </si>
  <si>
    <t>2cov(pe,xb)=</t>
  </si>
  <si>
    <t>2cov(pe,r)=</t>
  </si>
  <si>
    <t>2cov(fe,xb)=</t>
  </si>
  <si>
    <t>2cov(fe,r)=</t>
  </si>
  <si>
    <t>2cov(xb,r)=</t>
  </si>
  <si>
    <t>var(mif)=</t>
  </si>
  <si>
    <t>Correlation</t>
  </si>
  <si>
    <t>Variance share</t>
  </si>
  <si>
    <t>Log quarterly earnings</t>
  </si>
  <si>
    <t xml:space="preserve">  Person effects</t>
  </si>
  <si>
    <t xml:space="preserve">  Establishment effects</t>
  </si>
  <si>
    <t xml:space="preserve">  Covariate index</t>
  </si>
  <si>
    <t xml:space="preserve">  Residual</t>
  </si>
  <si>
    <t>Covariances</t>
  </si>
  <si>
    <t xml:space="preserve">   (person effects, establishment effects)</t>
  </si>
  <si>
    <t xml:space="preserve">   (establishment effects, covariate index)</t>
  </si>
  <si>
    <t xml:space="preserve">   (person effects, covariate index)</t>
  </si>
  <si>
    <t>Variance / covariance</t>
  </si>
  <si>
    <t>Panel A: Average of CZ-level variances/covariances computed from CZ-level AKM models</t>
  </si>
  <si>
    <t>(1)</t>
  </si>
  <si>
    <t>(2)</t>
  </si>
  <si>
    <t>(3)</t>
  </si>
  <si>
    <t>(4)</t>
  </si>
  <si>
    <t>Various Estimates</t>
  </si>
  <si>
    <t>Estimate</t>
  </si>
  <si>
    <t>SE</t>
  </si>
  <si>
    <t>meansqSE_pjc_pj</t>
  </si>
  <si>
    <t>meansqSE_ajc_aj</t>
  </si>
  <si>
    <t>meansqSE_ajc_pj</t>
  </si>
  <si>
    <t>r2_pf_ind</t>
  </si>
  <si>
    <t>r2_alpha_ind</t>
  </si>
  <si>
    <t>sd_match</t>
  </si>
  <si>
    <t>r2_alpha_firm</t>
  </si>
  <si>
    <t>n_f_stayers</t>
  </si>
  <si>
    <t>b_af_firm</t>
  </si>
  <si>
    <t>b_af_h</t>
  </si>
  <si>
    <t xml:space="preserve">  Sampling-error adjusted SD</t>
  </si>
  <si>
    <t>Panel B: Variances/covariances from national AKM model (Card, Rothstein, and Yi 2023)</t>
  </si>
  <si>
    <t>Std. Dev.</t>
  </si>
  <si>
    <t>Note: Table presents summaries of estimated AKM models.  Panel A summarizes results from the primary models used in this paper, fit separately to each of approximately 60 CZs or regional aggregates.  Panel B summarizes results from an alternative model that is fit to the entire U.S., as in Card, Rothstein, and Yi (2023). Total sample size is approximately 2.505 billion person-quarters.</t>
  </si>
  <si>
    <t>Mean earnings in industry</t>
  </si>
  <si>
    <t>Industry premium</t>
  </si>
  <si>
    <t>Skill index</t>
  </si>
  <si>
    <t>naics3</t>
  </si>
  <si>
    <t>naics2</t>
  </si>
  <si>
    <t>ybar</t>
  </si>
  <si>
    <t>psi</t>
  </si>
  <si>
    <t>title</t>
  </si>
  <si>
    <t>Educational Services</t>
  </si>
  <si>
    <t>logwage</t>
  </si>
  <si>
    <t>educ</t>
  </si>
  <si>
    <t>female</t>
  </si>
  <si>
    <t>ind_effects_adj</t>
  </si>
  <si>
    <t>skill_adj</t>
  </si>
  <si>
    <t>wc</t>
  </si>
  <si>
    <t>Agriculture, Forestry, Fishing</t>
  </si>
  <si>
    <t xml:space="preserve">Mining, Quarrying, Oil and Gas </t>
  </si>
  <si>
    <t>Utilities</t>
  </si>
  <si>
    <t>Construction</t>
  </si>
  <si>
    <t>Manufacturing</t>
  </si>
  <si>
    <t>Wholesale Trade</t>
  </si>
  <si>
    <t>Retail Trade</t>
  </si>
  <si>
    <t>Transportation and Warehousing</t>
  </si>
  <si>
    <t>Information</t>
  </si>
  <si>
    <t>Finance and Insurance</t>
  </si>
  <si>
    <t>Real Estate and Rental and Leasing</t>
  </si>
  <si>
    <t>Professional, Scientific, Tech.</t>
  </si>
  <si>
    <t>Management of Companies</t>
  </si>
  <si>
    <t xml:space="preserve">Admin. and Support </t>
  </si>
  <si>
    <t>Health Care and Social Assistance</t>
  </si>
  <si>
    <t>Arts, Entertainment, and Recreation</t>
  </si>
  <si>
    <t>Accommodation and Food Services</t>
  </si>
  <si>
    <t>Public Administration</t>
  </si>
  <si>
    <t>Table 2: Mean Wages, Estimated Wage Premiums, and Estimated Worker Skills for 2-digit Industries</t>
  </si>
  <si>
    <t>Based on Data from LEHD</t>
  </si>
  <si>
    <t>Based on Data from ACS</t>
  </si>
  <si>
    <t>Percent of</t>
  </si>
  <si>
    <t>Mean Log</t>
  </si>
  <si>
    <t>Industry</t>
  </si>
  <si>
    <t>Workforce</t>
  </si>
  <si>
    <t>Earnings</t>
  </si>
  <si>
    <t>Premium</t>
  </si>
  <si>
    <t>Wage</t>
  </si>
  <si>
    <t>NAICS</t>
  </si>
  <si>
    <t xml:space="preserve">  Industry Description</t>
  </si>
  <si>
    <t>(5)</t>
  </si>
  <si>
    <t>(6)</t>
  </si>
  <si>
    <t>--</t>
  </si>
  <si>
    <t xml:space="preserve">           --</t>
  </si>
  <si>
    <t>Food and kindred products</t>
  </si>
  <si>
    <t>Textile mill products</t>
  </si>
  <si>
    <t>Apparel and leather</t>
  </si>
  <si>
    <t>Wood Products</t>
  </si>
  <si>
    <t xml:space="preserve">Paper </t>
  </si>
  <si>
    <t>Printing and Related</t>
  </si>
  <si>
    <t xml:space="preserve">Petroleum and Coal </t>
  </si>
  <si>
    <t>Chemicals</t>
  </si>
  <si>
    <t>Plastics and Rubber</t>
  </si>
  <si>
    <t>Nonmetallic Minerals</t>
  </si>
  <si>
    <t>Primary Metals</t>
  </si>
  <si>
    <t>Fabricated Metals</t>
  </si>
  <si>
    <t>Machinery</t>
  </si>
  <si>
    <t xml:space="preserve">Computer and Electronic </t>
  </si>
  <si>
    <t>Electrical Equipment</t>
  </si>
  <si>
    <t xml:space="preserve">Transportation Equipment </t>
  </si>
  <si>
    <t xml:space="preserve">Furniture and Related </t>
  </si>
  <si>
    <t>Miscellaneous</t>
  </si>
  <si>
    <t>Table 3: Mean Wages, Estimated Wage Premiums, and Estimated Worker Skills for 3-digit manufacturing Industries</t>
  </si>
  <si>
    <t>311-2</t>
  </si>
  <si>
    <t>313-4</t>
  </si>
  <si>
    <t>315-6</t>
  </si>
  <si>
    <t xml:space="preserve">Notes: See notes to Table 2.  </t>
  </si>
  <si>
    <t>Log</t>
  </si>
  <si>
    <t>Models for</t>
  </si>
  <si>
    <t>Regressions of β in column heading on β indicated in row:</t>
  </si>
  <si>
    <t>Table 7. Summaries of CZ-specific β Coefficients</t>
  </si>
  <si>
    <t>Note: Each coefficient is from a regression of the column variable on the row variable, with additional controls for four regions and for each of approximately 10 composite CZs. N≈60. Regressions are weighted by the number of person-quarter observations in the CZ, and standard errors are heteroskedasticity-robust.</t>
  </si>
  <si>
    <t>Notes: See text for descriptions of samples used in LEHD (columns 1-4) and ACS (columns 5-6).  Entry in column 3 is average of estimated person effects from AKM models fit by CZ, normalized to have mean zero across all workers. Entry in column 4 is average wage premium, based on person-quarter weighted average of establishment premiums from AKM models fit by CZ, and normalized to have mean 0 in restaurants and eating places (NAICS 7225). Entry in column 5 is mean of estimated wage index (Xθ) from cross sectional regression model, normalized to have mean zero across all workers.  Entry in column 6 is mean of estimated industry effects for industries in the 2-digit sector from cross sectional regression model, normalized to have mean of 0.04 in accommodation and food services.</t>
  </si>
  <si>
    <t>Person-quarter observations (millions)</t>
  </si>
  <si>
    <t>Number of quarters in industry/10, squared</t>
  </si>
  <si>
    <r>
      <t>R</t>
    </r>
    <r>
      <rPr>
        <vertAlign val="superscript"/>
        <sz val="12"/>
        <rFont val="Calibri"/>
        <family val="2"/>
      </rPr>
      <t>2</t>
    </r>
    <r>
      <rPr>
        <sz val="12"/>
        <rFont val="Calibri"/>
        <family val="2"/>
      </rPr>
      <t xml:space="preserve"> (adjusted)</t>
    </r>
  </si>
  <si>
    <t>Note: β coefficients are slopes of a CZ's estimated industry effects or industry average person effects with respect to the national industry effect or industry average person effect -- see text. Summary statistics are weighted by the number of person-quarter observations in each CZ. Regressions relate one of the β coefficients for a CZ to another β coefficient for the same CZ, and control for indicators for four regions and for each of approximately 10 composite CZ's. N≈60. Reported R-squared statistics indicate the share of the within-CZ variation in the β explained, among the 50 non-composite CZs. Regressions are weighted by the number of person-quarter observations in the CZ; and standard errors are heteroskedasticity-robust.</t>
  </si>
  <si>
    <t>Skill</t>
  </si>
  <si>
    <t>Worker</t>
  </si>
  <si>
    <t>Arts, Ent., Recreation</t>
  </si>
  <si>
    <t>Other Svcs. (except Public Admin)</t>
  </si>
  <si>
    <t>Weighted std. dev. across sectors</t>
  </si>
  <si>
    <t>(Mean</t>
  </si>
  <si>
    <t>Zero)</t>
  </si>
  <si>
    <t>SD</t>
  </si>
  <si>
    <t>Other Services (except Public Administration)</t>
  </si>
  <si>
    <t>Administrative and Support and Waste Management and Remediation Services</t>
  </si>
  <si>
    <t>Management of Companies and Enterprises</t>
  </si>
  <si>
    <t>Professional, Scientific, and Technical Services</t>
  </si>
  <si>
    <t>Mining, Quarrying, and Oil and Gas Extraction</t>
  </si>
  <si>
    <t>Agriculture, Forestry, Fishing and Hunting</t>
  </si>
  <si>
    <t>skill</t>
  </si>
  <si>
    <t>share</t>
  </si>
  <si>
    <t>size</t>
  </si>
  <si>
    <t>Miscellaneous Manufacturing</t>
  </si>
  <si>
    <t>Furniture and Related Product Manufacturing</t>
  </si>
  <si>
    <t>Transportation Equipment Manufacturing</t>
  </si>
  <si>
    <t>Electrical Equipment, Appliance, and Component Manufacturing</t>
  </si>
  <si>
    <t>Computer and Electronic Product Manufacturing</t>
  </si>
  <si>
    <t>Machinery Manufacturing</t>
  </si>
  <si>
    <t>Fabricated Metal Product Manufacturing</t>
  </si>
  <si>
    <t>Primary Metal Manufacturing</t>
  </si>
  <si>
    <t>Nonmetallic Mineral Product Manufacturing</t>
  </si>
  <si>
    <t>Plastics and Rubber Products Manufacturing</t>
  </si>
  <si>
    <t>Chemical Manufacturing</t>
  </si>
  <si>
    <t>Petroleum and Coal Products Manufacturing</t>
  </si>
  <si>
    <t>Printing and Related Support Activities</t>
  </si>
  <si>
    <t>Paper Manufacturing</t>
  </si>
  <si>
    <t>Wood Product Manufacturing</t>
  </si>
  <si>
    <t>Apparel Manufacturing</t>
  </si>
  <si>
    <t>Textile Mills</t>
  </si>
  <si>
    <t>Food Manufacturing</t>
  </si>
  <si>
    <t>Membership</t>
  </si>
  <si>
    <t>beta</t>
  </si>
  <si>
    <t>r2 adj</t>
  </si>
  <si>
    <t>RMSE</t>
  </si>
  <si>
    <t>Theta - mean</t>
  </si>
  <si>
    <t>theta - SD</t>
  </si>
  <si>
    <t>Intermediate estimates</t>
  </si>
  <si>
    <t>reg pe on fe:</t>
  </si>
  <si>
    <t>cov(pe,fe)</t>
  </si>
  <si>
    <t>correl(pe,fe)</t>
  </si>
  <si>
    <t>Averages</t>
  </si>
  <si>
    <t>r2 of regression of theta on Z</t>
  </si>
  <si>
    <t>V(prediction from regression of theta on Z)</t>
  </si>
  <si>
    <t>V(prediction from regression of theta on X, Z)</t>
  </si>
  <si>
    <t>V(xtilde)</t>
  </si>
  <si>
    <t>R2 of regression of theta on X, Z</t>
  </si>
  <si>
    <t>R2 of regression of X on controls</t>
  </si>
  <si>
    <t>Calculations</t>
  </si>
  <si>
    <t>Original output</t>
  </si>
  <si>
    <t>Minimum wages</t>
  </si>
  <si>
    <t>Coveratge</t>
  </si>
  <si>
    <t>k</t>
  </si>
  <si>
    <t>This sheet contains intermediate calculations to construct R2 statistics for the non-composite CZs in the samples, based on disclosed Census data</t>
  </si>
  <si>
    <t>R2 for regression of y on the controls (approximate)</t>
  </si>
  <si>
    <t xml:space="preserve">National Security and International Affairs </t>
  </si>
  <si>
    <t xml:space="preserve">Administration of Economic Programs </t>
  </si>
  <si>
    <t xml:space="preserve">Administration of Housing Programs, Urban Planning, and Community Development </t>
  </si>
  <si>
    <t xml:space="preserve">Administration of Environmental Quality Programs </t>
  </si>
  <si>
    <t xml:space="preserve">Administration of Human Resource Programs </t>
  </si>
  <si>
    <t xml:space="preserve">Justice, Public Order, and Safety Activities </t>
  </si>
  <si>
    <t xml:space="preserve">Executive, Legislative, and Other General Government Support </t>
  </si>
  <si>
    <t>Private Households</t>
  </si>
  <si>
    <t xml:space="preserve">Business, Professional, Labor, Political, and Similar Organizations </t>
  </si>
  <si>
    <t xml:space="preserve">Civic and Social Organizations </t>
  </si>
  <si>
    <t xml:space="preserve">Social Advocacy Organizations </t>
  </si>
  <si>
    <t xml:space="preserve">Grantmaking and Giving Services </t>
  </si>
  <si>
    <t xml:space="preserve">Religious Organizations </t>
  </si>
  <si>
    <t xml:space="preserve">Other Personal Services </t>
  </si>
  <si>
    <t xml:space="preserve">Drycleaning and Laundry Services </t>
  </si>
  <si>
    <t xml:space="preserve">Death Care Services </t>
  </si>
  <si>
    <t xml:space="preserve">Personal Care Services </t>
  </si>
  <si>
    <t>Personal and Household Goods Repair and Maintenance</t>
  </si>
  <si>
    <t>Commercial and Industrial Machinery and Equipment (except Automotive and Electronic) Repair and Maintenance</t>
  </si>
  <si>
    <t>Electronic and Precision Equipment Repair and Maintenance</t>
  </si>
  <si>
    <t>Automotive Repair and Maintenance</t>
  </si>
  <si>
    <t>Restaurants and Other Eating Places</t>
  </si>
  <si>
    <t>Drinking Places (Alcoholic Beverages)</t>
  </si>
  <si>
    <t>Special Food Services</t>
  </si>
  <si>
    <t>Rooming and Boarding Houses, Dormitories, and Workers' Camps</t>
  </si>
  <si>
    <t>RV (Recreational Vehicle) Parks and Recreational Camps</t>
  </si>
  <si>
    <t>Traveler Accommodation</t>
  </si>
  <si>
    <t>Other Amusement and Recreation Industries</t>
  </si>
  <si>
    <t>Gambling Industries</t>
  </si>
  <si>
    <t>Amusement Parks and Arcades</t>
  </si>
  <si>
    <t>Museums, Historical Sites, and Similar Institutions</t>
  </si>
  <si>
    <t>Independent Artists, Writers, and Performers</t>
  </si>
  <si>
    <t>Agents and Managers for Artists, Athletes, Entertainers, and Other Public Figures</t>
  </si>
  <si>
    <t>Promoters of Performing Arts, Sports, and Similar Events</t>
  </si>
  <si>
    <t>Spectator Sports</t>
  </si>
  <si>
    <t>Performing Arts Companies</t>
  </si>
  <si>
    <t>Child Day Care Services</t>
  </si>
  <si>
    <t>Vocational Rehabilitation Services</t>
  </si>
  <si>
    <t>Community Food and Housing, and Emergency and Other Relief Services</t>
  </si>
  <si>
    <t>Individual and Family Services</t>
  </si>
  <si>
    <t>Other Residential Care Facilities</t>
  </si>
  <si>
    <t>Continuing Care Retirement Communities and Assisted Living Facilities for the Elderly</t>
  </si>
  <si>
    <t>Residential Intellectual and Developmental Disability, Mental Health, and Substance Abuse Facilities</t>
  </si>
  <si>
    <t>Nursing Care Facilities (Skilled Nursing Facilities)</t>
  </si>
  <si>
    <t>Specialty (except Psychiatric and Substance Abuse) Hospitals</t>
  </si>
  <si>
    <t>Psychiatric and Substance Abuse Hospitals</t>
  </si>
  <si>
    <t>General Medical and Surgical Hospitals</t>
  </si>
  <si>
    <t>Other Ambulatory Health Care Services</t>
  </si>
  <si>
    <t>Home Health Care Services</t>
  </si>
  <si>
    <t>Medical and Diagnostic Laboratories</t>
  </si>
  <si>
    <t>Outpatient Care Centers</t>
  </si>
  <si>
    <t>Offices of Other Health Practitioners</t>
  </si>
  <si>
    <t>Offices of Dentists</t>
  </si>
  <si>
    <t>Offices of Physicians</t>
  </si>
  <si>
    <t>Educational Support Services</t>
  </si>
  <si>
    <t>Other Schools and Instruction</t>
  </si>
  <si>
    <t xml:space="preserve">Technical and Trade Schools </t>
  </si>
  <si>
    <t>Business Schools and Computer and Management Training</t>
  </si>
  <si>
    <t>Colleges, Universities, and Professional Schools</t>
  </si>
  <si>
    <t>Junior Colleges</t>
  </si>
  <si>
    <t>Elementary and Secondary Schools</t>
  </si>
  <si>
    <t xml:space="preserve">Remediation and Other Waste Management Services </t>
  </si>
  <si>
    <t xml:space="preserve">Waste Treatment and Disposal </t>
  </si>
  <si>
    <t xml:space="preserve">Waste Collection </t>
  </si>
  <si>
    <t>Other Support Services</t>
  </si>
  <si>
    <t>Services to Buildings and Dwellings</t>
  </si>
  <si>
    <t>Investigation and Security Services</t>
  </si>
  <si>
    <t>Travel Arrangement and Reservation Services</t>
  </si>
  <si>
    <t>Business Support Services</t>
  </si>
  <si>
    <t>Employment Services</t>
  </si>
  <si>
    <t>Facilities Support Services</t>
  </si>
  <si>
    <t>Office Administrative Services</t>
  </si>
  <si>
    <t>Other Professional, Scientific, and Technical Services</t>
  </si>
  <si>
    <t>Advertising, Public Relations, and Related Services</t>
  </si>
  <si>
    <t>Scientific Research and Development Services</t>
  </si>
  <si>
    <t>Management, Scientific, and Technical Consulting Services</t>
  </si>
  <si>
    <t>Computer Systems Design and Related Services</t>
  </si>
  <si>
    <t>Specialized Design Services</t>
  </si>
  <si>
    <t>Architectural, Engineering, and Related Services</t>
  </si>
  <si>
    <t>Accounting, Tax Preparation, Bookkeeping, and Payroll Services</t>
  </si>
  <si>
    <t>Legal Services</t>
  </si>
  <si>
    <t>Lessors of Nonfinancial Intangible Assets (except Copyrighted Works)</t>
  </si>
  <si>
    <t>Commercial and Industrial Machinery and Equipment Rental and Leasing</t>
  </si>
  <si>
    <t>General Rental Centers</t>
  </si>
  <si>
    <t>Consumer Goods Rental</t>
  </si>
  <si>
    <t>Automotive Equipment Rental and Leasing</t>
  </si>
  <si>
    <t>Activities Related to Real Estate</t>
  </si>
  <si>
    <t>Offices of Real Estate Agents and Brokers</t>
  </si>
  <si>
    <t>Lessors of Real Estate</t>
  </si>
  <si>
    <t>Other Investment Pools and Funds</t>
  </si>
  <si>
    <t xml:space="preserve">Insurance and Employee Benefit Funds </t>
  </si>
  <si>
    <t>Agencies, Brokerages, and Other Insurance Related Activities</t>
  </si>
  <si>
    <t>Insurance Carriers</t>
  </si>
  <si>
    <t>Other Financial Investment Activities</t>
  </si>
  <si>
    <t>Securities and Commodity Exchanges</t>
  </si>
  <si>
    <t>Securities and Commodity Contracts Intermediation and Brokerage</t>
  </si>
  <si>
    <t xml:space="preserve">Activities Related to Credit Intermediation </t>
  </si>
  <si>
    <t xml:space="preserve">Nondepository Credit Intermediation </t>
  </si>
  <si>
    <t xml:space="preserve">Depository Credit Intermediation </t>
  </si>
  <si>
    <t>Monetary Authorities-Central Bank</t>
  </si>
  <si>
    <t>Other Information Services</t>
  </si>
  <si>
    <t>Data Processing, Hosting, and Related Services</t>
  </si>
  <si>
    <t>Other Telecommunications</t>
  </si>
  <si>
    <t>Satellite Telecommunications</t>
  </si>
  <si>
    <t>Cable and Other Subscription Programming</t>
  </si>
  <si>
    <t>Radio and Television Broadcasting</t>
  </si>
  <si>
    <t>Sound Recording Industries</t>
  </si>
  <si>
    <t>Motion Picture and Video Industries</t>
  </si>
  <si>
    <t>Software Publishers</t>
  </si>
  <si>
    <t>Newspaper, Periodical, Book, and Directory Publishers</t>
  </si>
  <si>
    <t>Warehousing and Storage</t>
  </si>
  <si>
    <t>Local Messengers and Local Delivery</t>
  </si>
  <si>
    <t>Couriers and Express Delivery Services</t>
  </si>
  <si>
    <t>Postal Service</t>
  </si>
  <si>
    <t>Other Support Activities for Transportation</t>
  </si>
  <si>
    <t>Freight Transportation Arrangement</t>
  </si>
  <si>
    <t>Support Activities for Road Transportation</t>
  </si>
  <si>
    <t>Support Activities for Water Transportation</t>
  </si>
  <si>
    <t>Support Activities for Rail Transportation</t>
  </si>
  <si>
    <t>Support Activities for Air Transportation</t>
  </si>
  <si>
    <t>Scenic and Sightseeing Transportation, Other</t>
  </si>
  <si>
    <t>Scenic and Sightseeing Transportation, Water</t>
  </si>
  <si>
    <t>Scenic and Sightseeing Transportation, Land</t>
  </si>
  <si>
    <t>Other Pipeline Transportation</t>
  </si>
  <si>
    <t>Pipeline Transportation of Natural Gas</t>
  </si>
  <si>
    <t>Pipeline Transportation of Crude Oil</t>
  </si>
  <si>
    <t>Other Transit and Ground Passenger Transportation</t>
  </si>
  <si>
    <t>Charter Bus Industry</t>
  </si>
  <si>
    <t>School and Employee Bus Transportation</t>
  </si>
  <si>
    <t>Taxi and Limousine Service</t>
  </si>
  <si>
    <t>Interurban and Rural Bus Transportation</t>
  </si>
  <si>
    <t>Urban Transit Systems</t>
  </si>
  <si>
    <t>Specialized Freight Trucking</t>
  </si>
  <si>
    <t>General Freight Trucking</t>
  </si>
  <si>
    <t>Inland Water Transportation</t>
  </si>
  <si>
    <t>Deep Sea, Coastal, and Great Lakes Water Transportation</t>
  </si>
  <si>
    <t>Rail Transportation</t>
  </si>
  <si>
    <t>Nonscheduled Air Transportation</t>
  </si>
  <si>
    <t>Scheduled Air Transportation</t>
  </si>
  <si>
    <t xml:space="preserve">Direct Selling Establishments </t>
  </si>
  <si>
    <t xml:space="preserve">Vending Machine Operators </t>
  </si>
  <si>
    <t xml:space="preserve">Electronic Shopping and Mail-Order Houses </t>
  </si>
  <si>
    <t xml:space="preserve">Other Miscellaneous Store Retailers </t>
  </si>
  <si>
    <t xml:space="preserve">Used Merchandise Stores </t>
  </si>
  <si>
    <t xml:space="preserve">Office Supplies, Stationery, and Gift Stores </t>
  </si>
  <si>
    <t xml:space="preserve">Florists </t>
  </si>
  <si>
    <t xml:space="preserve">Book Stores and News Dealers </t>
  </si>
  <si>
    <t xml:space="preserve">Sporting Goods, Hobby, and Musical Instrument Stores </t>
  </si>
  <si>
    <t xml:space="preserve">Jewelry, Luggage, and Leather Goods Stores </t>
  </si>
  <si>
    <t xml:space="preserve">Shoe Stores </t>
  </si>
  <si>
    <t xml:space="preserve">Clothing Stores </t>
  </si>
  <si>
    <t xml:space="preserve">Gasoline Stations </t>
  </si>
  <si>
    <t xml:space="preserve">Health and Personal Care Stores </t>
  </si>
  <si>
    <t xml:space="preserve">Beer, Wine, and Liquor Stores </t>
  </si>
  <si>
    <t xml:space="preserve">Specialty Food Stores </t>
  </si>
  <si>
    <t xml:space="preserve">Grocery Stores </t>
  </si>
  <si>
    <t xml:space="preserve">Lawn and Garden Equipment and Supplies Stores </t>
  </si>
  <si>
    <t xml:space="preserve">Building Material and Supplies Dealers </t>
  </si>
  <si>
    <t xml:space="preserve">Electronics and Appliance Stores </t>
  </si>
  <si>
    <t xml:space="preserve">Home Furnishings Stores </t>
  </si>
  <si>
    <t xml:space="preserve">Furniture Stores </t>
  </si>
  <si>
    <t xml:space="preserve">Automotive Parts, Accessories, and Tire Stores </t>
  </si>
  <si>
    <t xml:space="preserve">Other Motor Vehicle Dealers </t>
  </si>
  <si>
    <t xml:space="preserve">Automobile Dealers </t>
  </si>
  <si>
    <t xml:space="preserve">Wholesale Electronic Markets and Agents and Brokers </t>
  </si>
  <si>
    <t xml:space="preserve">Miscellaneous Nondurable Goods Merchant Wholesalers </t>
  </si>
  <si>
    <t xml:space="preserve">Beer, Wine, and Distilled Alcoholic Beverage Merchant Wholesalers </t>
  </si>
  <si>
    <t xml:space="preserve">Petroleum and Petroleum Products Merchant Wholesalers </t>
  </si>
  <si>
    <t xml:space="preserve">Chemical and Allied Products Merchant Wholesalers </t>
  </si>
  <si>
    <t xml:space="preserve">Farm Product Raw Material Merchant Wholesalers </t>
  </si>
  <si>
    <t xml:space="preserve">Grocery and Related Product Merchant Wholesalers </t>
  </si>
  <si>
    <t xml:space="preserve">Apparel, Piece Goods, and Notions Merchant Wholesalers </t>
  </si>
  <si>
    <t xml:space="preserve">Drugs and Druggists' Sundries Merchant Wholesalers </t>
  </si>
  <si>
    <t xml:space="preserve">Paper and Paper Product Merchant Wholesalers </t>
  </si>
  <si>
    <t xml:space="preserve">Miscellaneous Durable Goods Merchant Wholesalers </t>
  </si>
  <si>
    <t xml:space="preserve">Machinery, Equipment, and Supplies Merchant Wholesalers </t>
  </si>
  <si>
    <t xml:space="preserve">Hardware, and Plumbing and Heating Equipment and Supplies Merchant Wholesalers </t>
  </si>
  <si>
    <t xml:space="preserve">Household Appliances and Electrical and Electronic Goods Merchant Wholesalers </t>
  </si>
  <si>
    <t xml:space="preserve">Metal and Mineral (except Petroleum) Merchant Wholesalers </t>
  </si>
  <si>
    <t xml:space="preserve">Professional and Commercial Equipment and Supplies Merchant Wholesalers </t>
  </si>
  <si>
    <t xml:space="preserve">Lumber and Other Construction Materials Merchant Wholesalers </t>
  </si>
  <si>
    <t xml:space="preserve">Furniture and Home Furnishing Merchant Wholesalers </t>
  </si>
  <si>
    <t xml:space="preserve">Motor Vehicle and Motor Vehicle Parts and Supplies Merchant Wholesalers </t>
  </si>
  <si>
    <t>Other Miscellaneous Manufacturing</t>
  </si>
  <si>
    <t>Medical Equipment and Supplies Manufacturing</t>
  </si>
  <si>
    <t>Other Furniture Related Product Manufacturing</t>
  </si>
  <si>
    <t>Office Furniture (including Fixtures) Manufacturing</t>
  </si>
  <si>
    <t>Household and Institutional Furniture and Kitchen Cabinet Manufacturing</t>
  </si>
  <si>
    <t>Other Transportation Equipment Manufacturing</t>
  </si>
  <si>
    <t>Ship and Boat Building</t>
  </si>
  <si>
    <t>Railroad Rolling Stock Manufacturing</t>
  </si>
  <si>
    <t>Aerospace Product and Parts Manufacturing</t>
  </si>
  <si>
    <t>Motor Vehicle Parts Manufacturing</t>
  </si>
  <si>
    <t>Motor Vehicle Body and Trailer Manufacturing</t>
  </si>
  <si>
    <t>Motor Vehicle Manufacturing</t>
  </si>
  <si>
    <t>Other Electrical Equipment and Component Manufacturing</t>
  </si>
  <si>
    <t>Electrical Equipment Manufacturing</t>
  </si>
  <si>
    <t>Household Appliance Manufacturing</t>
  </si>
  <si>
    <t>Electric Lighting Equipment Manufacturing</t>
  </si>
  <si>
    <t>Manufacturing and Reproducing Magnetic and Optical Media</t>
  </si>
  <si>
    <t>Navigational, Measuring, Electromedical, and Control Instruments Manufacturing</t>
  </si>
  <si>
    <t>Semiconductor and Other Electronic Component Manufacturing</t>
  </si>
  <si>
    <t>Audio and Video Equipment Manufacturing</t>
  </si>
  <si>
    <t>Communications Equipment Manufacturing</t>
  </si>
  <si>
    <t>Computer and Peripheral Equipment Manufacturing</t>
  </si>
  <si>
    <t>Other General Purpose Machinery Manufacturing</t>
  </si>
  <si>
    <t>Engine, Turbine, and Power Transmission Equipment Manufacturing</t>
  </si>
  <si>
    <t>Metalworking Machinery Manufacturing</t>
  </si>
  <si>
    <t>Ventilation, Heating, Air-Conditioning, and Commercial Refrigeration Equipment Manufacturing</t>
  </si>
  <si>
    <t>Commercial and Service Industry Machinery Manufacturing</t>
  </si>
  <si>
    <t>Industrial Machinery Manufacturing</t>
  </si>
  <si>
    <t>Agriculture, Construction, and Mining Machinery Manufacturing</t>
  </si>
  <si>
    <t>Other Fabricated Metal Product Manufacturing</t>
  </si>
  <si>
    <t>Coating, Engraving, Heat Treating, and Allied Activities</t>
  </si>
  <si>
    <t>Machine Shops; Turned Product; and Screw, Nut, and Bolt Manufacturing</t>
  </si>
  <si>
    <t>Spring and Wire Product Manufacturing</t>
  </si>
  <si>
    <t>Hardware Manufacturing</t>
  </si>
  <si>
    <t>Boiler, Tank, and Shipping Container Manufacturing</t>
  </si>
  <si>
    <t>Architectural and Structural Metals Manufacturing</t>
  </si>
  <si>
    <t>Cutlery and Handtool Manufacturing</t>
  </si>
  <si>
    <t>Forging and Stamping</t>
  </si>
  <si>
    <t>Foundries</t>
  </si>
  <si>
    <t>Nonferrous Metal (except Aluminum) Production and Processing</t>
  </si>
  <si>
    <t>Alumina and Aluminum Production and Processing</t>
  </si>
  <si>
    <t>Steel Product Manufacturing from Purchased Steel</t>
  </si>
  <si>
    <t>Iron and Steel Mills and Ferroalloy Manufacturing</t>
  </si>
  <si>
    <t>Other Nonmetallic Mineral Product Manufacturing</t>
  </si>
  <si>
    <t>Lime and Gypsum Product Manufacturing</t>
  </si>
  <si>
    <t>Cement and Concrete Product Manufacturing</t>
  </si>
  <si>
    <t>Glass and Glass Product Manufacturing</t>
  </si>
  <si>
    <t>Clay Product and Refractory Manufacturing</t>
  </si>
  <si>
    <t>Rubber Product Manufacturing</t>
  </si>
  <si>
    <t>Plastics Product Manufacturing</t>
  </si>
  <si>
    <t>Other Chemical Product and Preparation Manufacturing</t>
  </si>
  <si>
    <t>Soap, Cleaning Compound, and Toilet Preparation Manufacturing</t>
  </si>
  <si>
    <t>Paint, Coating, and Adhesive Manufacturing</t>
  </si>
  <si>
    <t>Pharmaceutical and Medicine Manufacturing</t>
  </si>
  <si>
    <t>Pesticide, Fertilizer, and Other Agricultural Chemical Manufacturing</t>
  </si>
  <si>
    <t>Resin, Synthetic Rubber, and Artificial and Synthetic Fibers and Filaments Manufacturing</t>
  </si>
  <si>
    <t>Basic Chemical Manufacturing</t>
  </si>
  <si>
    <t>Converted Paper Product Manufacturing</t>
  </si>
  <si>
    <t>Pulp, Paper, and Paperboard Mills</t>
  </si>
  <si>
    <t>Other Wood Product Manufacturing</t>
  </si>
  <si>
    <t>Veneer, Plywood, and Engineered Wood Product Manufacturing</t>
  </si>
  <si>
    <t>Sawmills and Wood Preservation</t>
  </si>
  <si>
    <t>Other Leather and Allied Product Manufacturing</t>
  </si>
  <si>
    <t>Footwear Manufacturing</t>
  </si>
  <si>
    <t>Leather and Hide Tanning and Finishing</t>
  </si>
  <si>
    <t>Apparel Accessories and Other Apparel Manufacturing</t>
  </si>
  <si>
    <t>Cut and Sew Apparel Manufacturing</t>
  </si>
  <si>
    <t>Apparel Knitting Mills</t>
  </si>
  <si>
    <t>Other Textile Product Mills</t>
  </si>
  <si>
    <t>Textile Furnishings Mills</t>
  </si>
  <si>
    <t>Textile and Fabric Finishing and Fabric Coating Mills</t>
  </si>
  <si>
    <t>Fabric Mills</t>
  </si>
  <si>
    <t>Fiber, Yarn, and Thread Mills</t>
  </si>
  <si>
    <t>Tobacco Manufacturing</t>
  </si>
  <si>
    <t>Beverage Manufacturing</t>
  </si>
  <si>
    <t>Other Food Manufacturing</t>
  </si>
  <si>
    <t>Bakeries and Tortilla Manufacturing</t>
  </si>
  <si>
    <t>Seafood Product Preparation and Packaging</t>
  </si>
  <si>
    <t>Animal Slaughtering and Processing</t>
  </si>
  <si>
    <t>Dairy Product Manufacturing</t>
  </si>
  <si>
    <t>Fruit and Vegetable Preserving and Specialty Food Manufacturing</t>
  </si>
  <si>
    <t>Sugar and Confectionery Product Manufacturing</t>
  </si>
  <si>
    <t>Grain and Oilseed Milling</t>
  </si>
  <si>
    <t>Animal Food Manufacturing</t>
  </si>
  <si>
    <t>Other Specialty Trade Contractors</t>
  </si>
  <si>
    <t>Building Finishing Contractors</t>
  </si>
  <si>
    <t>Building Equipment Contractors</t>
  </si>
  <si>
    <t>Foundation, Structure, and Building Exterior Contractors</t>
  </si>
  <si>
    <t>Other Heavy and Civil Engineering Construction</t>
  </si>
  <si>
    <t>Highway, Street, and Bridge Construction</t>
  </si>
  <si>
    <t>Land Subdivision</t>
  </si>
  <si>
    <t>Utility System Construction</t>
  </si>
  <si>
    <t>Nonresidential Building Construction</t>
  </si>
  <si>
    <t>Residential Building Construction</t>
  </si>
  <si>
    <t xml:space="preserve">Water, Sewage and Other Systems </t>
  </si>
  <si>
    <t xml:space="preserve">Natural Gas Distribution </t>
  </si>
  <si>
    <t>Electric Power Generation, Transmission and Distribution</t>
  </si>
  <si>
    <t>Support Activities for Mining</t>
  </si>
  <si>
    <t>Nonmetallic Mineral Mining and Quarrying</t>
  </si>
  <si>
    <t>Metal Ore Mining</t>
  </si>
  <si>
    <t>Coal Mining</t>
  </si>
  <si>
    <t>Oil and Gas Extraction</t>
  </si>
  <si>
    <t>Support Activities for Forestry</t>
  </si>
  <si>
    <t>Support Activities for Animal Production</t>
  </si>
  <si>
    <t>Support Activities for Crop Production</t>
  </si>
  <si>
    <t>Hunting and Trapping</t>
  </si>
  <si>
    <t>Fishing</t>
  </si>
  <si>
    <t>Logging</t>
  </si>
  <si>
    <t>Forest Nurseries and Gathering of Forest Products</t>
  </si>
  <si>
    <t>Timber Tract Operations</t>
  </si>
  <si>
    <t>Other Animal Production</t>
  </si>
  <si>
    <t>Aquaculture</t>
  </si>
  <si>
    <t>Sheep and Goat Farming</t>
  </si>
  <si>
    <t>Poultry and Egg Production</t>
  </si>
  <si>
    <t>Hog and Pig Farming</t>
  </si>
  <si>
    <t>Cattle Ranching and Farming</t>
  </si>
  <si>
    <t>Other Crop Farming</t>
  </si>
  <si>
    <t>Greenhouse, Nursery, and Floriculture Production</t>
  </si>
  <si>
    <t>Fruit and Tree Nut Farming</t>
  </si>
  <si>
    <t>Vegetable and Melon Farming</t>
  </si>
  <si>
    <t>Oilseed and Grain Farming</t>
  </si>
  <si>
    <t>naics</t>
  </si>
  <si>
    <t>alpha_adj</t>
  </si>
  <si>
    <t>Appendix Table A-2. Industry Wage Premiums, Mean Worker Effects, and Average Pay, 4-Digit Industries</t>
  </si>
  <si>
    <t>Mean log earnings</t>
  </si>
  <si>
    <t>Mean worker effect (normalized to mean 0)</t>
  </si>
  <si>
    <t>Percent of workforce</t>
  </si>
  <si>
    <t>Across-industry mean</t>
  </si>
  <si>
    <t>Across-industry SD</t>
  </si>
  <si>
    <t xml:space="preserve">Greenhouse, Nursery, and Floriculture </t>
  </si>
  <si>
    <t>Forest Nurseries and Forest Products</t>
  </si>
  <si>
    <t>Nonmetallic Mineral Mining &amp; Quarrying</t>
  </si>
  <si>
    <t>Electric Power Gener., Trans., &amp; Distn.</t>
  </si>
  <si>
    <t>Other Heavy and Civil Eng. Construction</t>
  </si>
  <si>
    <t>Fndtn., Struct., &amp; Bldg. Ext. Contractors</t>
  </si>
  <si>
    <t>Sugar and Confectionery Product Manuf.</t>
  </si>
  <si>
    <t>Fruit &amp; Veg. Prsrvng. &amp; Spec. Food Manuf.</t>
  </si>
  <si>
    <t>Seafood Product Preparation and Pkging.</t>
  </si>
  <si>
    <t>Textile &amp; Fabric Finishing &amp; Coating Mills</t>
  </si>
  <si>
    <t>Apparel Access. &amp; Other Apparel Manuf.</t>
  </si>
  <si>
    <t>Other Leather and Allied Product Manuf.</t>
  </si>
  <si>
    <t xml:space="preserve">Veneer, Plywood, &amp; Engineered Wood </t>
  </si>
  <si>
    <t>Petroleum and Coal Products Manuf.</t>
  </si>
  <si>
    <t xml:space="preserve">Resin, Synth. Rubber, &amp; Artificial Fibers </t>
  </si>
  <si>
    <t xml:space="preserve">Pesticide, Fertilizer, &amp; Other Ag. Chemical </t>
  </si>
  <si>
    <t>Pharmaceutical and Medicine Manuf.</t>
  </si>
  <si>
    <t>Paint, Coating, and Adhesive Manuf.</t>
  </si>
  <si>
    <t>Soap, Cleaning, &amp; Toilet Prep. Manuf.</t>
  </si>
  <si>
    <t>Other Chemical Product &amp; Prep. Manuf.</t>
  </si>
  <si>
    <t>Clay Product and Refractory Manuf.</t>
  </si>
  <si>
    <t>Cement and Concrete Product Manuf.</t>
  </si>
  <si>
    <t>Lime and Gypsum Product Manuf.</t>
  </si>
  <si>
    <t>Other Nonmetallic Mineral Product Manuf.</t>
  </si>
  <si>
    <t>Iron and Steel Mills &amp; Ferroalloy Manuf.</t>
  </si>
  <si>
    <t>Steel Product Manuf. from Purchased Steel</t>
  </si>
  <si>
    <t xml:space="preserve">Alumina and Aluminum </t>
  </si>
  <si>
    <t xml:space="preserve">Nonferrous Metal (except Aluminum) </t>
  </si>
  <si>
    <t>Architectural and Structural Metals Manuf.</t>
  </si>
  <si>
    <t>Boiler, Tank, &amp; Shipping Container Manuf.</t>
  </si>
  <si>
    <t>Mach. Shops, Turned Prod., &amp; Screw Manuf.</t>
  </si>
  <si>
    <t>Coating, Engraving, Heat Treating,etc.</t>
  </si>
  <si>
    <t>Other Fabricated Metal Product Manuf.</t>
  </si>
  <si>
    <t xml:space="preserve">Agric., Cons., and Mining Machinery </t>
  </si>
  <si>
    <t>Commercial &amp; Svc. Ind. Machinery Manuf.</t>
  </si>
  <si>
    <t>HVAC &amp; Refrig. Equipment Manufacturing</t>
  </si>
  <si>
    <t>Engine, Turbine, &amp; Power Equip. Manuf.</t>
  </si>
  <si>
    <t>Other General Purpose Machinery Manuf.</t>
  </si>
  <si>
    <t>Computer &amp; Peripheral Equipment Manuf.</t>
  </si>
  <si>
    <t>Communications Equipment Manuf.</t>
  </si>
  <si>
    <t>Audio and Video Equipment Manuf.</t>
  </si>
  <si>
    <t xml:space="preserve">Semicond. and Electronic Component </t>
  </si>
  <si>
    <t>Control Instruments Manufacturing</t>
  </si>
  <si>
    <t>Magnetic and Optical Media</t>
  </si>
  <si>
    <t>Other Electr. Eq. &amp; Component Manuf.</t>
  </si>
  <si>
    <t>Motor Vehicle Body and Trailer Manuf.</t>
  </si>
  <si>
    <t>Aerospace Product and Parts Manuf.</t>
  </si>
  <si>
    <t>Other Transportation Equipment Manuf.</t>
  </si>
  <si>
    <t>Furniture and Kitchen Cabinet Manuf.</t>
  </si>
  <si>
    <t>Office Furniture (incl. Fixtures) Manuf.</t>
  </si>
  <si>
    <t>Other Furniture Related Product Manuf.</t>
  </si>
  <si>
    <t>Medical Equipment and Supplies Manuf.</t>
  </si>
  <si>
    <t xml:space="preserve">Motor Vehicle &amp; Parts Wholesalers </t>
  </si>
  <si>
    <t xml:space="preserve">Furniture &amp; Home Furnishing Wholesalers </t>
  </si>
  <si>
    <t>Lumber and Other Const. Materials Whlsl.</t>
  </si>
  <si>
    <t>Prof. &amp; Comm. Equip. &amp; Supplies Whlsl.</t>
  </si>
  <si>
    <t>Metal &amp; Mineral (exc. Petroleum) Whlsl.</t>
  </si>
  <si>
    <t>Appliances &amp; Electrical Wholesalers</t>
  </si>
  <si>
    <t>Hardware , Plumbing, &amp; Heating Whlsl.</t>
  </si>
  <si>
    <t>Mach., Equip. &amp; Supplies Wholesalers</t>
  </si>
  <si>
    <t>Misc. Durable Goods Wholesalers</t>
  </si>
  <si>
    <t>Paper &amp; Paper Product Wholesalers</t>
  </si>
  <si>
    <t xml:space="preserve">Drugs and Druggists' Sundries Wholesalers </t>
  </si>
  <si>
    <t>Apparel, Piece Goods, and Notions Whlsl.</t>
  </si>
  <si>
    <t xml:space="preserve">Grocery and Related Product Wholesalers </t>
  </si>
  <si>
    <t xml:space="preserve">Farm Product Raw Material Wholesalers </t>
  </si>
  <si>
    <t xml:space="preserve">Chemical and Allied Products Wholesalers </t>
  </si>
  <si>
    <t xml:space="preserve">Petroleum &amp; Petroleum Products Whlsl. </t>
  </si>
  <si>
    <t>Beer, Wine, &amp; Distilled Alcohol Whlsl.</t>
  </si>
  <si>
    <t xml:space="preserve">Misc. Nondur. Goods Wholesalers </t>
  </si>
  <si>
    <t xml:space="preserve">Wholesale Elec. Mkts. &amp; Agents &amp; Brokers </t>
  </si>
  <si>
    <t xml:space="preserve">Auto. Parts, Accessories, and Tire Stores </t>
  </si>
  <si>
    <t xml:space="preserve">Lawn &amp; Garden Equip. &amp; Supplies Stores </t>
  </si>
  <si>
    <t xml:space="preserve">Jewelry, Luggage, &amp; Leather Goods Stores </t>
  </si>
  <si>
    <t xml:space="preserve">Sporting Goods &amp; Musical Inst. Stores </t>
  </si>
  <si>
    <t>Department Stores</t>
  </si>
  <si>
    <t>General Merch. Stores &amp; Supercenters</t>
  </si>
  <si>
    <t>Ocean &amp; Great Lakes Water Transp.</t>
  </si>
  <si>
    <t>Other Transit and Ground Passenger Transp.</t>
  </si>
  <si>
    <t>Scenic &amp; Sightseeing Transp., Land</t>
  </si>
  <si>
    <t>Scenic &amp; Sightseeing Transp., Water</t>
  </si>
  <si>
    <t>Scenic &amp; Sightseeing Transp., Other</t>
  </si>
  <si>
    <t>Newspaper, Periodical, Book Publishers</t>
  </si>
  <si>
    <t>Wired Telecommunications Carriers</t>
  </si>
  <si>
    <t>Wireless Telecommunications Carriers</t>
  </si>
  <si>
    <t>Data Processing, Hosting, and Related Svcs.</t>
  </si>
  <si>
    <t>Secur. &amp; Commod. Intermed. &amp; Brokerage</t>
  </si>
  <si>
    <t xml:space="preserve">Agencies, Brokerages, and Other Insurance </t>
  </si>
  <si>
    <t>Commercial Equipment Rental and Leasing</t>
  </si>
  <si>
    <t>Lessors of Nonfinancial Intangibles</t>
  </si>
  <si>
    <t xml:space="preserve">Accting., Tax Prep., Bookkeeping, Payroll </t>
  </si>
  <si>
    <t>Arch., Engin., and Related Services</t>
  </si>
  <si>
    <t>Computer Systems Design &amp; Related Svcs.</t>
  </si>
  <si>
    <t xml:space="preserve">Mgmt., Scientific, &amp; Technical Consulting </t>
  </si>
  <si>
    <t>Scientific R&amp;D Services</t>
  </si>
  <si>
    <t>Advertising, PR, &amp; Related Svcs.</t>
  </si>
  <si>
    <t>Other Prof., Scientific, &amp; Technical Services</t>
  </si>
  <si>
    <t>Travel Arrangement &amp; Reservation Services</t>
  </si>
  <si>
    <t xml:space="preserve">Remediation &amp; Other Waste Management  </t>
  </si>
  <si>
    <t>Colleges, Universities, and Prof. Schools</t>
  </si>
  <si>
    <t>Bus. Schools &amp; Computer &amp; Mgmt. Training</t>
  </si>
  <si>
    <t>Specialty (ex. Psych.) Hospitals</t>
  </si>
  <si>
    <t xml:space="preserve">Nursing Care Facilities </t>
  </si>
  <si>
    <t>Residential Facilities</t>
  </si>
  <si>
    <t>Assisted Living Facilities for the Elderly</t>
  </si>
  <si>
    <t>Comm. Food, Housing, Other Relief Svcs.</t>
  </si>
  <si>
    <t xml:space="preserve">Promoters of Perf. Arts, Sports, &amp; Similar </t>
  </si>
  <si>
    <t>Agents/Mgrs. for Artists, Athletes, etc.</t>
  </si>
  <si>
    <t>Indep. Artists, Writers, and Performers</t>
  </si>
  <si>
    <t xml:space="preserve">Museums, Historical Sites, and Similar </t>
  </si>
  <si>
    <t>Other Amusement &amp; Recreation Industries</t>
  </si>
  <si>
    <t>Recreational Vehicle Parks &amp; Camps</t>
  </si>
  <si>
    <t>Rooming Houses, Dormitories</t>
  </si>
  <si>
    <t>Electronic/Precision Equip. Repair &amp; Maint.</t>
  </si>
  <si>
    <t>Commercial Equip. Repair and Maint.</t>
  </si>
  <si>
    <t>Personal &amp; Hhld Goods Repair and Maint.</t>
  </si>
  <si>
    <t>Bus., Prof., Labor, Political Orgs.</t>
  </si>
  <si>
    <t xml:space="preserve">Exec., Leg., &amp; Other General Govt. Support </t>
  </si>
  <si>
    <t xml:space="preserve">Admin. of Human Resource Programs </t>
  </si>
  <si>
    <t xml:space="preserve">Admin. of Environmental Quality Programs </t>
  </si>
  <si>
    <t>Admin. of Housing, Comm. Devt.</t>
  </si>
  <si>
    <t>Notes: Industry names are abbreviated for space. See notes to Table 2.</t>
  </si>
  <si>
    <t>Appendix Table A-2 (continued)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</si>
</sst>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_);\(#,##0.0\)"/>
    <numFmt numFmtId="165" formatCode="#,##0.000_);\(#,##0.000\)"/>
    <numFmt numFmtId="166" formatCode="#,##0.0000_);\(#,##0.0000\)"/>
    <numFmt numFmtId="167" formatCode="#,##0.00&quot; &quot;;&quot;(&quot;#,##0.00&quot;)&quot;"/>
    <numFmt numFmtId="168" formatCode="&quot;[&quot;#,##0.00&quot;]&quot;;&quot;[&quot;#,##0.00&quot;)]&quot;"/>
    <numFmt numFmtId="169" formatCode="#,##0&quot; &quot;;&quot;(&quot;#,##0&quot;)&quot;"/>
    <numFmt numFmtId="170" formatCode="0.000"/>
    <numFmt numFmtId="171" formatCode="#,##0.0000_)"/>
    <numFmt numFmtId="172" formatCode="#,##0.000"/>
    <numFmt numFmtId="173" formatCode="0.0%"/>
  </numFmts>
  <fonts count="28">
    <font>
      <sz val="11"/>
      <name val="Calibri"/>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name val="Calibri"/>
      <family val="2"/>
      <charset val="1"/>
    </font>
    <font>
      <b/>
      <sz val="11"/>
      <name val="Calibri"/>
      <family val="2"/>
    </font>
    <font>
      <sz val="12"/>
      <color theme="1"/>
      <name val="Liberation Sans"/>
    </font>
    <font>
      <sz val="12"/>
      <color theme="1"/>
      <name val="Calibri"/>
      <family val="2"/>
    </font>
    <font>
      <u/>
      <sz val="12"/>
      <color theme="1"/>
      <name val="Calibri"/>
      <family val="2"/>
    </font>
    <font>
      <u/>
      <sz val="10"/>
      <color theme="1"/>
      <name val="Calibri"/>
      <family val="2"/>
    </font>
    <font>
      <vertAlign val="superscript"/>
      <sz val="12"/>
      <color theme="1"/>
      <name val="Calibri"/>
      <family val="2"/>
    </font>
    <font>
      <sz val="11"/>
      <name val="Calibri"/>
      <family val="2"/>
    </font>
    <font>
      <sz val="12"/>
      <name val="Calibri"/>
      <family val="2"/>
      <charset val="1"/>
    </font>
    <font>
      <b/>
      <sz val="12"/>
      <name val="Calibri"/>
      <family val="2"/>
      <charset val="1"/>
    </font>
    <font>
      <sz val="12"/>
      <name val="Calibri"/>
      <family val="2"/>
    </font>
    <font>
      <sz val="12"/>
      <color theme="1"/>
      <name val="Calibri"/>
      <family val="2"/>
      <charset val="1"/>
    </font>
    <font>
      <u/>
      <sz val="12"/>
      <name val="Calibri"/>
      <family val="2"/>
      <charset val="1"/>
    </font>
    <font>
      <vertAlign val="superscript"/>
      <sz val="12"/>
      <name val="Calibri"/>
      <family val="2"/>
      <charset val="1"/>
    </font>
    <font>
      <b/>
      <sz val="9"/>
      <name val="Calibri"/>
      <family val="2"/>
      <scheme val="minor"/>
    </font>
    <font>
      <sz val="14"/>
      <name val="Calibri"/>
      <family val="2"/>
      <charset val="1"/>
    </font>
    <font>
      <u/>
      <sz val="14"/>
      <name val="Calibri"/>
      <family val="2"/>
      <charset val="1"/>
    </font>
    <font>
      <i/>
      <sz val="14"/>
      <name val="Calibri"/>
      <family val="2"/>
    </font>
    <font>
      <sz val="14"/>
      <name val="Calibri"/>
      <family val="2"/>
    </font>
    <font>
      <u/>
      <sz val="12"/>
      <name val="Calibri"/>
      <family val="2"/>
    </font>
    <font>
      <vertAlign val="superscript"/>
      <sz val="12"/>
      <name val="Calibri"/>
      <family val="2"/>
    </font>
    <font>
      <b/>
      <sz val="12"/>
      <color theme="1"/>
      <name val="Liberation Sans"/>
    </font>
    <font>
      <u/>
      <sz val="12"/>
      <color theme="1"/>
      <name val="Liberation Sans"/>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7" fillId="0" borderId="0"/>
    <xf numFmtId="0" fontId="5" fillId="0" borderId="0"/>
    <xf numFmtId="0" fontId="4" fillId="0" borderId="0"/>
    <xf numFmtId="0" fontId="12" fillId="0" borderId="0"/>
    <xf numFmtId="0" fontId="3" fillId="0" borderId="0"/>
    <xf numFmtId="0" fontId="2" fillId="0" borderId="0"/>
    <xf numFmtId="9" fontId="5" fillId="0" borderId="0" applyFont="0" applyFill="0" applyBorder="0" applyAlignment="0" applyProtection="0"/>
    <xf numFmtId="0" fontId="7" fillId="0" borderId="0"/>
    <xf numFmtId="0" fontId="5" fillId="0" borderId="0"/>
    <xf numFmtId="0" fontId="1" fillId="0" borderId="0"/>
  </cellStyleXfs>
  <cellXfs count="177">
    <xf numFmtId="0" fontId="0" fillId="0" borderId="0" xfId="0"/>
    <xf numFmtId="0" fontId="0" fillId="0" borderId="0" xfId="0" applyAlignment="1">
      <alignment horizontal="center"/>
    </xf>
    <xf numFmtId="3" fontId="0" fillId="0" borderId="0" xfId="0" applyNumberFormat="1" applyAlignment="1">
      <alignment horizontal="center"/>
    </xf>
    <xf numFmtId="0" fontId="0" fillId="0" borderId="0" xfId="0" applyAlignment="1">
      <alignment horizontal="left"/>
    </xf>
    <xf numFmtId="0" fontId="0" fillId="0" borderId="1" xfId="0" applyBorder="1"/>
    <xf numFmtId="0" fontId="0" fillId="0" borderId="1" xfId="0" applyBorder="1" applyAlignment="1">
      <alignment horizontal="left"/>
    </xf>
    <xf numFmtId="37" fontId="6" fillId="0" borderId="1" xfId="0" applyNumberFormat="1" applyFont="1" applyBorder="1" applyAlignment="1">
      <alignment horizontal="center"/>
    </xf>
    <xf numFmtId="0" fontId="7" fillId="0" borderId="0" xfId="1"/>
    <xf numFmtId="0" fontId="7" fillId="0" borderId="0" xfId="1" applyAlignment="1">
      <alignment horizontal="center"/>
    </xf>
    <xf numFmtId="2" fontId="7" fillId="0" borderId="0" xfId="1" applyNumberFormat="1" applyAlignment="1">
      <alignment horizontal="center"/>
    </xf>
    <xf numFmtId="0" fontId="5" fillId="0" borderId="0" xfId="2"/>
    <xf numFmtId="0" fontId="5" fillId="0" borderId="0" xfId="2" applyAlignment="1">
      <alignment horizontal="center"/>
    </xf>
    <xf numFmtId="0" fontId="8" fillId="0" borderId="0" xfId="1" applyFont="1"/>
    <xf numFmtId="0" fontId="8" fillId="0" borderId="1" xfId="1" applyFont="1" applyBorder="1"/>
    <xf numFmtId="0" fontId="9" fillId="0" borderId="0" xfId="1" applyFont="1"/>
    <xf numFmtId="0" fontId="8" fillId="0" borderId="1" xfId="1" applyFont="1" applyBorder="1" applyAlignment="1">
      <alignment horizontal="center"/>
    </xf>
    <xf numFmtId="0" fontId="8" fillId="0" borderId="0" xfId="1" applyFont="1" applyAlignment="1">
      <alignment horizontal="center"/>
    </xf>
    <xf numFmtId="169" fontId="8" fillId="0" borderId="1" xfId="1" applyNumberFormat="1" applyFont="1" applyBorder="1" applyAlignment="1">
      <alignment horizontal="center"/>
    </xf>
    <xf numFmtId="2" fontId="8" fillId="0" borderId="0" xfId="1" applyNumberFormat="1" applyFont="1" applyAlignment="1">
      <alignment horizontal="center"/>
    </xf>
    <xf numFmtId="168" fontId="8" fillId="0" borderId="0" xfId="1" applyNumberFormat="1" applyFont="1" applyAlignment="1">
      <alignment horizontal="center"/>
    </xf>
    <xf numFmtId="167" fontId="8" fillId="0" borderId="0" xfId="1" applyNumberFormat="1" applyFont="1" applyAlignment="1">
      <alignment horizontal="center"/>
    </xf>
    <xf numFmtId="0" fontId="10" fillId="0" borderId="0" xfId="1" applyFont="1"/>
    <xf numFmtId="168" fontId="8" fillId="0" borderId="1" xfId="1" applyNumberFormat="1" applyFont="1" applyBorder="1" applyAlignment="1">
      <alignment horizontal="center"/>
    </xf>
    <xf numFmtId="167" fontId="8" fillId="0" borderId="1" xfId="1" applyNumberFormat="1" applyFont="1" applyBorder="1" applyAlignment="1">
      <alignment horizontal="center"/>
    </xf>
    <xf numFmtId="0" fontId="8" fillId="0" borderId="0" xfId="1" applyFont="1" applyAlignment="1">
      <alignment wrapText="1"/>
    </xf>
    <xf numFmtId="2" fontId="8" fillId="0" borderId="1" xfId="1" applyNumberFormat="1" applyFont="1" applyBorder="1" applyAlignment="1">
      <alignment horizontal="center"/>
    </xf>
    <xf numFmtId="0" fontId="6" fillId="0" borderId="0" xfId="0" applyFont="1"/>
    <xf numFmtId="2" fontId="0" fillId="0" borderId="0" xfId="0" applyNumberFormat="1"/>
    <xf numFmtId="0" fontId="8" fillId="0" borderId="0" xfId="1" applyFont="1" applyAlignment="1">
      <alignment horizontal="left" wrapText="1"/>
    </xf>
    <xf numFmtId="0" fontId="0" fillId="0" borderId="0" xfId="0" applyAlignment="1">
      <alignment horizontal="left" wrapText="1"/>
    </xf>
    <xf numFmtId="39" fontId="0" fillId="0" borderId="0" xfId="0" applyNumberFormat="1" applyAlignment="1">
      <alignment horizontal="center"/>
    </xf>
    <xf numFmtId="37" fontId="0" fillId="0" borderId="0" xfId="0" applyNumberFormat="1" applyAlignment="1">
      <alignment horizontal="center"/>
    </xf>
    <xf numFmtId="164" fontId="0" fillId="0" borderId="0" xfId="0" applyNumberForma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12" fillId="0" borderId="2" xfId="0" applyFont="1" applyBorder="1" applyAlignment="1">
      <alignment horizontal="center" wrapText="1"/>
    </xf>
    <xf numFmtId="37" fontId="12" fillId="0" borderId="1" xfId="0" applyNumberFormat="1" applyFont="1" applyBorder="1" applyAlignment="1">
      <alignment horizontal="center"/>
    </xf>
    <xf numFmtId="0" fontId="13" fillId="0" borderId="0" xfId="0" applyFont="1"/>
    <xf numFmtId="0" fontId="13" fillId="0" borderId="1" xfId="0" applyFont="1" applyBorder="1"/>
    <xf numFmtId="0" fontId="14" fillId="0" borderId="0" xfId="0" applyFont="1" applyAlignment="1">
      <alignment wrapText="1"/>
    </xf>
    <xf numFmtId="0" fontId="14" fillId="0" borderId="2" xfId="0" applyFont="1" applyBorder="1" applyAlignment="1">
      <alignment wrapText="1"/>
    </xf>
    <xf numFmtId="0" fontId="14" fillId="0" borderId="2" xfId="0" applyFont="1" applyBorder="1" applyAlignment="1">
      <alignment horizontal="left"/>
    </xf>
    <xf numFmtId="39" fontId="13" fillId="0" borderId="0" xfId="0" applyNumberFormat="1" applyFont="1" applyAlignment="1">
      <alignment horizontal="center"/>
    </xf>
    <xf numFmtId="0" fontId="13" fillId="0" borderId="0" xfId="0" applyFont="1" applyAlignment="1">
      <alignment horizontal="left" wrapText="1"/>
    </xf>
    <xf numFmtId="0" fontId="13" fillId="0" borderId="0" xfId="0" applyFont="1" applyAlignment="1">
      <alignment horizontal="left"/>
    </xf>
    <xf numFmtId="37" fontId="13" fillId="0" borderId="0" xfId="0" applyNumberFormat="1" applyFont="1" applyAlignment="1">
      <alignment horizontal="center"/>
    </xf>
    <xf numFmtId="0" fontId="13" fillId="0" borderId="1" xfId="0" applyFont="1" applyBorder="1" applyAlignment="1">
      <alignment horizontal="left"/>
    </xf>
    <xf numFmtId="0" fontId="13" fillId="0" borderId="1" xfId="0" applyFont="1" applyBorder="1" applyAlignment="1">
      <alignment horizontal="left" wrapText="1"/>
    </xf>
    <xf numFmtId="39" fontId="13" fillId="0" borderId="1" xfId="0" applyNumberFormat="1" applyFont="1" applyBorder="1" applyAlignment="1">
      <alignment horizontal="center"/>
    </xf>
    <xf numFmtId="37" fontId="15" fillId="0" borderId="1" xfId="0" applyNumberFormat="1" applyFont="1" applyBorder="1" applyAlignment="1">
      <alignment horizontal="center"/>
    </xf>
    <xf numFmtId="0" fontId="14" fillId="0" borderId="1" xfId="0" applyFont="1" applyBorder="1"/>
    <xf numFmtId="37" fontId="13" fillId="0" borderId="1" xfId="0" applyNumberFormat="1" applyFont="1" applyBorder="1" applyAlignment="1">
      <alignment horizontal="center"/>
    </xf>
    <xf numFmtId="170" fontId="16" fillId="0" borderId="0" xfId="1" applyNumberFormat="1" applyFont="1" applyAlignment="1">
      <alignment horizontal="center"/>
    </xf>
    <xf numFmtId="0" fontId="17" fillId="0" borderId="0" xfId="0" applyFont="1"/>
    <xf numFmtId="2" fontId="16" fillId="0" borderId="0" xfId="1" applyNumberFormat="1" applyFont="1" applyAlignment="1">
      <alignment horizontal="center"/>
    </xf>
    <xf numFmtId="167" fontId="16" fillId="0" borderId="0" xfId="1" applyNumberFormat="1" applyFont="1" applyAlignment="1">
      <alignment horizontal="center"/>
    </xf>
    <xf numFmtId="0" fontId="16" fillId="0" borderId="0" xfId="1" applyFont="1" applyAlignment="1">
      <alignment horizontal="center"/>
    </xf>
    <xf numFmtId="2" fontId="16" fillId="0" borderId="1" xfId="1" applyNumberFormat="1" applyFont="1" applyBorder="1" applyAlignment="1">
      <alignment horizontal="center"/>
    </xf>
    <xf numFmtId="0" fontId="0" fillId="0" borderId="0" xfId="0" applyAlignment="1">
      <alignment horizontal="center" wrapText="1"/>
    </xf>
    <xf numFmtId="0" fontId="0" fillId="0" borderId="1" xfId="0" applyBorder="1" applyAlignment="1">
      <alignment horizontal="center" wrapText="1"/>
    </xf>
    <xf numFmtId="0" fontId="20" fillId="0" borderId="0" xfId="0" applyFont="1"/>
    <xf numFmtId="0" fontId="20" fillId="0" borderId="3" xfId="0" applyFont="1" applyBorder="1"/>
    <xf numFmtId="0" fontId="20" fillId="0" borderId="1" xfId="0" applyFont="1" applyBorder="1"/>
    <xf numFmtId="0" fontId="21" fillId="0" borderId="0" xfId="0" applyFont="1"/>
    <xf numFmtId="0" fontId="6" fillId="0" borderId="0" xfId="4" applyFont="1"/>
    <xf numFmtId="0" fontId="12" fillId="0" borderId="0" xfId="4" applyAlignment="1">
      <alignment horizontal="center"/>
    </xf>
    <xf numFmtId="0" fontId="12" fillId="0" borderId="0" xfId="4"/>
    <xf numFmtId="0" fontId="19" fillId="0" borderId="0" xfId="4" applyFont="1" applyAlignment="1">
      <alignment horizontal="center"/>
    </xf>
    <xf numFmtId="172" fontId="12" fillId="0" borderId="0" xfId="4" applyNumberFormat="1" applyAlignment="1">
      <alignment horizontal="center"/>
    </xf>
    <xf numFmtId="172" fontId="12" fillId="0" borderId="0" xfId="4" applyNumberFormat="1"/>
    <xf numFmtId="0" fontId="20" fillId="0" borderId="0" xfId="0" applyFont="1" applyAlignment="1">
      <alignment horizontal="center"/>
    </xf>
    <xf numFmtId="170" fontId="20" fillId="0" borderId="0" xfId="0" applyNumberFormat="1" applyFont="1" applyAlignment="1">
      <alignment horizontal="center"/>
    </xf>
    <xf numFmtId="0" fontId="20" fillId="0" borderId="1" xfId="0" applyFont="1" applyBorder="1" applyAlignment="1">
      <alignment horizontal="center"/>
    </xf>
    <xf numFmtId="170" fontId="20" fillId="0" borderId="1" xfId="0" applyNumberFormat="1" applyFont="1" applyBorder="1" applyAlignment="1">
      <alignment horizontal="center"/>
    </xf>
    <xf numFmtId="0" fontId="20" fillId="0" borderId="2" xfId="0" quotePrefix="1" applyFont="1" applyBorder="1" applyAlignment="1">
      <alignment horizontal="center"/>
    </xf>
    <xf numFmtId="0" fontId="20" fillId="0" borderId="1" xfId="0" applyFont="1" applyBorder="1" applyAlignment="1">
      <alignment horizontal="center" vertical="top" wrapText="1"/>
    </xf>
    <xf numFmtId="0" fontId="0" fillId="2" borderId="0" xfId="0" applyFill="1" applyAlignment="1">
      <alignment horizontal="center"/>
    </xf>
    <xf numFmtId="3" fontId="0" fillId="2" borderId="0" xfId="0" applyNumberFormat="1" applyFill="1" applyAlignment="1">
      <alignment horizontal="center"/>
    </xf>
    <xf numFmtId="0" fontId="0" fillId="0" borderId="0" xfId="0" applyAlignment="1">
      <alignment horizontal="left" vertical="top" wrapText="1"/>
    </xf>
    <xf numFmtId="0" fontId="22" fillId="0" borderId="0" xfId="0" applyFont="1"/>
    <xf numFmtId="0" fontId="15" fillId="0" borderId="2" xfId="0" applyFont="1" applyBorder="1" applyAlignment="1">
      <alignment horizontal="center" wrapText="1"/>
    </xf>
    <xf numFmtId="37" fontId="15" fillId="0" borderId="0" xfId="0" applyNumberFormat="1" applyFont="1" applyAlignment="1">
      <alignment horizontal="center"/>
    </xf>
    <xf numFmtId="2" fontId="12" fillId="0" borderId="0" xfId="4" applyNumberFormat="1"/>
    <xf numFmtId="1" fontId="23" fillId="0" borderId="0" xfId="4" applyNumberFormat="1" applyFont="1" applyAlignment="1">
      <alignment horizontal="left"/>
    </xf>
    <xf numFmtId="2" fontId="23" fillId="0" borderId="0" xfId="4" applyNumberFormat="1" applyFont="1" applyAlignment="1">
      <alignment horizontal="center"/>
    </xf>
    <xf numFmtId="1" fontId="23" fillId="0" borderId="1" xfId="4" applyNumberFormat="1" applyFont="1" applyBorder="1" applyAlignment="1">
      <alignment horizontal="left"/>
    </xf>
    <xf numFmtId="0" fontId="23" fillId="0" borderId="0" xfId="4" applyFont="1"/>
    <xf numFmtId="0" fontId="23" fillId="0" borderId="0" xfId="4" quotePrefix="1" applyFont="1" applyAlignment="1">
      <alignment horizontal="center"/>
    </xf>
    <xf numFmtId="0" fontId="23" fillId="0" borderId="0" xfId="4" quotePrefix="1" applyFont="1"/>
    <xf numFmtId="0" fontId="15" fillId="0" borderId="0" xfId="4" applyFont="1" applyAlignment="1">
      <alignment vertical="top"/>
    </xf>
    <xf numFmtId="0" fontId="15" fillId="0" borderId="0" xfId="4" applyFont="1"/>
    <xf numFmtId="0" fontId="15" fillId="0" borderId="3" xfId="4" applyFont="1" applyBorder="1"/>
    <xf numFmtId="0" fontId="15" fillId="0" borderId="3" xfId="4" applyFont="1" applyBorder="1" applyAlignment="1">
      <alignment wrapText="1"/>
    </xf>
    <xf numFmtId="0" fontId="15" fillId="0" borderId="0" xfId="4" applyFont="1" applyAlignment="1">
      <alignment horizontal="center"/>
    </xf>
    <xf numFmtId="0" fontId="15" fillId="0" borderId="1" xfId="4" applyFont="1" applyBorder="1" applyAlignment="1">
      <alignment horizontal="left"/>
    </xf>
    <xf numFmtId="0" fontId="15" fillId="0" borderId="1" xfId="4" applyFont="1" applyBorder="1"/>
    <xf numFmtId="1" fontId="15" fillId="0" borderId="1" xfId="4" quotePrefix="1" applyNumberFormat="1" applyFont="1" applyBorder="1" applyAlignment="1">
      <alignment horizontal="center"/>
    </xf>
    <xf numFmtId="1" fontId="15" fillId="0" borderId="0" xfId="4" applyNumberFormat="1" applyFont="1" applyAlignment="1">
      <alignment horizontal="left"/>
    </xf>
    <xf numFmtId="173" fontId="15" fillId="0" borderId="0" xfId="4" applyNumberFormat="1" applyFont="1" applyAlignment="1">
      <alignment horizontal="center"/>
    </xf>
    <xf numFmtId="2" fontId="15" fillId="0" borderId="0" xfId="4" applyNumberFormat="1" applyFont="1" applyAlignment="1">
      <alignment horizontal="center"/>
    </xf>
    <xf numFmtId="0" fontId="15" fillId="0" borderId="1" xfId="4" quotePrefix="1" applyFont="1" applyBorder="1" applyAlignment="1">
      <alignment horizontal="center"/>
    </xf>
    <xf numFmtId="2" fontId="15" fillId="0" borderId="1" xfId="4" applyNumberFormat="1" applyFont="1" applyBorder="1" applyAlignment="1">
      <alignment horizontal="center"/>
    </xf>
    <xf numFmtId="0" fontId="15" fillId="0" borderId="1" xfId="4" quotePrefix="1" applyFont="1" applyBorder="1"/>
    <xf numFmtId="0" fontId="15" fillId="0" borderId="1" xfId="4" applyFont="1" applyBorder="1" applyAlignment="1">
      <alignment horizontal="center"/>
    </xf>
    <xf numFmtId="0" fontId="12" fillId="0" borderId="2" xfId="4" applyBorder="1"/>
    <xf numFmtId="0" fontId="15" fillId="0" borderId="0" xfId="4" quotePrefix="1" applyFont="1" applyAlignment="1">
      <alignment horizontal="left"/>
    </xf>
    <xf numFmtId="0" fontId="15" fillId="0" borderId="0" xfId="4" applyFont="1" applyAlignment="1">
      <alignment horizontal="left"/>
    </xf>
    <xf numFmtId="0" fontId="15" fillId="0" borderId="0" xfId="4" quotePrefix="1" applyFont="1"/>
    <xf numFmtId="0" fontId="15" fillId="0" borderId="0" xfId="0" applyFont="1"/>
    <xf numFmtId="0" fontId="15" fillId="0" borderId="1" xfId="0" applyFont="1" applyBorder="1"/>
    <xf numFmtId="0" fontId="15" fillId="0" borderId="0" xfId="0" applyFont="1" applyAlignment="1">
      <alignment horizontal="center"/>
    </xf>
    <xf numFmtId="165" fontId="15" fillId="0" borderId="0" xfId="0" applyNumberFormat="1" applyFont="1" applyAlignment="1">
      <alignment horizontal="center"/>
    </xf>
    <xf numFmtId="171" fontId="15" fillId="0" borderId="0" xfId="0" applyNumberFormat="1" applyFont="1" applyAlignment="1">
      <alignment horizontal="center"/>
    </xf>
    <xf numFmtId="166" fontId="15" fillId="0" borderId="0" xfId="0" applyNumberFormat="1" applyFont="1" applyAlignment="1">
      <alignment horizontal="center"/>
    </xf>
    <xf numFmtId="164" fontId="15" fillId="0" borderId="0" xfId="0" applyNumberFormat="1" applyFont="1" applyAlignment="1">
      <alignment horizontal="center"/>
    </xf>
    <xf numFmtId="165" fontId="15" fillId="0" borderId="1" xfId="0" applyNumberFormat="1" applyFont="1" applyBorder="1" applyAlignment="1">
      <alignment horizontal="center"/>
    </xf>
    <xf numFmtId="0" fontId="15" fillId="0" borderId="2" xfId="0" applyFont="1" applyBorder="1" applyAlignment="1">
      <alignment wrapText="1"/>
    </xf>
    <xf numFmtId="0" fontId="15" fillId="0" borderId="2" xfId="0" applyFont="1" applyBorder="1" applyAlignment="1">
      <alignment horizontal="left"/>
    </xf>
    <xf numFmtId="0" fontId="24" fillId="0" borderId="0" xfId="0" applyFont="1"/>
    <xf numFmtId="39" fontId="15" fillId="0" borderId="0" xfId="0" applyNumberFormat="1" applyFont="1" applyAlignment="1">
      <alignment horizontal="center"/>
    </xf>
    <xf numFmtId="0" fontId="15" fillId="0" borderId="1" xfId="0" applyFont="1" applyBorder="1" applyAlignment="1">
      <alignment horizontal="center"/>
    </xf>
    <xf numFmtId="165" fontId="15" fillId="0" borderId="0" xfId="0" applyNumberFormat="1" applyFont="1"/>
    <xf numFmtId="0" fontId="13" fillId="0" borderId="0" xfId="0" applyFont="1" applyAlignment="1">
      <alignment horizontal="left" vertical="center"/>
    </xf>
    <xf numFmtId="0" fontId="15" fillId="0" borderId="0" xfId="4" applyFont="1" applyAlignment="1">
      <alignment wrapText="1"/>
    </xf>
    <xf numFmtId="0" fontId="15" fillId="0" borderId="0" xfId="4" applyFont="1" applyAlignment="1">
      <alignment horizontal="center" wrapText="1" shrinkToFit="1"/>
    </xf>
    <xf numFmtId="0" fontId="15" fillId="0" borderId="0" xfId="4" applyFont="1" applyAlignment="1">
      <alignment horizontal="center" vertical="top" wrapText="1"/>
    </xf>
    <xf numFmtId="0" fontId="12" fillId="0" borderId="1" xfId="4" applyBorder="1"/>
    <xf numFmtId="0" fontId="2" fillId="0" borderId="0" xfId="6"/>
    <xf numFmtId="173" fontId="15" fillId="0" borderId="1" xfId="4" quotePrefix="1" applyNumberFormat="1" applyFont="1" applyBorder="1" applyAlignment="1">
      <alignment horizontal="center"/>
    </xf>
    <xf numFmtId="39" fontId="0" fillId="0" borderId="0" xfId="0" applyNumberFormat="1"/>
    <xf numFmtId="0" fontId="7" fillId="0" borderId="0" xfId="8"/>
    <xf numFmtId="0" fontId="27" fillId="0" borderId="0" xfId="8" applyFont="1"/>
    <xf numFmtId="0" fontId="26" fillId="0" borderId="0" xfId="8" applyFont="1"/>
    <xf numFmtId="0" fontId="7" fillId="0" borderId="0" xfId="8" applyAlignment="1">
      <alignment horizontal="center"/>
    </xf>
    <xf numFmtId="0" fontId="1" fillId="0" borderId="0" xfId="10"/>
    <xf numFmtId="11" fontId="1" fillId="0" borderId="0" xfId="10" applyNumberFormat="1"/>
    <xf numFmtId="170" fontId="0" fillId="0" borderId="0" xfId="0" applyNumberFormat="1" applyAlignment="1">
      <alignment horizontal="center"/>
    </xf>
    <xf numFmtId="2" fontId="0" fillId="0" borderId="0" xfId="0" applyNumberFormat="1" applyAlignment="1">
      <alignment horizontal="center"/>
    </xf>
    <xf numFmtId="10" fontId="0" fillId="0" borderId="0" xfId="7" applyNumberFormat="1" applyFont="1" applyAlignment="1">
      <alignment horizontal="center"/>
    </xf>
    <xf numFmtId="0" fontId="6" fillId="0" borderId="2" xfId="0" applyFont="1" applyBorder="1" applyAlignment="1">
      <alignment wrapText="1"/>
    </xf>
    <xf numFmtId="0" fontId="6" fillId="0" borderId="2" xfId="0" applyFont="1" applyBorder="1" applyAlignment="1">
      <alignment horizontal="center" wrapText="1"/>
    </xf>
    <xf numFmtId="0" fontId="0" fillId="0" borderId="2" xfId="0" applyBorder="1"/>
    <xf numFmtId="0" fontId="0" fillId="0" borderId="2" xfId="0" quotePrefix="1" applyBorder="1" applyAlignment="1">
      <alignment horizontal="center"/>
    </xf>
    <xf numFmtId="0" fontId="0" fillId="0" borderId="0" xfId="0" applyAlignment="1">
      <alignment horizontal="left" vertical="top" wrapText="1"/>
    </xf>
    <xf numFmtId="0" fontId="15" fillId="0" borderId="2" xfId="4" applyFont="1" applyBorder="1" applyAlignment="1">
      <alignment horizontal="center" vertical="top" wrapText="1" shrinkToFit="1"/>
    </xf>
    <xf numFmtId="0" fontId="15" fillId="0" borderId="2" xfId="4" applyFont="1" applyBorder="1" applyAlignment="1">
      <alignment vertical="top" wrapText="1"/>
    </xf>
    <xf numFmtId="0" fontId="15" fillId="0" borderId="2" xfId="4" applyFont="1" applyBorder="1" applyAlignment="1">
      <alignment horizontal="center" wrapText="1" shrinkToFit="1"/>
    </xf>
    <xf numFmtId="1" fontId="15" fillId="0" borderId="0" xfId="4" applyNumberFormat="1" applyFont="1" applyAlignment="1">
      <alignment vertical="top" wrapText="1"/>
    </xf>
    <xf numFmtId="0" fontId="15" fillId="0" borderId="0" xfId="4" applyFont="1" applyAlignment="1">
      <alignment vertical="top" wrapText="1"/>
    </xf>
    <xf numFmtId="0" fontId="15" fillId="0" borderId="1" xfId="4" applyFont="1" applyBorder="1" applyAlignment="1">
      <alignment horizontal="left" vertical="top" wrapText="1"/>
    </xf>
    <xf numFmtId="0" fontId="15" fillId="0" borderId="2" xfId="0" applyFont="1" applyBorder="1" applyAlignment="1">
      <alignment horizontal="center" wrapText="1"/>
    </xf>
    <xf numFmtId="0" fontId="15" fillId="0" borderId="2" xfId="0" applyFont="1" applyBorder="1" applyAlignment="1">
      <alignment horizontal="center"/>
    </xf>
    <xf numFmtId="0" fontId="13" fillId="0" borderId="0" xfId="0" applyFont="1" applyAlignment="1">
      <alignment horizontal="left" wrapText="1"/>
    </xf>
    <xf numFmtId="0" fontId="0" fillId="0" borderId="0" xfId="0" applyAlignment="1">
      <alignment horizontal="left" wrapText="1"/>
    </xf>
    <xf numFmtId="0" fontId="13" fillId="0" borderId="0" xfId="0" applyFont="1" applyAlignment="1">
      <alignment horizontal="left" vertical="top" wrapText="1"/>
    </xf>
    <xf numFmtId="0" fontId="13" fillId="0" borderId="0" xfId="0" applyFont="1" applyAlignment="1">
      <alignment horizontal="center" wrapText="1"/>
    </xf>
    <xf numFmtId="0" fontId="0" fillId="0" borderId="0" xfId="0" applyAlignment="1">
      <alignment horizontal="center" wrapText="1"/>
    </xf>
    <xf numFmtId="0" fontId="0" fillId="0" borderId="1" xfId="0" applyBorder="1" applyAlignment="1">
      <alignment horizontal="center" wrapText="1"/>
    </xf>
    <xf numFmtId="0" fontId="15" fillId="0" borderId="0" xfId="0" applyFont="1" applyAlignment="1">
      <alignment horizontal="left" vertical="top" wrapText="1"/>
    </xf>
    <xf numFmtId="0" fontId="15" fillId="0" borderId="0" xfId="0" applyFont="1" applyAlignment="1">
      <alignment horizontal="left" wrapText="1"/>
    </xf>
    <xf numFmtId="0" fontId="16" fillId="0" borderId="0" xfId="1" applyFont="1" applyAlignment="1">
      <alignment horizontal="left" wrapText="1"/>
    </xf>
    <xf numFmtId="0" fontId="8" fillId="0" borderId="0" xfId="1" applyFont="1" applyAlignment="1">
      <alignment horizontal="left" wrapText="1"/>
    </xf>
    <xf numFmtId="0" fontId="8" fillId="0" borderId="2" xfId="1" applyFont="1" applyBorder="1" applyAlignment="1">
      <alignment horizontal="center" wrapText="1"/>
    </xf>
    <xf numFmtId="0" fontId="12" fillId="0" borderId="2" xfId="0" applyFont="1" applyBorder="1" applyAlignment="1">
      <alignment horizontal="center" wrapText="1"/>
    </xf>
    <xf numFmtId="0" fontId="20" fillId="0" borderId="0" xfId="0" applyFont="1" applyAlignment="1">
      <alignment vertical="top" wrapText="1"/>
    </xf>
    <xf numFmtId="0" fontId="0" fillId="0" borderId="0" xfId="0" applyAlignment="1">
      <alignment wrapText="1"/>
    </xf>
    <xf numFmtId="0" fontId="8" fillId="0" borderId="0" xfId="1" applyFont="1" applyAlignment="1">
      <alignment horizontal="left" vertical="top" wrapText="1"/>
    </xf>
    <xf numFmtId="0" fontId="7" fillId="0" borderId="0" xfId="8" applyAlignment="1">
      <alignment horizontal="center"/>
    </xf>
    <xf numFmtId="0" fontId="0" fillId="0" borderId="0" xfId="0" applyAlignment="1">
      <alignment horizontal="center"/>
    </xf>
    <xf numFmtId="0" fontId="7" fillId="0" borderId="0" xfId="1" applyAlignment="1">
      <alignment horizontal="center"/>
    </xf>
    <xf numFmtId="0" fontId="5" fillId="0" borderId="0" xfId="2" applyAlignment="1">
      <alignment horizontal="center"/>
    </xf>
    <xf numFmtId="3" fontId="0" fillId="0" borderId="0" xfId="0" applyNumberFormat="1" applyAlignment="1">
      <alignment horizontal="center"/>
    </xf>
    <xf numFmtId="0" fontId="12" fillId="0" borderId="0" xfId="4" applyAlignment="1">
      <alignment horizontal="center"/>
    </xf>
    <xf numFmtId="3" fontId="12" fillId="0" borderId="0" xfId="4" applyNumberFormat="1" applyAlignment="1">
      <alignment horizontal="center"/>
    </xf>
    <xf numFmtId="2" fontId="15" fillId="0" borderId="1" xfId="4" applyNumberFormat="1" applyFont="1" applyFill="1" applyBorder="1" applyAlignment="1">
      <alignment horizontal="center"/>
    </xf>
    <xf numFmtId="0" fontId="15" fillId="0" borderId="1" xfId="0" applyFont="1" applyFill="1" applyBorder="1" applyAlignment="1">
      <alignment horizontal="center"/>
    </xf>
    <xf numFmtId="170" fontId="15" fillId="0" borderId="1" xfId="0" applyNumberFormat="1" applyFont="1" applyFill="1" applyBorder="1" applyAlignment="1">
      <alignment horizontal="center"/>
    </xf>
  </cellXfs>
  <cellStyles count="11">
    <cellStyle name="Normal" xfId="0" builtinId="0"/>
    <cellStyle name="Normal 2" xfId="1" xr:uid="{00000000-0005-0000-0000-000001000000}"/>
    <cellStyle name="Normal 2 2" xfId="2" xr:uid="{00000000-0005-0000-0000-000002000000}"/>
    <cellStyle name="Normal 2 2 2" xfId="8" xr:uid="{BF5789E9-195D-BB4F-8D68-E7EA40697996}"/>
    <cellStyle name="Normal 3" xfId="3" xr:uid="{00000000-0005-0000-0000-000003000000}"/>
    <cellStyle name="Normal 3 2" xfId="9" xr:uid="{9581B3DF-1B95-9D4E-BFF4-1B94A80BFDFD}"/>
    <cellStyle name="Normal 4" xfId="4" xr:uid="{00000000-0005-0000-0000-000004000000}"/>
    <cellStyle name="Normal 5" xfId="5" xr:uid="{00000000-0005-0000-0000-000005000000}"/>
    <cellStyle name="Normal 6" xfId="6" xr:uid="{842D693C-D307-EA42-8971-5C3824A7CD39}"/>
    <cellStyle name="Normal 7" xfId="10" xr:uid="{C6BED6D1-BC06-804F-B081-B5A73EB71F32}"/>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12</xdr:col>
      <xdr:colOff>23092</xdr:colOff>
      <xdr:row>4</xdr:row>
      <xdr:rowOff>68261</xdr:rowOff>
    </xdr:from>
    <xdr:to>
      <xdr:col>13</xdr:col>
      <xdr:colOff>34638</xdr:colOff>
      <xdr:row>4</xdr:row>
      <xdr:rowOff>357908</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465456" y="1026534"/>
              <a:ext cx="1096818" cy="289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r>
                      <a:rPr lang="en-US" sz="1100" b="0" i="1">
                        <a:latin typeface="Cambria Math" panose="02040503050406030204" pitchFamily="18" charset="0"/>
                      </a:rPr>
                      <m:t>−</m:t>
                    </m:r>
                    <m:r>
                      <a:rPr lang="en-US" sz="1100" b="0" i="1">
                        <a:solidFill>
                          <a:schemeClr val="dk1"/>
                        </a:solidFill>
                        <a:effectLst/>
                        <a:latin typeface="Cambria Math" panose="02040503050406030204" pitchFamily="18" charset="0"/>
                        <a:ea typeface="+mn-ea"/>
                        <a:cs typeface="+mn-cs"/>
                      </a:rPr>
                      <m:t>𝐸</m:t>
                    </m:r>
                    <m:d>
                      <m:dPr>
                        <m:begChr m:val="["/>
                        <m:endChr m:val="]"/>
                        <m:ctrlPr>
                          <a:rPr lang="en-US" sz="1100" b="0" i="1">
                            <a:solidFill>
                              <a:schemeClr val="dk1"/>
                            </a:solidFill>
                            <a:effectLst/>
                            <a:latin typeface="Cambria Math" panose="02040503050406030204" pitchFamily="18" charset="0"/>
                            <a:ea typeface="+mn-ea"/>
                            <a:cs typeface="+mn-cs"/>
                          </a:rPr>
                        </m:ctrlPr>
                      </m:dPr>
                      <m:e>
                        <m:sSub>
                          <m:sSubPr>
                            <m:ctrlPr>
                              <a:rPr lang="en-US" sz="1100" b="0" i="1">
                                <a:solidFill>
                                  <a:schemeClr val="dk1"/>
                                </a:solidFill>
                                <a:effectLst/>
                                <a:latin typeface="Cambria Math" panose="02040503050406030204" pitchFamily="18" charset="0"/>
                                <a:ea typeface="+mn-ea"/>
                                <a:cs typeface="+mn-cs"/>
                              </a:rPr>
                            </m:ctrlPr>
                          </m:sSubPr>
                          <m:e>
                            <m:acc>
                              <m:accPr>
                                <m:chr m:val="̅"/>
                                <m:ctrlPr>
                                  <a:rPr lang="en-US" sz="1100" b="0" i="1">
                                    <a:solidFill>
                                      <a:schemeClr val="dk1"/>
                                    </a:solidFill>
                                    <a:effectLst/>
                                    <a:latin typeface="Cambria Math" panose="02040503050406030204" pitchFamily="18" charset="0"/>
                                    <a:ea typeface="+mn-ea"/>
                                    <a:cs typeface="+mn-cs"/>
                                  </a:rPr>
                                </m:ctrlPr>
                              </m:accPr>
                              <m:e>
                                <m:r>
                                  <a:rPr lang="en-US" sz="1100" b="0" i="1">
                                    <a:solidFill>
                                      <a:schemeClr val="dk1"/>
                                    </a:solidFill>
                                    <a:effectLst/>
                                    <a:latin typeface="Cambria Math" panose="02040503050406030204" pitchFamily="18" charset="0"/>
                                    <a:ea typeface="+mn-ea"/>
                                    <a:cs typeface="+mn-cs"/>
                                  </a:rPr>
                                  <m:t>𝛼</m:t>
                                </m:r>
                              </m:e>
                            </m:acc>
                          </m:e>
                          <m:sub>
                            <m:r>
                              <a:rPr lang="en-US" sz="1100" b="0" i="1">
                                <a:solidFill>
                                  <a:schemeClr val="dk1"/>
                                </a:solidFill>
                                <a:effectLst/>
                                <a:latin typeface="Cambria Math" panose="02040503050406030204" pitchFamily="18" charset="0"/>
                                <a:ea typeface="+mn-ea"/>
                                <a:cs typeface="+mn-cs"/>
                              </a:rPr>
                              <m:t>𝑗</m:t>
                            </m:r>
                          </m:sub>
                        </m:sSub>
                        <m:r>
                          <a:rPr lang="en-US" sz="1100" b="0" i="1">
                            <a:solidFill>
                              <a:schemeClr val="dk1"/>
                            </a:solidFill>
                            <a:effectLst/>
                            <a:latin typeface="Cambria Math" panose="02040503050406030204" pitchFamily="18" charset="0"/>
                            <a:ea typeface="+mn-ea"/>
                            <a:cs typeface="+mn-cs"/>
                          </a:rPr>
                          <m:t> |</m:t>
                        </m:r>
                        <m:sSub>
                          <m:sSubPr>
                            <m:ctrlPr>
                              <a:rPr lang="en-US" sz="1100" b="0" i="1">
                                <a:solidFill>
                                  <a:schemeClr val="dk1"/>
                                </a:solidFill>
                                <a:effectLst/>
                                <a:latin typeface="Cambria Math" panose="02040503050406030204" pitchFamily="18" charset="0"/>
                                <a:ea typeface="+mn-ea"/>
                                <a:cs typeface="+mn-cs"/>
                              </a:rPr>
                            </m:ctrlPr>
                          </m:sSubPr>
                          <m:e>
                            <m:acc>
                              <m:accPr>
                                <m:chr m:val="̅"/>
                                <m:ctrlPr>
                                  <a:rPr lang="en-US" sz="1100" b="0" i="1">
                                    <a:solidFill>
                                      <a:schemeClr val="dk1"/>
                                    </a:solidFill>
                                    <a:effectLst/>
                                    <a:latin typeface="Cambria Math" panose="02040503050406030204" pitchFamily="18" charset="0"/>
                                    <a:ea typeface="+mn-ea"/>
                                    <a:cs typeface="+mn-cs"/>
                                  </a:rPr>
                                </m:ctrlPr>
                              </m:accPr>
                              <m:e>
                                <m:r>
                                  <a:rPr lang="en-US" sz="1100" b="0" i="1">
                                    <a:solidFill>
                                      <a:schemeClr val="dk1"/>
                                    </a:solidFill>
                                    <a:effectLst/>
                                    <a:latin typeface="Cambria Math" panose="02040503050406030204" pitchFamily="18" charset="0"/>
                                    <a:ea typeface="+mn-ea"/>
                                    <a:cs typeface="+mn-cs"/>
                                  </a:rPr>
                                  <m:t>𝑋</m:t>
                                </m:r>
                              </m:e>
                            </m:acc>
                          </m:e>
                          <m:sub>
                            <m:r>
                              <a:rPr lang="en-US" sz="1100" b="0" i="1">
                                <a:solidFill>
                                  <a:schemeClr val="dk1"/>
                                </a:solidFill>
                                <a:effectLst/>
                                <a:latin typeface="Cambria Math" panose="02040503050406030204" pitchFamily="18" charset="0"/>
                                <a:ea typeface="+mn-ea"/>
                                <a:cs typeface="+mn-cs"/>
                              </a:rPr>
                              <m:t>𝑗</m:t>
                            </m:r>
                          </m:sub>
                        </m:sSub>
                        <m:acc>
                          <m:accPr>
                            <m:chr m:val="̂"/>
                            <m:ctrlPr>
                              <a:rPr lang="en-US" sz="1100" b="0" i="1">
                                <a:solidFill>
                                  <a:schemeClr val="dk1"/>
                                </a:solidFill>
                                <a:effectLst/>
                                <a:latin typeface="Cambria Math" panose="02040503050406030204" pitchFamily="18" charset="0"/>
                                <a:ea typeface="+mn-ea"/>
                                <a:cs typeface="+mn-cs"/>
                              </a:rPr>
                            </m:ctrlPr>
                          </m:accPr>
                          <m:e>
                            <m:r>
                              <a:rPr lang="en-US" sz="1100" b="0" i="1">
                                <a:solidFill>
                                  <a:schemeClr val="dk1"/>
                                </a:solidFill>
                                <a:effectLst/>
                                <a:latin typeface="Cambria Math" panose="02040503050406030204" pitchFamily="18" charset="0"/>
                                <a:ea typeface="+mn-ea"/>
                                <a:cs typeface="+mn-cs"/>
                              </a:rPr>
                              <m:t>𝜃</m:t>
                            </m:r>
                          </m:e>
                        </m:acc>
                      </m:e>
                    </m:d>
                  </m:oMath>
                </m:oMathPara>
              </a14:m>
              <a:endParaRPr lang="en-US" sz="1100"/>
            </a:p>
          </xdr:txBody>
        </xdr:sp>
      </mc:Choice>
      <mc:Fallback xmlns="">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465456" y="1026534"/>
              <a:ext cx="1096818" cy="289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r>
                <a:rPr lang="en-US" sz="1100" b="0" i="0">
                  <a:solidFill>
                    <a:schemeClr val="dk1"/>
                  </a:solidFill>
                  <a:effectLst/>
                  <a:latin typeface="Cambria Math" panose="02040503050406030204" pitchFamily="18" charset="0"/>
                  <a:ea typeface="+mn-ea"/>
                  <a:cs typeface="+mn-cs"/>
                </a:rPr>
                <a:t>𝐸[𝛼 ̅_𝑗  |𝑋 ̅_𝑗 𝜃 ̂ ]</a:t>
              </a:r>
              <a:endParaRPr lang="en-US" sz="1100"/>
            </a:p>
          </xdr:txBody>
        </xdr:sp>
      </mc:Fallback>
    </mc:AlternateContent>
    <xdr:clientData/>
  </xdr:twoCellAnchor>
  <xdr:twoCellAnchor>
    <xdr:from>
      <xdr:col>17</xdr:col>
      <xdr:colOff>1</xdr:colOff>
      <xdr:row>4</xdr:row>
      <xdr:rowOff>0</xdr:rowOff>
    </xdr:from>
    <xdr:to>
      <xdr:col>17</xdr:col>
      <xdr:colOff>508001</xdr:colOff>
      <xdr:row>4</xdr:row>
      <xdr:rowOff>266700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805989" y="747713"/>
              <a:ext cx="5080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xmlns:a14="http://schemas.microsoft.com/office/drawing/2010/main" xmlns="" id="{00000000-0008-0000-0100-000002000000}"/>
                </a:ext>
              </a:extLst>
            </xdr:cNvPr>
            <xdr:cNvSpPr txBox="1"/>
          </xdr:nvSpPr>
          <xdr:spPr>
            <a:xfrm>
              <a:off x="9805989" y="747713"/>
              <a:ext cx="5080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endParaRPr lang="en-US" sz="1100"/>
            </a:p>
          </xdr:txBody>
        </xdr:sp>
      </mc:Fallback>
    </mc:AlternateContent>
    <xdr:clientData/>
  </xdr:twoCellAnchor>
  <xdr:twoCellAnchor>
    <xdr:from>
      <xdr:col>17</xdr:col>
      <xdr:colOff>0</xdr:colOff>
      <xdr:row>7</xdr:row>
      <xdr:rowOff>0</xdr:rowOff>
    </xdr:from>
    <xdr:to>
      <xdr:col>18</xdr:col>
      <xdr:colOff>59871</xdr:colOff>
      <xdr:row>8</xdr:row>
      <xdr:rowOff>38100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9805988" y="1233488"/>
              <a:ext cx="821871"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𝜓</m:t>
                        </m:r>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xmlns:a14="http://schemas.microsoft.com/office/drawing/2010/main" xmlns="" id="{00000000-0008-0000-0100-000003000000}"/>
                </a:ext>
              </a:extLst>
            </xdr:cNvPr>
            <xdr:cNvSpPr txBox="1"/>
          </xdr:nvSpPr>
          <xdr:spPr>
            <a:xfrm>
              <a:off x="9805988" y="1233488"/>
              <a:ext cx="821871"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𝜓_𝑗</a:t>
              </a:r>
              <a:endParaRPr lang="en-US" sz="1100"/>
            </a:p>
          </xdr:txBody>
        </xdr:sp>
      </mc:Fallback>
    </mc:AlternateContent>
    <xdr:clientData/>
  </xdr:twoCellAnchor>
  <xdr:twoCellAnchor>
    <xdr:from>
      <xdr:col>17</xdr:col>
      <xdr:colOff>1</xdr:colOff>
      <xdr:row>11</xdr:row>
      <xdr:rowOff>0</xdr:rowOff>
    </xdr:from>
    <xdr:to>
      <xdr:col>17</xdr:col>
      <xdr:colOff>558801</xdr:colOff>
      <xdr:row>13</xdr:row>
      <xdr:rowOff>50800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805989" y="1924050"/>
              <a:ext cx="558800" cy="23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xmlns:a14="http://schemas.microsoft.com/office/drawing/2010/main" xmlns="" id="{00000000-0008-0000-0100-000004000000}"/>
                </a:ext>
              </a:extLst>
            </xdr:cNvPr>
            <xdr:cNvSpPr txBox="1"/>
          </xdr:nvSpPr>
          <xdr:spPr>
            <a:xfrm>
              <a:off x="9805989" y="1924050"/>
              <a:ext cx="558800" cy="23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𝑦 ̅_𝑗</a:t>
              </a:r>
              <a:endParaRPr lang="en-US" sz="1100"/>
            </a:p>
          </xdr:txBody>
        </xdr:sp>
      </mc:Fallback>
    </mc:AlternateContent>
    <xdr:clientData/>
  </xdr:twoCellAnchor>
  <xdr:twoCellAnchor>
    <xdr:from>
      <xdr:col>10</xdr:col>
      <xdr:colOff>415635</xdr:colOff>
      <xdr:row>4</xdr:row>
      <xdr:rowOff>73025</xdr:rowOff>
    </xdr:from>
    <xdr:to>
      <xdr:col>12</xdr:col>
      <xdr:colOff>11543</xdr:colOff>
      <xdr:row>4</xdr:row>
      <xdr:rowOff>357909</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772726" y="1031298"/>
              <a:ext cx="681181" cy="284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r>
                          <a:rPr lang="en-US" sz="1100" b="0" i="1">
                            <a:latin typeface="Cambria Math" panose="02040503050406030204" pitchFamily="18" charset="0"/>
                          </a:rPr>
                          <m:t> |</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𝑋</m:t>
                                </m:r>
                              </m:e>
                            </m:acc>
                          </m:e>
                          <m:sub>
                            <m:r>
                              <a:rPr lang="en-US" sz="1100" b="0" i="1">
                                <a:latin typeface="Cambria Math" panose="02040503050406030204" pitchFamily="18" charset="0"/>
                              </a:rPr>
                              <m:t>𝑗</m:t>
                            </m:r>
                          </m:sub>
                        </m:sSub>
                        <m:acc>
                          <m:accPr>
                            <m:chr m:val="̂"/>
                            <m:ctrlPr>
                              <a:rPr lang="en-US" sz="1100" b="0" i="1">
                                <a:latin typeface="Cambria Math" panose="02040503050406030204" pitchFamily="18" charset="0"/>
                              </a:rPr>
                            </m:ctrlPr>
                          </m:accPr>
                          <m:e>
                            <m:r>
                              <a:rPr lang="en-US" sz="1100" b="0" i="1">
                                <a:latin typeface="Cambria Math" panose="02040503050406030204" pitchFamily="18" charset="0"/>
                              </a:rPr>
                              <m:t>𝜃</m:t>
                            </m:r>
                          </m:e>
                        </m:acc>
                      </m:e>
                    </m:d>
                  </m:oMath>
                </m:oMathPara>
              </a14:m>
              <a:endParaRPr lang="en-US" sz="1100"/>
            </a:p>
          </xdr:txBody>
        </xdr:sp>
      </mc:Choice>
      <mc:Fallback xmlns="">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772726" y="1031298"/>
              <a:ext cx="681181" cy="284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𝐸[𝛼 ̅_𝑗  |𝑋 ̅_𝑗 𝜃 ̂ ]</a:t>
              </a:r>
              <a:endParaRPr lang="en-US" sz="1100"/>
            </a:p>
          </xdr:txBody>
        </xdr:sp>
      </mc:Fallback>
    </mc:AlternateContent>
    <xdr:clientData/>
  </xdr:twoCellAnchor>
  <xdr:twoCellAnchor>
    <xdr:from>
      <xdr:col>8</xdr:col>
      <xdr:colOff>58737</xdr:colOff>
      <xdr:row>4</xdr:row>
      <xdr:rowOff>88900</xdr:rowOff>
    </xdr:from>
    <xdr:to>
      <xdr:col>8</xdr:col>
      <xdr:colOff>528637</xdr:colOff>
      <xdr:row>4</xdr:row>
      <xdr:rowOff>328612</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4583112" y="884238"/>
              <a:ext cx="469900" cy="239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7" name="TextBox 6">
              <a:extLst>
                <a:ext uri="{FF2B5EF4-FFF2-40B4-BE49-F238E27FC236}">
                  <a16:creationId xmlns="" xmlns:a16="http://schemas.microsoft.com/office/drawing/2014/main" xmlns:a14="http://schemas.microsoft.com/office/drawing/2010/main" id="{00000000-0008-0000-0100-000007000000}"/>
                </a:ext>
              </a:extLst>
            </xdr:cNvPr>
            <xdr:cNvSpPr txBox="1"/>
          </xdr:nvSpPr>
          <xdr:spPr>
            <a:xfrm>
              <a:off x="4583112" y="884238"/>
              <a:ext cx="469900" cy="239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endParaRPr lang="en-US" sz="1100"/>
            </a:p>
          </xdr:txBody>
        </xdr:sp>
      </mc:Fallback>
    </mc:AlternateContent>
    <xdr:clientData/>
  </xdr:twoCellAnchor>
  <xdr:twoCellAnchor>
    <xdr:from>
      <xdr:col>9</xdr:col>
      <xdr:colOff>82550</xdr:colOff>
      <xdr:row>4</xdr:row>
      <xdr:rowOff>84138</xdr:rowOff>
    </xdr:from>
    <xdr:to>
      <xdr:col>9</xdr:col>
      <xdr:colOff>495300</xdr:colOff>
      <xdr:row>4</xdr:row>
      <xdr:rowOff>309563</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5159375" y="879476"/>
              <a:ext cx="412750" cy="225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8" name="TextBox 7">
              <a:extLst>
                <a:ext uri="{FF2B5EF4-FFF2-40B4-BE49-F238E27FC236}">
                  <a16:creationId xmlns="" xmlns:a16="http://schemas.microsoft.com/office/drawing/2014/main" xmlns:a14="http://schemas.microsoft.com/office/drawing/2010/main" id="{00000000-0008-0000-0100-000008000000}"/>
                </a:ext>
              </a:extLst>
            </xdr:cNvPr>
            <xdr:cNvSpPr txBox="1"/>
          </xdr:nvSpPr>
          <xdr:spPr>
            <a:xfrm>
              <a:off x="5159375" y="879476"/>
              <a:ext cx="412750" cy="225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endParaRPr lang="en-US" sz="1100"/>
            </a:p>
          </xdr:txBody>
        </xdr:sp>
      </mc:Fallback>
    </mc:AlternateContent>
    <xdr:clientData/>
  </xdr:twoCellAnchor>
  <xdr:twoCellAnchor>
    <xdr:from>
      <xdr:col>10</xdr:col>
      <xdr:colOff>73025</xdr:colOff>
      <xdr:row>4</xdr:row>
      <xdr:rowOff>84138</xdr:rowOff>
    </xdr:from>
    <xdr:to>
      <xdr:col>10</xdr:col>
      <xdr:colOff>538163</xdr:colOff>
      <xdr:row>4</xdr:row>
      <xdr:rowOff>333375</xdr:rowOff>
    </xdr:to>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5702300" y="879476"/>
              <a:ext cx="465138" cy="249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9" name="TextBox 8">
              <a:extLst>
                <a:ext uri="{FF2B5EF4-FFF2-40B4-BE49-F238E27FC236}">
                  <a16:creationId xmlns="" xmlns:a16="http://schemas.microsoft.com/office/drawing/2014/main" xmlns:a14="http://schemas.microsoft.com/office/drawing/2010/main" id="{00000000-0008-0000-0100-000009000000}"/>
                </a:ext>
              </a:extLst>
            </xdr:cNvPr>
            <xdr:cNvSpPr txBox="1"/>
          </xdr:nvSpPr>
          <xdr:spPr>
            <a:xfrm>
              <a:off x="5702300" y="879476"/>
              <a:ext cx="465138" cy="249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endParaRPr lang="en-US" sz="1100"/>
            </a:p>
          </xdr:txBody>
        </xdr:sp>
      </mc:Fallback>
    </mc:AlternateContent>
    <xdr:clientData/>
  </xdr:twoCellAnchor>
  <xdr:twoCellAnchor>
    <xdr:from>
      <xdr:col>17</xdr:col>
      <xdr:colOff>0</xdr:colOff>
      <xdr:row>15</xdr:row>
      <xdr:rowOff>0</xdr:rowOff>
    </xdr:from>
    <xdr:to>
      <xdr:col>18</xdr:col>
      <xdr:colOff>114300</xdr:colOff>
      <xdr:row>18</xdr:row>
      <xdr:rowOff>63500</xdr:rowOff>
    </xdr:to>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9805988" y="2466975"/>
              <a:ext cx="876300" cy="244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r>
                          <a:rPr lang="en-US" sz="1100" b="0" i="1">
                            <a:latin typeface="Cambria Math" panose="02040503050406030204" pitchFamily="18" charset="0"/>
                          </a:rPr>
                          <m:t> | </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𝑒𝑑𝑢𝑐</m:t>
                                </m:r>
                              </m:e>
                            </m:acc>
                          </m:e>
                          <m:sub>
                            <m:r>
                              <a:rPr lang="en-US" sz="1100" b="0" i="1">
                                <a:latin typeface="Cambria Math" panose="02040503050406030204" pitchFamily="18" charset="0"/>
                              </a:rPr>
                              <m:t>𝑗</m:t>
                            </m:r>
                          </m:sub>
                        </m:sSub>
                      </m:e>
                    </m:d>
                  </m:oMath>
                </m:oMathPara>
              </a14:m>
              <a:endParaRPr lang="en-US" sz="1100"/>
            </a:p>
          </xdr:txBody>
        </xdr:sp>
      </mc:Choice>
      <mc:Fallback xmlns="">
        <xdr:sp macro="" textlink="">
          <xdr:nvSpPr>
            <xdr:cNvPr id="10" name="TextBox 9">
              <a:extLst>
                <a:ext uri="{FF2B5EF4-FFF2-40B4-BE49-F238E27FC236}">
                  <a16:creationId xmlns:a16="http://schemas.microsoft.com/office/drawing/2014/main" xmlns:a14="http://schemas.microsoft.com/office/drawing/2010/main" xmlns="" id="{00000000-0008-0000-0100-00000A000000}"/>
                </a:ext>
              </a:extLst>
            </xdr:cNvPr>
            <xdr:cNvSpPr txBox="1"/>
          </xdr:nvSpPr>
          <xdr:spPr>
            <a:xfrm>
              <a:off x="9805988" y="2466975"/>
              <a:ext cx="876300" cy="244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𝐸[𝛼 ̅_𝑗  | (𝑒𝑑𝑢𝑐) ̅_𝑗 ]</a:t>
              </a:r>
              <a:endParaRPr lang="en-US" sz="1100"/>
            </a:p>
          </xdr:txBody>
        </xdr:sp>
      </mc:Fallback>
    </mc:AlternateContent>
    <xdr:clientData/>
  </xdr:twoCellAnchor>
  <xdr:twoCellAnchor>
    <xdr:from>
      <xdr:col>17</xdr:col>
      <xdr:colOff>0</xdr:colOff>
      <xdr:row>19</xdr:row>
      <xdr:rowOff>0</xdr:rowOff>
    </xdr:from>
    <xdr:to>
      <xdr:col>18</xdr:col>
      <xdr:colOff>444500</xdr:colOff>
      <xdr:row>20</xdr:row>
      <xdr:rowOff>88900</xdr:rowOff>
    </xdr:to>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9805988" y="2828925"/>
              <a:ext cx="1206500" cy="26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r>
                          <a:rPr lang="en-US" sz="1100" b="0" i="1">
                            <a:latin typeface="Cambria Math" panose="02040503050406030204" pitchFamily="18" charset="0"/>
                          </a:rPr>
                          <m:t> | </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𝑒𝑑𝑢𝑐</m:t>
                                </m:r>
                              </m:e>
                            </m:acc>
                          </m:e>
                          <m:sub>
                            <m:r>
                              <a:rPr lang="en-US" sz="1100" b="0" i="1">
                                <a:latin typeface="Cambria Math" panose="02040503050406030204" pitchFamily="18" charset="0"/>
                              </a:rPr>
                              <m:t>𝑗</m:t>
                            </m:r>
                          </m:sub>
                        </m:sSub>
                      </m:e>
                    </m:d>
                  </m:oMath>
                </m:oMathPara>
              </a14:m>
              <a:endParaRPr lang="en-US" sz="1100"/>
            </a:p>
          </xdr:txBody>
        </xdr:sp>
      </mc:Choice>
      <mc:Fallback xmlns="">
        <xdr:sp macro="" textlink="">
          <xdr:nvSpPr>
            <xdr:cNvPr id="11" name="TextBox 10">
              <a:extLst>
                <a:ext uri="{FF2B5EF4-FFF2-40B4-BE49-F238E27FC236}">
                  <a16:creationId xmlns:a16="http://schemas.microsoft.com/office/drawing/2014/main" xmlns:a14="http://schemas.microsoft.com/office/drawing/2010/main" xmlns="" id="{00000000-0008-0000-0100-00000B000000}"/>
                </a:ext>
              </a:extLst>
            </xdr:cNvPr>
            <xdr:cNvSpPr txBox="1"/>
          </xdr:nvSpPr>
          <xdr:spPr>
            <a:xfrm>
              <a:off x="9805988" y="2828925"/>
              <a:ext cx="1206500" cy="26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̅_𝑗−𝐸[𝛼 ̅_𝑗  | (𝑒𝑑𝑢𝑐) ̅_𝑗 ]</a:t>
              </a:r>
              <a:endParaRPr lang="en-US" sz="1100"/>
            </a:p>
          </xdr:txBody>
        </xdr:sp>
      </mc:Fallback>
    </mc:AlternateContent>
    <xdr:clientData/>
  </xdr:twoCellAnchor>
  <xdr:twoCellAnchor>
    <xdr:from>
      <xdr:col>4</xdr:col>
      <xdr:colOff>4762</xdr:colOff>
      <xdr:row>4</xdr:row>
      <xdr:rowOff>26987</xdr:rowOff>
    </xdr:from>
    <xdr:to>
      <xdr:col>4</xdr:col>
      <xdr:colOff>700087</xdr:colOff>
      <xdr:row>4</xdr:row>
      <xdr:rowOff>328612</xdr:rowOff>
    </xdr:to>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181225" y="822325"/>
              <a:ext cx="6953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12" name="TextBox 11">
              <a:extLst>
                <a:ext uri="{FF2B5EF4-FFF2-40B4-BE49-F238E27FC236}">
                  <a16:creationId xmlns="" xmlns:a16="http://schemas.microsoft.com/office/drawing/2014/main" xmlns:a14="http://schemas.microsoft.com/office/drawing/2010/main" id="{00000000-0008-0000-0100-00000C000000}"/>
                </a:ext>
              </a:extLst>
            </xdr:cNvPr>
            <xdr:cNvSpPr txBox="1"/>
          </xdr:nvSpPr>
          <xdr:spPr>
            <a:xfrm>
              <a:off x="2181225" y="822325"/>
              <a:ext cx="695325"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endParaRPr lang="en-US" sz="1100"/>
            </a:p>
          </xdr:txBody>
        </xdr:sp>
      </mc:Fallback>
    </mc:AlternateContent>
    <xdr:clientData/>
  </xdr:twoCellAnchor>
  <xdr:twoCellAnchor>
    <xdr:from>
      <xdr:col>6</xdr:col>
      <xdr:colOff>138113</xdr:colOff>
      <xdr:row>4</xdr:row>
      <xdr:rowOff>69850</xdr:rowOff>
    </xdr:from>
    <xdr:to>
      <xdr:col>6</xdr:col>
      <xdr:colOff>638175</xdr:colOff>
      <xdr:row>4</xdr:row>
      <xdr:rowOff>342900</xdr:rowOff>
    </xdr:to>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3762376" y="865188"/>
              <a:ext cx="500062"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13" name="TextBox 12">
              <a:extLst>
                <a:ext uri="{FF2B5EF4-FFF2-40B4-BE49-F238E27FC236}">
                  <a16:creationId xmlns="" xmlns:a16="http://schemas.microsoft.com/office/drawing/2014/main" xmlns:a14="http://schemas.microsoft.com/office/drawing/2010/main" id="{00000000-0008-0000-0100-00000D000000}"/>
                </a:ext>
              </a:extLst>
            </xdr:cNvPr>
            <xdr:cNvSpPr txBox="1"/>
          </xdr:nvSpPr>
          <xdr:spPr>
            <a:xfrm>
              <a:off x="3762376" y="865188"/>
              <a:ext cx="500062"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𝛼 ̅_𝑗</a:t>
              </a:r>
              <a:endParaRPr lang="en-US" sz="1100"/>
            </a:p>
          </xdr:txBody>
        </xdr:sp>
      </mc:Fallback>
    </mc:AlternateContent>
    <xdr:clientData/>
  </xdr:twoCellAnchor>
  <xdr:twoCellAnchor>
    <xdr:from>
      <xdr:col>5</xdr:col>
      <xdr:colOff>14288</xdr:colOff>
      <xdr:row>4</xdr:row>
      <xdr:rowOff>55563</xdr:rowOff>
    </xdr:from>
    <xdr:to>
      <xdr:col>5</xdr:col>
      <xdr:colOff>671512</xdr:colOff>
      <xdr:row>4</xdr:row>
      <xdr:rowOff>338138</xdr:rowOff>
    </xdr:to>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2914651" y="850901"/>
              <a:ext cx="657224" cy="282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𝜓</m:t>
                        </m:r>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14" name="TextBox 13">
              <a:extLst>
                <a:ext uri="{FF2B5EF4-FFF2-40B4-BE49-F238E27FC236}">
                  <a16:creationId xmlns="" xmlns:a16="http://schemas.microsoft.com/office/drawing/2014/main" xmlns:a14="http://schemas.microsoft.com/office/drawing/2010/main" id="{00000000-0008-0000-0100-00000E000000}"/>
                </a:ext>
              </a:extLst>
            </xdr:cNvPr>
            <xdr:cNvSpPr txBox="1"/>
          </xdr:nvSpPr>
          <xdr:spPr>
            <a:xfrm>
              <a:off x="2914651" y="850901"/>
              <a:ext cx="657224" cy="282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𝜓_𝑗</a:t>
              </a:r>
              <a:endParaRPr lang="en-US" sz="1100"/>
            </a:p>
          </xdr:txBody>
        </xdr:sp>
      </mc:Fallback>
    </mc:AlternateContent>
    <xdr:clientData/>
  </xdr:twoCellAnchor>
  <xdr:twoCellAnchor>
    <xdr:from>
      <xdr:col>13</xdr:col>
      <xdr:colOff>118924</xdr:colOff>
      <xdr:row>7</xdr:row>
      <xdr:rowOff>192807</xdr:rowOff>
    </xdr:from>
    <xdr:to>
      <xdr:col>14</xdr:col>
      <xdr:colOff>747140</xdr:colOff>
      <xdr:row>10</xdr:row>
      <xdr:rowOff>115455</xdr:rowOff>
    </xdr:to>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385469" y="1601352"/>
              <a:ext cx="1436398" cy="580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t>Mean Earnings </a:t>
              </a:r>
              <a:r>
                <a:rPr lang="en-US" sz="1100" b="0" i="0" baseline="0"/>
                <a:t> in Industry (</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m:rPr>
                              <m:sty m:val="p"/>
                            </m:rPr>
                            <a:rPr lang="en-US" sz="1100" b="0" i="0">
                              <a:latin typeface="Cambria Math" panose="02040503050406030204" pitchFamily="18" charset="0"/>
                            </a:rPr>
                            <m:t>y</m:t>
                          </m:r>
                        </m:e>
                      </m:acc>
                    </m:e>
                    <m:sub>
                      <m:r>
                        <m:rPr>
                          <m:sty m:val="p"/>
                        </m:rPr>
                        <a:rPr lang="en-US" sz="1100" b="0" i="0">
                          <a:latin typeface="Cambria Math" panose="02040503050406030204" pitchFamily="18" charset="0"/>
                        </a:rPr>
                        <m:t>j</m:t>
                      </m:r>
                    </m:sub>
                  </m:sSub>
                </m:oMath>
              </a14:m>
              <a:r>
                <a:rPr lang="en-US" sz="1100" i="0"/>
                <a:t>)</a:t>
              </a:r>
            </a:p>
            <a:p>
              <a:r>
                <a:rPr lang="en-US" sz="1100" i="0"/>
                <a:t>   </a:t>
              </a:r>
            </a:p>
          </xdr:txBody>
        </xdr:sp>
      </mc:Choice>
      <mc:Fallback xmlns="">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385469" y="1601352"/>
              <a:ext cx="1436398" cy="580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t>Mean Earnings </a:t>
              </a:r>
              <a:r>
                <a:rPr lang="en-US" sz="1100" b="0" i="0" baseline="0"/>
                <a:t> in Industry (</a:t>
              </a:r>
              <a:r>
                <a:rPr lang="en-US" sz="1100" b="0" i="0">
                  <a:latin typeface="Cambria Math" panose="02040503050406030204" pitchFamily="18" charset="0"/>
                </a:rPr>
                <a:t>y ̅_j</a:t>
              </a:r>
              <a:r>
                <a:rPr lang="en-US" sz="1100" i="0"/>
                <a:t>)</a:t>
              </a:r>
            </a:p>
            <a:p>
              <a:r>
                <a:rPr lang="en-US" sz="1100" i="0"/>
                <a:t>   </a:t>
              </a:r>
            </a:p>
          </xdr:txBody>
        </xdr:sp>
      </mc:Fallback>
    </mc:AlternateContent>
    <xdr:clientData/>
  </xdr:twoCellAnchor>
  <xdr:twoCellAnchor>
    <xdr:from>
      <xdr:col>13</xdr:col>
      <xdr:colOff>114449</xdr:colOff>
      <xdr:row>10</xdr:row>
      <xdr:rowOff>193675</xdr:rowOff>
    </xdr:from>
    <xdr:to>
      <xdr:col>14</xdr:col>
      <xdr:colOff>503242</xdr:colOff>
      <xdr:row>13</xdr:row>
      <xdr:rowOff>4906</xdr:rowOff>
    </xdr:to>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8380994" y="2260311"/>
              <a:ext cx="1196975" cy="4808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t>Industry Premium (</a:t>
              </a:r>
              <a14:m>
                <m:oMath xmlns:m="http://schemas.openxmlformats.org/officeDocument/2006/math">
                  <m:sSub>
                    <m:sSubPr>
                      <m:ctrlPr>
                        <a:rPr lang="en-US" sz="1100" b="0" i="1">
                          <a:latin typeface="Cambria Math" panose="02040503050406030204" pitchFamily="18" charset="0"/>
                        </a:rPr>
                      </m:ctrlPr>
                    </m:sSubPr>
                    <m:e>
                      <m:r>
                        <m:rPr>
                          <m:sty m:val="p"/>
                        </m:rPr>
                        <a:rPr lang="en-US" sz="1100" b="0" i="0">
                          <a:latin typeface="Cambria Math" panose="02040503050406030204" pitchFamily="18" charset="0"/>
                        </a:rPr>
                        <m:t>ψ</m:t>
                      </m:r>
                    </m:e>
                    <m:sub>
                      <m:r>
                        <m:rPr>
                          <m:sty m:val="p"/>
                        </m:rPr>
                        <a:rPr lang="en-US" sz="1100" b="0" i="0">
                          <a:latin typeface="Cambria Math" panose="02040503050406030204" pitchFamily="18" charset="0"/>
                        </a:rPr>
                        <m:t>j</m:t>
                      </m:r>
                    </m:sub>
                  </m:sSub>
                </m:oMath>
              </a14:m>
              <a:r>
                <a:rPr lang="en-US" sz="1100" i="0"/>
                <a:t>)</a:t>
              </a:r>
            </a:p>
          </xdr:txBody>
        </xdr:sp>
      </mc:Choice>
      <mc:Fallback xmlns="">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8380994" y="2260311"/>
              <a:ext cx="1196975" cy="4808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t>Industry Premium (</a:t>
              </a:r>
              <a:r>
                <a:rPr lang="en-US" sz="1100" b="0" i="0">
                  <a:latin typeface="Cambria Math" panose="02040503050406030204" pitchFamily="18" charset="0"/>
                </a:rPr>
                <a:t>ψ_j</a:t>
              </a:r>
              <a:r>
                <a:rPr lang="en-US" sz="1100" i="0"/>
                <a:t>)</a:t>
              </a:r>
            </a:p>
          </xdr:txBody>
        </xdr:sp>
      </mc:Fallback>
    </mc:AlternateContent>
    <xdr:clientData/>
  </xdr:twoCellAnchor>
  <xdr:oneCellAnchor>
    <xdr:from>
      <xdr:col>13</xdr:col>
      <xdr:colOff>131479</xdr:colOff>
      <xdr:row>13</xdr:row>
      <xdr:rowOff>247649</xdr:rowOff>
    </xdr:from>
    <xdr:ext cx="1109663" cy="19588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8398024" y="2983922"/>
              <a:ext cx="1109663" cy="195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solidFill>
                          <a:schemeClr val="tx1"/>
                        </a:solidFill>
                        <a:effectLst/>
                        <a:latin typeface="Cambria Math" panose="02040503050406030204" pitchFamily="18" charset="0"/>
                        <a:ea typeface="+mn-ea"/>
                        <a:cs typeface="+mn-cs"/>
                      </a:rPr>
                      <m:t>Skill</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Index</m:t>
                    </m:r>
                    <m:r>
                      <a:rPr lang="en-US" sz="1100" b="0" i="0">
                        <a:solidFill>
                          <a:schemeClr val="tx1"/>
                        </a:solidFill>
                        <a:effectLst/>
                        <a:latin typeface="Cambria Math" panose="02040503050406030204" pitchFamily="18" charset="0"/>
                        <a:ea typeface="+mn-ea"/>
                        <a:cs typeface="+mn-cs"/>
                      </a:rPr>
                      <m:t> </m:t>
                    </m:r>
                    <m:d>
                      <m:dPr>
                        <m:begChr m:val="["/>
                        <m:endChr m:val="]"/>
                        <m:ctrlPr>
                          <a:rPr lang="en-US" sz="1100" b="0" i="1">
                            <a:solidFill>
                              <a:schemeClr val="tx1"/>
                            </a:solidFill>
                            <a:effectLst/>
                            <a:latin typeface="Cambria Math" panose="02040503050406030204" pitchFamily="18" charset="0"/>
                            <a:ea typeface="+mn-ea"/>
                            <a:cs typeface="+mn-cs"/>
                          </a:rPr>
                        </m:ctrlPr>
                      </m:dPr>
                      <m:e>
                        <m:sSub>
                          <m:sSubPr>
                            <m:ctrlPr>
                              <a:rPr lang="en-US" sz="1100" b="0" i="1">
                                <a:solidFill>
                                  <a:schemeClr val="tx1"/>
                                </a:solidFill>
                                <a:effectLst/>
                                <a:latin typeface="Cambria Math" panose="02040503050406030204" pitchFamily="18" charset="0"/>
                                <a:ea typeface="+mn-ea"/>
                                <a:cs typeface="+mn-cs"/>
                              </a:rPr>
                            </m:ctrlPr>
                          </m:sSubPr>
                          <m:e>
                            <m:acc>
                              <m:accPr>
                                <m:chr m:val="̅"/>
                                <m:ctrlPr>
                                  <a:rPr lang="en-US" sz="1100" b="0" i="1">
                                    <a:solidFill>
                                      <a:schemeClr val="tx1"/>
                                    </a:solidFill>
                                    <a:effectLst/>
                                    <a:latin typeface="Cambria Math" panose="02040503050406030204" pitchFamily="18" charset="0"/>
                                    <a:ea typeface="+mn-ea"/>
                                    <a:cs typeface="+mn-cs"/>
                                  </a:rPr>
                                </m:ctrlPr>
                              </m:accPr>
                              <m:e>
                                <m:r>
                                  <m:rPr>
                                    <m:sty m:val="p"/>
                                  </m:rPr>
                                  <a:rPr lang="en-US" sz="1100" b="0" i="0">
                                    <a:solidFill>
                                      <a:schemeClr val="tx1"/>
                                    </a:solidFill>
                                    <a:effectLst/>
                                    <a:latin typeface="Cambria Math" panose="02040503050406030204" pitchFamily="18" charset="0"/>
                                    <a:ea typeface="+mn-ea"/>
                                    <a:cs typeface="+mn-cs"/>
                                  </a:rPr>
                                  <m:t>X</m:t>
                                </m:r>
                              </m:e>
                            </m:acc>
                          </m:e>
                          <m:sub>
                            <m:r>
                              <m:rPr>
                                <m:sty m:val="p"/>
                              </m:rPr>
                              <a:rPr lang="en-US" sz="1100" b="0" i="0">
                                <a:solidFill>
                                  <a:schemeClr val="tx1"/>
                                </a:solidFill>
                                <a:effectLst/>
                                <a:latin typeface="Cambria Math" panose="02040503050406030204" pitchFamily="18" charset="0"/>
                                <a:ea typeface="+mn-ea"/>
                                <a:cs typeface="+mn-cs"/>
                              </a:rPr>
                              <m:t>j</m:t>
                            </m:r>
                          </m:sub>
                        </m:sSub>
                        <m:acc>
                          <m:accPr>
                            <m:chr m:val="̂"/>
                            <m:ctrlPr>
                              <a:rPr lang="en-US" sz="1100" b="0" i="1">
                                <a:solidFill>
                                  <a:schemeClr val="tx1"/>
                                </a:solidFill>
                                <a:effectLst/>
                                <a:latin typeface="Cambria Math" panose="02040503050406030204" pitchFamily="18" charset="0"/>
                                <a:ea typeface="+mn-ea"/>
                                <a:cs typeface="+mn-cs"/>
                              </a:rPr>
                            </m:ctrlPr>
                          </m:accPr>
                          <m:e>
                            <m:r>
                              <m:rPr>
                                <m:sty m:val="p"/>
                              </m:rPr>
                              <a:rPr lang="en-US" sz="1100" b="0" i="0">
                                <a:solidFill>
                                  <a:schemeClr val="tx1"/>
                                </a:solidFill>
                                <a:effectLst/>
                                <a:latin typeface="Cambria Math" panose="02040503050406030204" pitchFamily="18" charset="0"/>
                                <a:ea typeface="+mn-ea"/>
                                <a:cs typeface="+mn-cs"/>
                              </a:rPr>
                              <m:t>θ</m:t>
                            </m:r>
                          </m:e>
                        </m:acc>
                      </m:e>
                    </m:d>
                  </m:oMath>
                </m:oMathPara>
              </a14:m>
              <a:endParaRPr lang="en-US" sz="1100" i="0">
                <a:latin typeface="Calibri" panose="020F0502020204030204" pitchFamily="34" charset="0"/>
                <a:cs typeface="Calibri" panose="020F0502020204030204" pitchFamily="34" charset="0"/>
              </a:endParaRPr>
            </a:p>
          </xdr:txBody>
        </xdr:sp>
      </mc:Choice>
      <mc:Fallback xmlns="">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8398024" y="2983922"/>
              <a:ext cx="1109663" cy="195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chemeClr val="tx1"/>
                  </a:solidFill>
                  <a:effectLst/>
                  <a:latin typeface="Cambria Math" panose="02040503050406030204" pitchFamily="18" charset="0"/>
                  <a:ea typeface="+mn-ea"/>
                  <a:cs typeface="+mn-cs"/>
                </a:rPr>
                <a:t>Skill Index [X ̅_j θ ̂ ]</a:t>
              </a:r>
              <a:endParaRPr lang="en-US" sz="1100" i="0">
                <a:latin typeface="Calibri" panose="020F0502020204030204" pitchFamily="34" charset="0"/>
                <a:cs typeface="Calibri" panose="020F0502020204030204" pitchFamily="34" charset="0"/>
              </a:endParaRPr>
            </a:p>
          </xdr:txBody>
        </xdr:sp>
      </mc:Fallback>
    </mc:AlternateContent>
    <xdr:clientData/>
  </xdr:oneCellAnchor>
  <xdr:twoCellAnchor>
    <xdr:from>
      <xdr:col>2</xdr:col>
      <xdr:colOff>265546</xdr:colOff>
      <xdr:row>7</xdr:row>
      <xdr:rowOff>192806</xdr:rowOff>
    </xdr:from>
    <xdr:to>
      <xdr:col>2</xdr:col>
      <xdr:colOff>669639</xdr:colOff>
      <xdr:row>9</xdr:row>
      <xdr:rowOff>34636</xdr:rowOff>
    </xdr:to>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7EAB5D92-5B48-1C43-AA18-159291201E0C}"/>
                </a:ext>
              </a:extLst>
            </xdr:cNvPr>
            <xdr:cNvSpPr txBox="1"/>
          </xdr:nvSpPr>
          <xdr:spPr>
            <a:xfrm>
              <a:off x="1327728" y="1809170"/>
              <a:ext cx="404093" cy="25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baseline="0"/>
                <a:t>(</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e>
                    <m:sub>
                      <m:r>
                        <a:rPr lang="en-US" sz="1100" b="0" i="1">
                          <a:latin typeface="Cambria Math" panose="02040503050406030204" pitchFamily="18" charset="0"/>
                        </a:rPr>
                        <m:t>𝑗</m:t>
                      </m:r>
                    </m:sub>
                  </m:sSub>
                </m:oMath>
              </a14:m>
              <a:r>
                <a:rPr lang="en-US" sz="1100" i="0"/>
                <a:t>)</a:t>
              </a:r>
            </a:p>
            <a:p>
              <a:r>
                <a:rPr lang="en-US" sz="1100" i="0"/>
                <a:t>   </a:t>
              </a:r>
            </a:p>
          </xdr:txBody>
        </xdr:sp>
      </mc:Choice>
      <mc:Fallback xmlns="">
        <xdr:sp macro="" textlink="">
          <xdr:nvSpPr>
            <xdr:cNvPr id="18" name="TextBox 17">
              <a:extLst>
                <a:ext uri="{FF2B5EF4-FFF2-40B4-BE49-F238E27FC236}">
                  <a16:creationId xmlns:a16="http://schemas.microsoft.com/office/drawing/2014/main" id="{7EAB5D92-5B48-1C43-AA18-159291201E0C}"/>
                </a:ext>
              </a:extLst>
            </xdr:cNvPr>
            <xdr:cNvSpPr txBox="1"/>
          </xdr:nvSpPr>
          <xdr:spPr>
            <a:xfrm>
              <a:off x="1327728" y="1809170"/>
              <a:ext cx="404093" cy="25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baseline="0"/>
                <a:t>(</a:t>
              </a:r>
              <a:r>
                <a:rPr lang="en-US" sz="1100" b="0" i="0">
                  <a:latin typeface="Cambria Math" panose="02040503050406030204" pitchFamily="18" charset="0"/>
                </a:rPr>
                <a:t>𝑦 ̅_𝑗</a:t>
              </a:r>
              <a:r>
                <a:rPr lang="en-US" sz="1100" i="0"/>
                <a:t>)</a:t>
              </a:r>
            </a:p>
            <a:p>
              <a:r>
                <a:rPr lang="en-US" sz="1100" i="0"/>
                <a:t>   </a:t>
              </a:r>
            </a:p>
          </xdr:txBody>
        </xdr:sp>
      </mc:Fallback>
    </mc:AlternateContent>
    <xdr:clientData/>
  </xdr:twoCellAnchor>
  <xdr:twoCellAnchor>
    <xdr:from>
      <xdr:col>0</xdr:col>
      <xdr:colOff>749452</xdr:colOff>
      <xdr:row>10</xdr:row>
      <xdr:rowOff>159037</xdr:rowOff>
    </xdr:from>
    <xdr:to>
      <xdr:col>2</xdr:col>
      <xdr:colOff>150091</xdr:colOff>
      <xdr:row>12</xdr:row>
      <xdr:rowOff>34636</xdr:rowOff>
    </xdr:to>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B9C5F2F8-A3A0-0C4F-AB81-6B973B6A0126}"/>
                </a:ext>
              </a:extLst>
            </xdr:cNvPr>
            <xdr:cNvSpPr txBox="1"/>
          </xdr:nvSpPr>
          <xdr:spPr>
            <a:xfrm>
              <a:off x="749452" y="2537401"/>
              <a:ext cx="462821" cy="29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a:t>(</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𝜓</m:t>
                      </m:r>
                    </m:e>
                    <m:sub>
                      <m:r>
                        <a:rPr lang="en-US" sz="1100" b="0" i="1">
                          <a:latin typeface="Cambria Math" panose="02040503050406030204" pitchFamily="18" charset="0"/>
                        </a:rPr>
                        <m:t>𝑗</m:t>
                      </m:r>
                    </m:sub>
                  </m:sSub>
                </m:oMath>
              </a14:m>
              <a:r>
                <a:rPr lang="en-US" sz="1100" i="0"/>
                <a:t>)</a:t>
              </a:r>
            </a:p>
          </xdr:txBody>
        </xdr:sp>
      </mc:Choice>
      <mc:Fallback xmlns="">
        <xdr:sp macro="" textlink="">
          <xdr:nvSpPr>
            <xdr:cNvPr id="19" name="TextBox 18">
              <a:extLst>
                <a:ext uri="{FF2B5EF4-FFF2-40B4-BE49-F238E27FC236}">
                  <a16:creationId xmlns:a16="http://schemas.microsoft.com/office/drawing/2014/main" id="{B9C5F2F8-A3A0-0C4F-AB81-6B973B6A0126}"/>
                </a:ext>
              </a:extLst>
            </xdr:cNvPr>
            <xdr:cNvSpPr txBox="1"/>
          </xdr:nvSpPr>
          <xdr:spPr>
            <a:xfrm>
              <a:off x="749452" y="2537401"/>
              <a:ext cx="462821" cy="29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a:t>(</a:t>
              </a:r>
              <a:r>
                <a:rPr lang="en-US" sz="1100" b="0" i="0">
                  <a:latin typeface="Cambria Math" panose="02040503050406030204" pitchFamily="18" charset="0"/>
                </a:rPr>
                <a:t>𝜓_𝑗</a:t>
              </a:r>
              <a:r>
                <a:rPr lang="en-US" sz="1100" i="0"/>
                <a:t>)</a:t>
              </a:r>
            </a:p>
          </xdr:txBody>
        </xdr:sp>
      </mc:Fallback>
    </mc:AlternateContent>
    <xdr:clientData/>
  </xdr:twoCellAnchor>
  <xdr:oneCellAnchor>
    <xdr:from>
      <xdr:col>2</xdr:col>
      <xdr:colOff>431660</xdr:colOff>
      <xdr:row>13</xdr:row>
      <xdr:rowOff>16741</xdr:rowOff>
    </xdr:from>
    <xdr:ext cx="422703" cy="19389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11FD07D7-3ECF-384F-B2C1-40E499F6E7B3}"/>
                </a:ext>
              </a:extLst>
            </xdr:cNvPr>
            <xdr:cNvSpPr txBox="1"/>
          </xdr:nvSpPr>
          <xdr:spPr>
            <a:xfrm>
              <a:off x="1493842" y="2880014"/>
              <a:ext cx="422703" cy="193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acc>
                        <m:accPr>
                          <m:chr m:val="̅"/>
                          <m:ctrlPr>
                            <a:rPr lang="en-US" sz="1100" b="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mn-ea"/>
                              <a:cs typeface="+mn-cs"/>
                            </a:rPr>
                            <m:t>𝑋</m:t>
                          </m:r>
                        </m:e>
                      </m:acc>
                    </m:e>
                    <m:sub>
                      <m:r>
                        <a:rPr lang="en-US" sz="1100" b="0" i="1">
                          <a:solidFill>
                            <a:schemeClr val="tx1"/>
                          </a:solidFill>
                          <a:effectLst/>
                          <a:latin typeface="Cambria Math" panose="02040503050406030204" pitchFamily="18" charset="0"/>
                          <a:ea typeface="+mn-ea"/>
                          <a:cs typeface="+mn-cs"/>
                        </a:rPr>
                        <m:t>𝑗</m:t>
                      </m:r>
                    </m:sub>
                  </m:sSub>
                  <m:acc>
                    <m:accPr>
                      <m:chr m:val="̂"/>
                      <m:ctrlPr>
                        <a:rPr lang="en-US" sz="1100" b="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mn-ea"/>
                          <a:cs typeface="+mn-cs"/>
                        </a:rPr>
                        <m:t>𝜃</m:t>
                      </m:r>
                    </m:e>
                  </m:acc>
                </m:oMath>
              </a14:m>
              <a:r>
                <a:rPr lang="en-US" sz="1100" i="0">
                  <a:latin typeface="Calibri" panose="020F0502020204030204" pitchFamily="34" charset="0"/>
                  <a:cs typeface="Calibri" panose="020F0502020204030204" pitchFamily="34" charset="0"/>
                </a:rPr>
                <a:t>)</a:t>
              </a:r>
            </a:p>
          </xdr:txBody>
        </xdr:sp>
      </mc:Choice>
      <mc:Fallback xmlns="">
        <xdr:sp macro="" textlink="">
          <xdr:nvSpPr>
            <xdr:cNvPr id="20" name="TextBox 19">
              <a:extLst>
                <a:ext uri="{FF2B5EF4-FFF2-40B4-BE49-F238E27FC236}">
                  <a16:creationId xmlns:a16="http://schemas.microsoft.com/office/drawing/2014/main" id="{11FD07D7-3ECF-384F-B2C1-40E499F6E7B3}"/>
                </a:ext>
              </a:extLst>
            </xdr:cNvPr>
            <xdr:cNvSpPr txBox="1"/>
          </xdr:nvSpPr>
          <xdr:spPr>
            <a:xfrm>
              <a:off x="1493842" y="2880014"/>
              <a:ext cx="422703" cy="193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chemeClr val="tx1"/>
                  </a:solidFill>
                  <a:effectLst/>
                  <a:latin typeface="Cambria Math" panose="02040503050406030204" pitchFamily="18" charset="0"/>
                  <a:ea typeface="+mn-ea"/>
                  <a:cs typeface="+mn-cs"/>
                </a:rPr>
                <a:t>〖(𝑋 ̅〗_𝑗 𝜃 ̂</a:t>
              </a:r>
              <a:r>
                <a:rPr lang="en-US" sz="1100" i="0">
                  <a:latin typeface="Calibri" panose="020F0502020204030204" pitchFamily="34" charset="0"/>
                  <a:cs typeface="Calibri" panose="020F0502020204030204" pitchFamily="34" charset="0"/>
                </a:rPr>
                <a:t>)</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3</xdr:col>
      <xdr:colOff>1</xdr:colOff>
      <xdr:row>3</xdr:row>
      <xdr:rowOff>25401</xdr:rowOff>
    </xdr:from>
    <xdr:to>
      <xdr:col>4</xdr:col>
      <xdr:colOff>1</xdr:colOff>
      <xdr:row>3</xdr:row>
      <xdr:rowOff>254000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2425701" y="596901"/>
              <a:ext cx="863600"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1</m:t>
                        </m:r>
                      </m:sup>
                    </m:sSubSup>
                  </m:oMath>
                </m:oMathPara>
              </a14:m>
              <a:endParaRPr lang="en-US" sz="1100"/>
            </a:p>
          </xdr:txBody>
        </xdr:sp>
      </mc:Choice>
      <mc:Fallback xmlns="">
        <xdr:sp macro="" textlink="">
          <xdr:nvSpPr>
            <xdr:cNvPr id="2" name="TextBox 1">
              <a:extLst>
                <a:ext uri="{FF2B5EF4-FFF2-40B4-BE49-F238E27FC236}">
                  <a16:creationId xmlns:a16="http://schemas.microsoft.com/office/drawing/2014/main" xmlns="" xmlns:a14="http://schemas.microsoft.com/office/drawing/2010/main" id="{00000000-0008-0000-0400-000002000000}"/>
                </a:ext>
              </a:extLst>
            </xdr:cNvPr>
            <xdr:cNvSpPr txBox="1"/>
          </xdr:nvSpPr>
          <xdr:spPr>
            <a:xfrm>
              <a:off x="2425701" y="596901"/>
              <a:ext cx="863600"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𝑐^1</a:t>
              </a:r>
              <a:endParaRPr lang="en-US" sz="1100"/>
            </a:p>
          </xdr:txBody>
        </xdr:sp>
      </mc:Fallback>
    </mc:AlternateContent>
    <xdr:clientData/>
  </xdr:twoCellAnchor>
  <xdr:twoCellAnchor>
    <xdr:from>
      <xdr:col>5</xdr:col>
      <xdr:colOff>9071</xdr:colOff>
      <xdr:row>3</xdr:row>
      <xdr:rowOff>14514</xdr:rowOff>
    </xdr:from>
    <xdr:to>
      <xdr:col>6</xdr:col>
      <xdr:colOff>4761</xdr:colOff>
      <xdr:row>3</xdr:row>
      <xdr:rowOff>328612</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4419146" y="438377"/>
              <a:ext cx="1010103" cy="314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solidFill>
                              <a:schemeClr val="dk1"/>
                            </a:solidFill>
                            <a:effectLst/>
                            <a:latin typeface="Cambria Math" panose="02040503050406030204" pitchFamily="18" charset="0"/>
                            <a:ea typeface="+mn-ea"/>
                            <a:cs typeface="+mn-cs"/>
                          </a:rPr>
                        </m:ctrlPr>
                      </m:sSubSupPr>
                      <m:e>
                        <m:r>
                          <a:rPr lang="en-US" sz="1100" i="1">
                            <a:solidFill>
                              <a:schemeClr val="dk1"/>
                            </a:solidFill>
                            <a:effectLst/>
                            <a:latin typeface="Cambria Math" panose="02040503050406030204" pitchFamily="18" charset="0"/>
                            <a:ea typeface="+mn-ea"/>
                            <a:cs typeface="+mn-cs"/>
                          </a:rPr>
                          <m:t>𝛽</m:t>
                        </m:r>
                      </m:e>
                      <m:sub>
                        <m:r>
                          <a:rPr lang="en-US" sz="1100" b="0" i="1">
                            <a:solidFill>
                              <a:schemeClr val="dk1"/>
                            </a:solidFill>
                            <a:effectLst/>
                            <a:latin typeface="Cambria Math" panose="02040503050406030204" pitchFamily="18" charset="0"/>
                            <a:ea typeface="+mn-ea"/>
                            <a:cs typeface="+mn-cs"/>
                          </a:rPr>
                          <m:t>𝑐</m:t>
                        </m:r>
                      </m:sub>
                      <m:sup>
                        <m:r>
                          <a:rPr lang="en-US" sz="1100" b="0" i="1">
                            <a:solidFill>
                              <a:schemeClr val="dk1"/>
                            </a:solidFill>
                            <a:effectLst/>
                            <a:latin typeface="Cambria Math" panose="02040503050406030204" pitchFamily="18" charset="0"/>
                            <a:ea typeface="+mn-ea"/>
                            <a:cs typeface="+mn-cs"/>
                          </a:rPr>
                          <m:t>3</m:t>
                        </m:r>
                      </m:sup>
                    </m:sSubSup>
                  </m:oMath>
                </m:oMathPara>
              </a14:m>
              <a:endParaRPr lang="en-US" sz="1100"/>
            </a:p>
          </xdr:txBody>
        </xdr:sp>
      </mc:Choice>
      <mc:Fallback xmlns="">
        <xdr:sp macro="" textlink="">
          <xdr:nvSpPr>
            <xdr:cNvPr id="3" name="TextBox 2">
              <a:extLst>
                <a:ext uri="{FF2B5EF4-FFF2-40B4-BE49-F238E27FC236}">
                  <a16:creationId xmlns:a16="http://schemas.microsoft.com/office/drawing/2014/main" xmlns="" xmlns:a14="http://schemas.microsoft.com/office/drawing/2010/main" id="{00000000-0008-0000-0400-000003000000}"/>
                </a:ext>
              </a:extLst>
            </xdr:cNvPr>
            <xdr:cNvSpPr txBox="1"/>
          </xdr:nvSpPr>
          <xdr:spPr>
            <a:xfrm>
              <a:off x="4419146" y="438377"/>
              <a:ext cx="1010103" cy="314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solidFill>
                    <a:schemeClr val="dk1"/>
                  </a:solidFill>
                  <a:effectLst/>
                  <a:latin typeface="+mn-lt"/>
                  <a:ea typeface="+mn-ea"/>
                  <a:cs typeface="+mn-cs"/>
                </a:rPr>
                <a:t>𝛽_</a:t>
              </a:r>
              <a:r>
                <a:rPr lang="en-US" sz="1100" b="0" i="0">
                  <a:solidFill>
                    <a:schemeClr val="dk1"/>
                  </a:solidFill>
                  <a:effectLst/>
                  <a:latin typeface="+mn-lt"/>
                  <a:ea typeface="+mn-ea"/>
                  <a:cs typeface="+mn-cs"/>
                </a:rPr>
                <a:t>𝑐^</a:t>
              </a:r>
              <a:r>
                <a:rPr lang="en-US" sz="1100" b="0" i="0">
                  <a:solidFill>
                    <a:schemeClr val="dk1"/>
                  </a:solidFill>
                  <a:effectLst/>
                  <a:latin typeface="Cambria Math" panose="02040503050406030204" pitchFamily="18" charset="0"/>
                  <a:ea typeface="+mn-ea"/>
                  <a:cs typeface="+mn-cs"/>
                </a:rPr>
                <a:t>3</a:t>
              </a:r>
              <a:endParaRPr lang="en-US" sz="1100"/>
            </a:p>
          </xdr:txBody>
        </xdr:sp>
      </mc:Fallback>
    </mc:AlternateContent>
    <xdr:clientData/>
  </xdr:twoCellAnchor>
  <xdr:twoCellAnchor>
    <xdr:from>
      <xdr:col>4</xdr:col>
      <xdr:colOff>12700</xdr:colOff>
      <xdr:row>3</xdr:row>
      <xdr:rowOff>14513</xdr:rowOff>
    </xdr:from>
    <xdr:to>
      <xdr:col>4</xdr:col>
      <xdr:colOff>1276350</xdr:colOff>
      <xdr:row>3</xdr:row>
      <xdr:rowOff>328612</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3703638" y="457426"/>
              <a:ext cx="1263650" cy="3140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solidFill>
                              <a:schemeClr val="dk1"/>
                            </a:solidFill>
                            <a:effectLst/>
                            <a:latin typeface="Cambria Math" panose="02040503050406030204" pitchFamily="18" charset="0"/>
                            <a:ea typeface="+mn-ea"/>
                            <a:cs typeface="+mn-cs"/>
                          </a:rPr>
                        </m:ctrlPr>
                      </m:sSubSupPr>
                      <m:e>
                        <m:r>
                          <a:rPr lang="en-US" sz="1100" i="1">
                            <a:solidFill>
                              <a:schemeClr val="dk1"/>
                            </a:solidFill>
                            <a:effectLst/>
                            <a:latin typeface="Cambria Math" panose="02040503050406030204" pitchFamily="18" charset="0"/>
                            <a:ea typeface="+mn-ea"/>
                            <a:cs typeface="+mn-cs"/>
                          </a:rPr>
                          <m:t>𝛽</m:t>
                        </m:r>
                      </m:e>
                      <m:sub>
                        <m:r>
                          <a:rPr lang="en-US" sz="1100" b="0" i="1">
                            <a:solidFill>
                              <a:schemeClr val="dk1"/>
                            </a:solidFill>
                            <a:effectLst/>
                            <a:latin typeface="Cambria Math" panose="02040503050406030204" pitchFamily="18" charset="0"/>
                            <a:ea typeface="+mn-ea"/>
                            <a:cs typeface="+mn-cs"/>
                          </a:rPr>
                          <m:t>𝑐</m:t>
                        </m:r>
                      </m:sub>
                      <m:sup>
                        <m:r>
                          <a:rPr lang="en-US" sz="1100" b="0" i="1">
                            <a:solidFill>
                              <a:schemeClr val="dk1"/>
                            </a:solidFill>
                            <a:effectLst/>
                            <a:latin typeface="Cambria Math" panose="02040503050406030204" pitchFamily="18" charset="0"/>
                            <a:ea typeface="+mn-ea"/>
                            <a:cs typeface="+mn-cs"/>
                          </a:rPr>
                          <m:t>2</m:t>
                        </m:r>
                      </m:sup>
                    </m:sSubSup>
                  </m:oMath>
                </m:oMathPara>
              </a14:m>
              <a:endParaRPr lang="en-US" sz="1100"/>
            </a:p>
          </xdr:txBody>
        </xdr:sp>
      </mc:Choice>
      <mc:Fallback xmlns="">
        <xdr:sp macro="" textlink="">
          <xdr:nvSpPr>
            <xdr:cNvPr id="5" name="TextBox 4">
              <a:extLst>
                <a:ext uri="{FF2B5EF4-FFF2-40B4-BE49-F238E27FC236}">
                  <a16:creationId xmlns:a16="http://schemas.microsoft.com/office/drawing/2014/main" xmlns="" xmlns:a14="http://schemas.microsoft.com/office/drawing/2010/main" id="{00000000-0008-0000-0400-000005000000}"/>
                </a:ext>
              </a:extLst>
            </xdr:cNvPr>
            <xdr:cNvSpPr txBox="1"/>
          </xdr:nvSpPr>
          <xdr:spPr>
            <a:xfrm>
              <a:off x="3703638" y="457426"/>
              <a:ext cx="1263650" cy="3140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solidFill>
                    <a:schemeClr val="dk1"/>
                  </a:solidFill>
                  <a:effectLst/>
                  <a:latin typeface="+mn-lt"/>
                  <a:ea typeface="+mn-ea"/>
                  <a:cs typeface="+mn-cs"/>
                </a:rPr>
                <a:t>𝛽_</a:t>
              </a:r>
              <a:r>
                <a:rPr lang="en-US" sz="1100" b="0" i="0">
                  <a:solidFill>
                    <a:schemeClr val="dk1"/>
                  </a:solidFill>
                  <a:effectLst/>
                  <a:latin typeface="+mn-lt"/>
                  <a:ea typeface="+mn-ea"/>
                  <a:cs typeface="+mn-cs"/>
                </a:rPr>
                <a:t>𝑐^</a:t>
              </a:r>
              <a:r>
                <a:rPr lang="en-US" sz="1100" b="0" i="0">
                  <a:solidFill>
                    <a:schemeClr val="dk1"/>
                  </a:solidFill>
                  <a:effectLst/>
                  <a:latin typeface="Cambria Math" panose="02040503050406030204" pitchFamily="18" charset="0"/>
                  <a:ea typeface="+mn-ea"/>
                  <a:cs typeface="+mn-cs"/>
                </a:rPr>
                <a:t>2</a:t>
              </a:r>
              <a:endParaRPr lang="en-US" sz="1100"/>
            </a:p>
          </xdr:txBody>
        </xdr:sp>
      </mc:Fallback>
    </mc:AlternateContent>
    <xdr:clientData/>
  </xdr:twoCellAnchor>
  <xdr:twoCellAnchor>
    <xdr:from>
      <xdr:col>2</xdr:col>
      <xdr:colOff>317501</xdr:colOff>
      <xdr:row>10</xdr:row>
      <xdr:rowOff>25401</xdr:rowOff>
    </xdr:from>
    <xdr:to>
      <xdr:col>2</xdr:col>
      <xdr:colOff>571500</xdr:colOff>
      <xdr:row>11</xdr:row>
      <xdr:rowOff>25400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4FEB3F9-43C2-6247-97A2-3965DEB0E769}"/>
                </a:ext>
              </a:extLst>
            </xdr:cNvPr>
            <xdr:cNvSpPr txBox="1"/>
          </xdr:nvSpPr>
          <xdr:spPr>
            <a:xfrm>
              <a:off x="1511301" y="2247901"/>
              <a:ext cx="253999" cy="33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1</m:t>
                        </m:r>
                      </m:sup>
                    </m:sSubSup>
                  </m:oMath>
                </m:oMathPara>
              </a14:m>
              <a:endParaRPr lang="en-US" sz="1100"/>
            </a:p>
          </xdr:txBody>
        </xdr:sp>
      </mc:Choice>
      <mc:Fallback xmlns="">
        <xdr:sp macro="" textlink="">
          <xdr:nvSpPr>
            <xdr:cNvPr id="4" name="TextBox 3">
              <a:extLst>
                <a:ext uri="{FF2B5EF4-FFF2-40B4-BE49-F238E27FC236}">
                  <a16:creationId xmlns:a16="http://schemas.microsoft.com/office/drawing/2014/main" id="{E4FEB3F9-43C2-6247-97A2-3965DEB0E769}"/>
                </a:ext>
              </a:extLst>
            </xdr:cNvPr>
            <xdr:cNvSpPr txBox="1"/>
          </xdr:nvSpPr>
          <xdr:spPr>
            <a:xfrm>
              <a:off x="1511301" y="2247901"/>
              <a:ext cx="253999" cy="33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𝑐^1</a:t>
              </a:r>
              <a:endParaRPr lang="en-US" sz="1100"/>
            </a:p>
          </xdr:txBody>
        </xdr:sp>
      </mc:Fallback>
    </mc:AlternateContent>
    <xdr:clientData/>
  </xdr:twoCellAnchor>
  <xdr:twoCellAnchor>
    <xdr:from>
      <xdr:col>2</xdr:col>
      <xdr:colOff>330200</xdr:colOff>
      <xdr:row>14</xdr:row>
      <xdr:rowOff>12700</xdr:rowOff>
    </xdr:from>
    <xdr:to>
      <xdr:col>2</xdr:col>
      <xdr:colOff>584199</xdr:colOff>
      <xdr:row>15</xdr:row>
      <xdr:rowOff>38099</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E05E6E5-EE98-4747-AACA-CDCC4F2EED2B}"/>
                </a:ext>
              </a:extLst>
            </xdr:cNvPr>
            <xdr:cNvSpPr txBox="1"/>
          </xdr:nvSpPr>
          <xdr:spPr>
            <a:xfrm>
              <a:off x="1524000" y="3213100"/>
              <a:ext cx="253999" cy="33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7" name="TextBox 6">
              <a:extLst>
                <a:ext uri="{FF2B5EF4-FFF2-40B4-BE49-F238E27FC236}">
                  <a16:creationId xmlns:a16="http://schemas.microsoft.com/office/drawing/2014/main" id="{8E05E6E5-EE98-4747-AACA-CDCC4F2EED2B}"/>
                </a:ext>
              </a:extLst>
            </xdr:cNvPr>
            <xdr:cNvSpPr txBox="1"/>
          </xdr:nvSpPr>
          <xdr:spPr>
            <a:xfrm>
              <a:off x="1524000" y="3213100"/>
              <a:ext cx="253999" cy="33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𝑐^2</a:t>
              </a:r>
              <a:endParaRPr lang="en-US" sz="1100"/>
            </a:p>
          </xdr:txBody>
        </xdr:sp>
      </mc:Fallback>
    </mc:AlternateContent>
    <xdr:clientData/>
  </xdr:twoCellAnchor>
  <xdr:twoCellAnchor>
    <xdr:from>
      <xdr:col>2</xdr:col>
      <xdr:colOff>355600</xdr:colOff>
      <xdr:row>18</xdr:row>
      <xdr:rowOff>25400</xdr:rowOff>
    </xdr:from>
    <xdr:to>
      <xdr:col>2</xdr:col>
      <xdr:colOff>609599</xdr:colOff>
      <xdr:row>19</xdr:row>
      <xdr:rowOff>25399</xdr:rowOff>
    </xdr:to>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CC6F5B0-396F-F443-9044-6E4E4A9215E4}"/>
                </a:ext>
              </a:extLst>
            </xdr:cNvPr>
            <xdr:cNvSpPr txBox="1"/>
          </xdr:nvSpPr>
          <xdr:spPr>
            <a:xfrm>
              <a:off x="1549400" y="4178300"/>
              <a:ext cx="253999" cy="33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3</m:t>
                        </m:r>
                      </m:sup>
                    </m:sSubSup>
                  </m:oMath>
                </m:oMathPara>
              </a14:m>
              <a:endParaRPr lang="en-US" sz="1100"/>
            </a:p>
          </xdr:txBody>
        </xdr:sp>
      </mc:Choice>
      <mc:Fallback xmlns="">
        <xdr:sp macro="" textlink="">
          <xdr:nvSpPr>
            <xdr:cNvPr id="10" name="TextBox 9">
              <a:extLst>
                <a:ext uri="{FF2B5EF4-FFF2-40B4-BE49-F238E27FC236}">
                  <a16:creationId xmlns:a16="http://schemas.microsoft.com/office/drawing/2014/main" id="{2CC6F5B0-396F-F443-9044-6E4E4A9215E4}"/>
                </a:ext>
              </a:extLst>
            </xdr:cNvPr>
            <xdr:cNvSpPr txBox="1"/>
          </xdr:nvSpPr>
          <xdr:spPr>
            <a:xfrm>
              <a:off x="1549400" y="4178300"/>
              <a:ext cx="253999" cy="33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𝑐^3</a:t>
              </a:r>
              <a:endParaRPr lang="en-U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12701</xdr:colOff>
      <xdr:row>5</xdr:row>
      <xdr:rowOff>11905</xdr:rowOff>
    </xdr:from>
    <xdr:to>
      <xdr:col>10</xdr:col>
      <xdr:colOff>539751</xdr:colOff>
      <xdr:row>5</xdr:row>
      <xdr:rowOff>254000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4318795" y="984249"/>
          <a:ext cx="1269206" cy="242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0</xdr:colOff>
      <xdr:row>5</xdr:row>
      <xdr:rowOff>1</xdr:rowOff>
    </xdr:from>
    <xdr:to>
      <xdr:col>17</xdr:col>
      <xdr:colOff>50800</xdr:colOff>
      <xdr:row>5</xdr:row>
      <xdr:rowOff>254001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5943600" y="1016001"/>
              <a:ext cx="11938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𝜃</m:t>
                        </m:r>
                      </m:e>
                      <m:sup>
                        <m:r>
                          <a:rPr lang="en-US" sz="1100" b="0" i="1">
                            <a:latin typeface="Cambria Math" panose="02040503050406030204" pitchFamily="18" charset="0"/>
                          </a:rPr>
                          <m:t>𝛼𝜓</m:t>
                        </m:r>
                      </m:sup>
                    </m:sSup>
                  </m:oMath>
                </m:oMathPara>
              </a14:m>
              <a:endParaRPr lang="en-US" sz="1100"/>
            </a:p>
          </xdr:txBody>
        </xdr:sp>
      </mc:Choice>
      <mc:Fallback xmlns="">
        <xdr:sp macro="" textlink="">
          <xdr:nvSpPr>
            <xdr:cNvPr id="3" name="TextBox 2">
              <a:extLst>
                <a:ext uri="{FF2B5EF4-FFF2-40B4-BE49-F238E27FC236}">
                  <a16:creationId xmlns:a16="http://schemas.microsoft.com/office/drawing/2014/main" id="{79D2163B-4E41-3A49-B636-47C2EC1CFBD4}"/>
                </a:ext>
              </a:extLst>
            </xdr:cNvPr>
            <xdr:cNvSpPr txBox="1"/>
          </xdr:nvSpPr>
          <xdr:spPr>
            <a:xfrm>
              <a:off x="5943600" y="1016001"/>
              <a:ext cx="11938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latin typeface="Cambria Math" panose="02040503050406030204" pitchFamily="18" charset="0"/>
                </a:rPr>
                <a:t>𝜃^𝛼𝜓</a:t>
              </a:r>
              <a:endParaRPr lang="en-US" sz="1100"/>
            </a:p>
          </xdr:txBody>
        </xdr:sp>
      </mc:Fallback>
    </mc:AlternateContent>
    <xdr:clientData/>
  </xdr:twoCellAnchor>
  <xdr:twoCellAnchor>
    <xdr:from>
      <xdr:col>18</xdr:col>
      <xdr:colOff>25400</xdr:colOff>
      <xdr:row>5</xdr:row>
      <xdr:rowOff>12701</xdr:rowOff>
    </xdr:from>
    <xdr:to>
      <xdr:col>23</xdr:col>
      <xdr:colOff>0</xdr:colOff>
      <xdr:row>5</xdr:row>
      <xdr:rowOff>254001</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7264400" y="1028701"/>
          <a:ext cx="119380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1462087</xdr:colOff>
      <xdr:row>16</xdr:row>
      <xdr:rowOff>23019</xdr:rowOff>
    </xdr:from>
    <xdr:to>
      <xdr:col>2</xdr:col>
      <xdr:colOff>1919287</xdr:colOff>
      <xdr:row>17</xdr:row>
      <xdr:rowOff>5820</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628900" y="2213769"/>
              <a:ext cx="457200" cy="236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𝜓</m:t>
                          </m:r>
                        </m:e>
                      </m:acc>
                    </m:e>
                    <m:sub>
                      <m:r>
                        <a:rPr lang="en-US" sz="1100" b="0" i="1">
                          <a:latin typeface="Cambria Math" panose="02040503050406030204" pitchFamily="18" charset="0"/>
                        </a:rPr>
                        <m:t>𝑐</m:t>
                      </m:r>
                    </m:sub>
                  </m:sSub>
                </m:oMath>
              </a14:m>
              <a:r>
                <a:rPr lang="en-US" sz="1100"/>
                <a:t>)</a:t>
              </a:r>
            </a:p>
          </xdr:txBody>
        </xdr:sp>
      </mc:Choice>
      <mc:Fallback xmlns="">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628900" y="2213769"/>
              <a:ext cx="457200" cy="236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0" i="0">
                  <a:latin typeface="Cambria Math" panose="02040503050406030204" pitchFamily="18" charset="0"/>
                </a:rPr>
                <a:t>𝜓 ̅_𝑐</a:t>
              </a:r>
              <a:r>
                <a:rPr lang="en-US" sz="1100"/>
                <a:t>)</a:t>
              </a:r>
            </a:p>
          </xdr:txBody>
        </xdr:sp>
      </mc:Fallback>
    </mc:AlternateContent>
    <xdr:clientData/>
  </xdr:twoCellAnchor>
  <xdr:twoCellAnchor>
    <xdr:from>
      <xdr:col>2</xdr:col>
      <xdr:colOff>1607609</xdr:colOff>
      <xdr:row>20</xdr:row>
      <xdr:rowOff>38367</xdr:rowOff>
    </xdr:from>
    <xdr:to>
      <xdr:col>2</xdr:col>
      <xdr:colOff>2064809</xdr:colOff>
      <xdr:row>21</xdr:row>
      <xdr:rowOff>75937</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2774422" y="2689492"/>
              <a:ext cx="457200" cy="30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𝑐</m:t>
                      </m:r>
                    </m:sub>
                  </m:sSub>
                </m:oMath>
              </a14:m>
              <a:r>
                <a:rPr lang="en-US" sz="1100"/>
                <a:t>)</a:t>
              </a:r>
            </a:p>
          </xdr:txBody>
        </xdr:sp>
      </mc:Choice>
      <mc:Fallback xmlns="">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2774422" y="2689492"/>
              <a:ext cx="457200" cy="30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0" i="0">
                  <a:latin typeface="Cambria Math" panose="02040503050406030204" pitchFamily="18" charset="0"/>
                </a:rPr>
                <a:t>𝛼 ̅_𝑐</a:t>
              </a:r>
              <a:r>
                <a:rPr lang="en-US" sz="1100"/>
                <a:t>)</a:t>
              </a:r>
            </a:p>
          </xdr:txBody>
        </xdr:sp>
      </mc:Fallback>
    </mc:AlternateContent>
    <xdr:clientData/>
  </xdr:twoCellAnchor>
  <xdr:twoCellAnchor>
    <xdr:from>
      <xdr:col>6</xdr:col>
      <xdr:colOff>12701</xdr:colOff>
      <xdr:row>5</xdr:row>
      <xdr:rowOff>11905</xdr:rowOff>
    </xdr:from>
    <xdr:to>
      <xdr:col>11</xdr:col>
      <xdr:colOff>8733</xdr:colOff>
      <xdr:row>5</xdr:row>
      <xdr:rowOff>240504</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4318795" y="984249"/>
              <a:ext cx="1309688"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1</m:t>
                        </m:r>
                      </m:sup>
                    </m:sSubSup>
                  </m:oMath>
                </m:oMathPara>
              </a14:m>
              <a:endParaRPr lang="en-US" sz="1100"/>
            </a:p>
          </xdr:txBody>
        </xdr:sp>
      </mc:Choice>
      <mc:Fallback xmlns="">
        <xdr:sp macro="" textlink="">
          <xdr:nvSpPr>
            <xdr:cNvPr id="8" name="TextBox 7">
              <a:extLst>
                <a:ext uri="{FF2B5EF4-FFF2-40B4-BE49-F238E27FC236}">
                  <a16:creationId xmlns:a16="http://schemas.microsoft.com/office/drawing/2014/main" xmlns="" xmlns:a14="http://schemas.microsoft.com/office/drawing/2010/main" id="{00000000-0008-0000-0400-000002000000}"/>
                </a:ext>
              </a:extLst>
            </xdr:cNvPr>
            <xdr:cNvSpPr txBox="1"/>
          </xdr:nvSpPr>
          <xdr:spPr>
            <a:xfrm>
              <a:off x="4318795" y="984249"/>
              <a:ext cx="1309688"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𝑐^1</a:t>
              </a:r>
              <a:endParaRPr lang="en-US" sz="1100"/>
            </a:p>
          </xdr:txBody>
        </xdr:sp>
      </mc:Fallback>
    </mc:AlternateContent>
    <xdr:clientData/>
  </xdr:twoCellAnchor>
  <xdr:twoCellAnchor>
    <xdr:from>
      <xdr:col>11</xdr:col>
      <xdr:colOff>88900</xdr:colOff>
      <xdr:row>5</xdr:row>
      <xdr:rowOff>16670</xdr:rowOff>
    </xdr:from>
    <xdr:to>
      <xdr:col>22</xdr:col>
      <xdr:colOff>378619</xdr:colOff>
      <xdr:row>5</xdr:row>
      <xdr:rowOff>245269</xdr:rowOff>
    </xdr:to>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5708650" y="989014"/>
              <a:ext cx="1309688"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9" name="TextBox 8">
              <a:extLst>
                <a:ext uri="{FF2B5EF4-FFF2-40B4-BE49-F238E27FC236}">
                  <a16:creationId xmlns:a16="http://schemas.microsoft.com/office/drawing/2014/main" xmlns="" xmlns:a14="http://schemas.microsoft.com/office/drawing/2010/main" id="{00000000-0008-0000-0400-000002000000}"/>
                </a:ext>
              </a:extLst>
            </xdr:cNvPr>
            <xdr:cNvSpPr txBox="1"/>
          </xdr:nvSpPr>
          <xdr:spPr>
            <a:xfrm>
              <a:off x="5708650" y="989014"/>
              <a:ext cx="1309688"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𝑐^2</a:t>
              </a:r>
              <a:endParaRPr lang="en-US"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5</xdr:row>
      <xdr:rowOff>25400</xdr:rowOff>
    </xdr:from>
    <xdr:to>
      <xdr:col>8</xdr:col>
      <xdr:colOff>12700</xdr:colOff>
      <xdr:row>5</xdr:row>
      <xdr:rowOff>228600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3911600" y="1651000"/>
              <a:ext cx="10414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𝜃</m:t>
                        </m:r>
                      </m:e>
                      <m:sup>
                        <m:r>
                          <a:rPr lang="en-US" sz="1100" b="0" i="1">
                            <a:latin typeface="Cambria Math" panose="02040503050406030204" pitchFamily="18" charset="0"/>
                          </a:rPr>
                          <m:t>𝜓𝜓</m:t>
                        </m:r>
                      </m:sup>
                    </m:sSup>
                  </m:oMath>
                </m:oMathPara>
              </a14:m>
              <a:endParaRPr lang="en-US" sz="1100"/>
            </a:p>
          </xdr:txBody>
        </xdr:sp>
      </mc:Choice>
      <mc:Fallback xmlns="">
        <xdr:sp macro="" textlink="">
          <xdr:nvSpPr>
            <xdr:cNvPr id="2" name="TextBox 1">
              <a:extLst>
                <a:ext uri="{FF2B5EF4-FFF2-40B4-BE49-F238E27FC236}">
                  <a16:creationId xmlns:a16="http://schemas.microsoft.com/office/drawing/2014/main" id="{F253C47A-60B4-BE41-A5B3-48DB1706A1E3}"/>
                </a:ext>
              </a:extLst>
            </xdr:cNvPr>
            <xdr:cNvSpPr txBox="1"/>
          </xdr:nvSpPr>
          <xdr:spPr>
            <a:xfrm>
              <a:off x="3911600" y="1651000"/>
              <a:ext cx="10414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𝜃^𝜓𝜓</a:t>
              </a:r>
              <a:endParaRPr lang="en-US" sz="1100"/>
            </a:p>
          </xdr:txBody>
        </xdr:sp>
      </mc:Fallback>
    </mc:AlternateContent>
    <xdr:clientData/>
  </xdr:twoCellAnchor>
  <xdr:twoCellAnchor>
    <xdr:from>
      <xdr:col>8</xdr:col>
      <xdr:colOff>34471</xdr:colOff>
      <xdr:row>5</xdr:row>
      <xdr:rowOff>12701</xdr:rowOff>
    </xdr:from>
    <xdr:to>
      <xdr:col>12</xdr:col>
      <xdr:colOff>12700</xdr:colOff>
      <xdr:row>6</xdr:row>
      <xdr:rowOff>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4974771" y="1638301"/>
              <a:ext cx="1019629"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𝜃</m:t>
                        </m:r>
                      </m:e>
                      <m:sup>
                        <m:r>
                          <a:rPr lang="en-US" sz="1100" b="0" i="1">
                            <a:latin typeface="Cambria Math" panose="02040503050406030204" pitchFamily="18" charset="0"/>
                          </a:rPr>
                          <m:t>𝛼𝜓</m:t>
                        </m:r>
                      </m:sup>
                    </m:sSup>
                  </m:oMath>
                </m:oMathPara>
              </a14:m>
              <a:endParaRPr lang="en-US" sz="1100"/>
            </a:p>
          </xdr:txBody>
        </xdr:sp>
      </mc:Choice>
      <mc:Fallback xmlns="">
        <xdr:sp macro="" textlink="">
          <xdr:nvSpPr>
            <xdr:cNvPr id="3" name="TextBox 2">
              <a:extLst>
                <a:ext uri="{FF2B5EF4-FFF2-40B4-BE49-F238E27FC236}">
                  <a16:creationId xmlns:a16="http://schemas.microsoft.com/office/drawing/2014/main" id="{482FBD5B-EE9F-144C-85DC-FD1376E152FF}"/>
                </a:ext>
              </a:extLst>
            </xdr:cNvPr>
            <xdr:cNvSpPr txBox="1"/>
          </xdr:nvSpPr>
          <xdr:spPr>
            <a:xfrm>
              <a:off x="4974771" y="1638301"/>
              <a:ext cx="1019629"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𝜃^𝛼𝜓</a:t>
              </a:r>
              <a:endParaRPr lang="en-US" sz="1100"/>
            </a:p>
          </xdr:txBody>
        </xdr:sp>
      </mc:Fallback>
    </mc:AlternateContent>
    <xdr:clientData/>
  </xdr:twoCellAnchor>
  <xdr:twoCellAnchor>
    <xdr:from>
      <xdr:col>12</xdr:col>
      <xdr:colOff>25398</xdr:colOff>
      <xdr:row>5</xdr:row>
      <xdr:rowOff>12700</xdr:rowOff>
    </xdr:from>
    <xdr:to>
      <xdr:col>14</xdr:col>
      <xdr:colOff>495300</xdr:colOff>
      <xdr:row>6</xdr:row>
      <xdr:rowOff>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6007098" y="1638300"/>
              <a:ext cx="990602"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𝜃</m:t>
                        </m:r>
                      </m:e>
                      <m:sup>
                        <m:r>
                          <a:rPr lang="en-US" sz="1100" b="0" i="1">
                            <a:latin typeface="Cambria Math" panose="02040503050406030204" pitchFamily="18" charset="0"/>
                          </a:rPr>
                          <m:t>𝛼𝛼</m:t>
                        </m:r>
                      </m:sup>
                    </m:sSup>
                  </m:oMath>
                </m:oMathPara>
              </a14:m>
              <a:endParaRPr lang="en-US" sz="1100"/>
            </a:p>
          </xdr:txBody>
        </xdr:sp>
      </mc:Choice>
      <mc:Fallback xmlns="">
        <xdr:sp macro="" textlink="">
          <xdr:nvSpPr>
            <xdr:cNvPr id="4" name="TextBox 3">
              <a:extLst>
                <a:ext uri="{FF2B5EF4-FFF2-40B4-BE49-F238E27FC236}">
                  <a16:creationId xmlns:a16="http://schemas.microsoft.com/office/drawing/2014/main" id="{7DCE575C-0C5C-0D46-B9EC-BA72A8CC1668}"/>
                </a:ext>
              </a:extLst>
            </xdr:cNvPr>
            <xdr:cNvSpPr txBox="1"/>
          </xdr:nvSpPr>
          <xdr:spPr>
            <a:xfrm>
              <a:off x="6007098" y="1638300"/>
              <a:ext cx="990602"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𝜃^𝛼𝛼</a:t>
              </a:r>
              <a:endParaRPr lang="en-US" sz="1100"/>
            </a:p>
          </xdr:txBody>
        </xdr:sp>
      </mc:Fallback>
    </mc:AlternateContent>
    <xdr:clientData/>
  </xdr:twoCellAnchor>
  <xdr:twoCellAnchor>
    <xdr:from>
      <xdr:col>2</xdr:col>
      <xdr:colOff>1219200</xdr:colOff>
      <xdr:row>6</xdr:row>
      <xdr:rowOff>165100</xdr:rowOff>
    </xdr:from>
    <xdr:to>
      <xdr:col>2</xdr:col>
      <xdr:colOff>1676400</xdr:colOff>
      <xdr:row>7</xdr:row>
      <xdr:rowOff>192617</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489200" y="1587500"/>
              <a:ext cx="457200" cy="230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𝜓</m:t>
                          </m:r>
                        </m:e>
                      </m:acc>
                    </m:e>
                    <m:sub>
                      <m:r>
                        <a:rPr lang="en-US" sz="1100" b="0" i="1">
                          <a:latin typeface="Cambria Math" panose="02040503050406030204" pitchFamily="18" charset="0"/>
                        </a:rPr>
                        <m:t>𝑐</m:t>
                      </m:r>
                    </m:sub>
                  </m:sSub>
                </m:oMath>
              </a14:m>
              <a:r>
                <a:rPr lang="en-US" sz="1100"/>
                <a:t>)</a:t>
              </a:r>
            </a:p>
          </xdr:txBody>
        </xdr:sp>
      </mc:Choice>
      <mc:Fallback xmlns="">
        <xdr:sp macro="" textlink="">
          <xdr:nvSpPr>
            <xdr:cNvPr id="5" name="TextBox 4">
              <a:extLst>
                <a:ext uri="{FF2B5EF4-FFF2-40B4-BE49-F238E27FC236}">
                  <a16:creationId xmlns:a16="http://schemas.microsoft.com/office/drawing/2014/main" id="{1D0AB456-70F4-4F43-B2F1-B97E9622D5DF}"/>
                </a:ext>
              </a:extLst>
            </xdr:cNvPr>
            <xdr:cNvSpPr txBox="1"/>
          </xdr:nvSpPr>
          <xdr:spPr>
            <a:xfrm>
              <a:off x="2489200" y="1587500"/>
              <a:ext cx="457200" cy="230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0" i="0">
                  <a:latin typeface="Cambria Math" panose="02040503050406030204" pitchFamily="18" charset="0"/>
                </a:rPr>
                <a:t>𝜓 ̅_𝑐</a:t>
              </a:r>
              <a:r>
                <a:rPr lang="en-US" sz="1100"/>
                <a:t>)</a:t>
              </a:r>
            </a:p>
          </xdr:txBody>
        </xdr:sp>
      </mc:Fallback>
    </mc:AlternateContent>
    <xdr:clientData/>
  </xdr:twoCellAnchor>
  <xdr:twoCellAnchor>
    <xdr:from>
      <xdr:col>2</xdr:col>
      <xdr:colOff>1498600</xdr:colOff>
      <xdr:row>11</xdr:row>
      <xdr:rowOff>177800</xdr:rowOff>
    </xdr:from>
    <xdr:to>
      <xdr:col>2</xdr:col>
      <xdr:colOff>1955800</xdr:colOff>
      <xdr:row>18</xdr:row>
      <xdr:rowOff>12700</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2768600" y="2616200"/>
              <a:ext cx="457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𝑐</m:t>
                      </m:r>
                    </m:sub>
                  </m:sSub>
                </m:oMath>
              </a14:m>
              <a:r>
                <a:rPr lang="en-US" sz="1100"/>
                <a:t>)</a:t>
              </a:r>
            </a:p>
          </xdr:txBody>
        </xdr:sp>
      </mc:Choice>
      <mc:Fallback xmlns="">
        <xdr:sp macro="" textlink="">
          <xdr:nvSpPr>
            <xdr:cNvPr id="6" name="TextBox 5">
              <a:extLst>
                <a:ext uri="{FF2B5EF4-FFF2-40B4-BE49-F238E27FC236}">
                  <a16:creationId xmlns:a16="http://schemas.microsoft.com/office/drawing/2014/main" id="{0B614480-B321-A34A-B102-1BD3A6BDFE32}"/>
                </a:ext>
              </a:extLst>
            </xdr:cNvPr>
            <xdr:cNvSpPr txBox="1"/>
          </xdr:nvSpPr>
          <xdr:spPr>
            <a:xfrm>
              <a:off x="2768600" y="2616200"/>
              <a:ext cx="457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0" i="0">
                  <a:latin typeface="Cambria Math" panose="02040503050406030204" pitchFamily="18" charset="0"/>
                </a:rPr>
                <a:t>𝛼 ̅_𝑐</a:t>
              </a:r>
              <a:r>
                <a:rPr lang="en-US" sz="1100"/>
                <a:t>)</a:t>
              </a:r>
            </a:p>
          </xdr:txBody>
        </xdr:sp>
      </mc:Fallback>
    </mc:AlternateContent>
    <xdr:clientData/>
  </xdr:twoCellAnchor>
  <xdr:twoCellAnchor>
    <xdr:from>
      <xdr:col>19</xdr:col>
      <xdr:colOff>12700</xdr:colOff>
      <xdr:row>5</xdr:row>
      <xdr:rowOff>25400</xdr:rowOff>
    </xdr:from>
    <xdr:to>
      <xdr:col>23</xdr:col>
      <xdr:colOff>12700</xdr:colOff>
      <xdr:row>5</xdr:row>
      <xdr:rowOff>228600</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3660775" y="1025525"/>
          <a:ext cx="97155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23</xdr:col>
      <xdr:colOff>34471</xdr:colOff>
      <xdr:row>5</xdr:row>
      <xdr:rowOff>12701</xdr:rowOff>
    </xdr:from>
    <xdr:to>
      <xdr:col>27</xdr:col>
      <xdr:colOff>12700</xdr:colOff>
      <xdr:row>6</xdr:row>
      <xdr:rowOff>0</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4654096" y="1012826"/>
              <a:ext cx="949779" cy="239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𝜃</m:t>
                        </m:r>
                      </m:e>
                      <m:sup>
                        <m:r>
                          <a:rPr lang="en-US" sz="1100" b="0" i="1">
                            <a:latin typeface="Cambria Math" panose="02040503050406030204" pitchFamily="18" charset="0"/>
                          </a:rPr>
                          <m:t>𝛼𝜓</m:t>
                        </m:r>
                      </m:sup>
                    </m:sSup>
                  </m:oMath>
                </m:oMathPara>
              </a14:m>
              <a:endParaRPr lang="en-US" sz="1100"/>
            </a:p>
          </xdr:txBody>
        </xdr:sp>
      </mc:Choice>
      <mc:Fallback xmlns="">
        <xdr:sp macro="" textlink="">
          <xdr:nvSpPr>
            <xdr:cNvPr id="8" name="TextBox 7">
              <a:extLst>
                <a:ext uri="{FF2B5EF4-FFF2-40B4-BE49-F238E27FC236}">
                  <a16:creationId xmlns:a16="http://schemas.microsoft.com/office/drawing/2014/main" xmlns:a14="http://schemas.microsoft.com/office/drawing/2010/main" xmlns="" id="{482FBD5B-EE9F-144C-85DC-FD1376E152FF}"/>
                </a:ext>
              </a:extLst>
            </xdr:cNvPr>
            <xdr:cNvSpPr txBox="1"/>
          </xdr:nvSpPr>
          <xdr:spPr>
            <a:xfrm>
              <a:off x="4654096" y="1012826"/>
              <a:ext cx="949779" cy="239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𝜃^𝛼𝜓</a:t>
              </a:r>
              <a:endParaRPr lang="en-US" sz="1100"/>
            </a:p>
          </xdr:txBody>
        </xdr:sp>
      </mc:Fallback>
    </mc:AlternateContent>
    <xdr:clientData/>
  </xdr:twoCellAnchor>
  <xdr:twoCellAnchor>
    <xdr:from>
      <xdr:col>27</xdr:col>
      <xdr:colOff>25398</xdr:colOff>
      <xdr:row>5</xdr:row>
      <xdr:rowOff>12700</xdr:rowOff>
    </xdr:from>
    <xdr:to>
      <xdr:col>29</xdr:col>
      <xdr:colOff>495300</xdr:colOff>
      <xdr:row>6</xdr:row>
      <xdr:rowOff>0</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5616573" y="1012825"/>
          <a:ext cx="946152" cy="2397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18</xdr:col>
      <xdr:colOff>1523999</xdr:colOff>
      <xdr:row>17</xdr:row>
      <xdr:rowOff>177800</xdr:rowOff>
    </xdr:from>
    <xdr:to>
      <xdr:col>18</xdr:col>
      <xdr:colOff>2128836</xdr:colOff>
      <xdr:row>18</xdr:row>
      <xdr:rowOff>28575</xdr:rowOff>
    </xdr:to>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8062912" y="2735263"/>
              <a:ext cx="604837" cy="26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𝛼</m:t>
                          </m:r>
                        </m:e>
                      </m:acc>
                    </m:e>
                    <m:sub>
                      <m:r>
                        <a:rPr lang="en-US" sz="1100" b="0" i="1">
                          <a:latin typeface="Cambria Math" panose="02040503050406030204" pitchFamily="18" charset="0"/>
                        </a:rPr>
                        <m:t>𝑐</m:t>
                      </m:r>
                    </m:sub>
                  </m:sSub>
                </m:oMath>
              </a14:m>
              <a:r>
                <a:rPr lang="en-US" sz="1100"/>
                <a:t>)</a:t>
              </a:r>
            </a:p>
          </xdr:txBody>
        </xdr:sp>
      </mc:Choice>
      <mc:Fallback xmlns="">
        <xdr:sp macro="" textlink="">
          <xdr:nvSpPr>
            <xdr:cNvPr id="10" name="TextBox 9">
              <a:extLst>
                <a:ext uri="{FF2B5EF4-FFF2-40B4-BE49-F238E27FC236}">
                  <a16:creationId xmlns:a16="http://schemas.microsoft.com/office/drawing/2014/main" xmlns="" xmlns:a14="http://schemas.microsoft.com/office/drawing/2010/main" id="{00000000-0008-0000-0600-00000A000000}"/>
                </a:ext>
              </a:extLst>
            </xdr:cNvPr>
            <xdr:cNvSpPr txBox="1"/>
          </xdr:nvSpPr>
          <xdr:spPr>
            <a:xfrm>
              <a:off x="8062912" y="2735263"/>
              <a:ext cx="604837" cy="26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0" i="0">
                  <a:latin typeface="Cambria Math" panose="02040503050406030204" pitchFamily="18" charset="0"/>
                </a:rPr>
                <a:t>𝛼 ̅_𝑐</a:t>
              </a:r>
              <a:r>
                <a:rPr lang="en-US" sz="1100"/>
                <a:t>)</a:t>
              </a:r>
            </a:p>
          </xdr:txBody>
        </xdr:sp>
      </mc:Fallback>
    </mc:AlternateContent>
    <xdr:clientData/>
  </xdr:twoCellAnchor>
  <xdr:twoCellAnchor>
    <xdr:from>
      <xdr:col>18</xdr:col>
      <xdr:colOff>1376363</xdr:colOff>
      <xdr:row>7</xdr:row>
      <xdr:rowOff>52388</xdr:rowOff>
    </xdr:from>
    <xdr:to>
      <xdr:col>18</xdr:col>
      <xdr:colOff>1833563</xdr:colOff>
      <xdr:row>8</xdr:row>
      <xdr:rowOff>137055</xdr:rowOff>
    </xdr:to>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7915276" y="1481138"/>
              <a:ext cx="457200" cy="375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14:m>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𝜓</m:t>
                          </m:r>
                        </m:e>
                      </m:acc>
                    </m:e>
                    <m:sub>
                      <m:r>
                        <a:rPr lang="en-US" sz="1100" b="0" i="1">
                          <a:latin typeface="Cambria Math" panose="02040503050406030204" pitchFamily="18" charset="0"/>
                        </a:rPr>
                        <m:t>𝑐</m:t>
                      </m:r>
                    </m:sub>
                  </m:sSub>
                </m:oMath>
              </a14:m>
              <a:r>
                <a:rPr lang="en-US" sz="1100"/>
                <a:t>)</a:t>
              </a:r>
            </a:p>
          </xdr:txBody>
        </xdr:sp>
      </mc:Choice>
      <mc:Fallback xmlns="">
        <xdr:sp macro="" textlink="">
          <xdr:nvSpPr>
            <xdr:cNvPr id="13" name="TextBox 12">
              <a:extLst>
                <a:ext uri="{FF2B5EF4-FFF2-40B4-BE49-F238E27FC236}">
                  <a16:creationId xmlns:a16="http://schemas.microsoft.com/office/drawing/2014/main" xmlns="" xmlns:a14="http://schemas.microsoft.com/office/drawing/2010/main" id="{00000000-0008-0000-0600-00000D000000}"/>
                </a:ext>
              </a:extLst>
            </xdr:cNvPr>
            <xdr:cNvSpPr txBox="1"/>
          </xdr:nvSpPr>
          <xdr:spPr>
            <a:xfrm>
              <a:off x="7915276" y="1481138"/>
              <a:ext cx="457200" cy="375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0" i="0">
                  <a:latin typeface="Cambria Math" panose="02040503050406030204" pitchFamily="18" charset="0"/>
                </a:rPr>
                <a:t>𝜓 ̅_𝑐</a:t>
              </a:r>
              <a:r>
                <a:rPr lang="en-US" sz="1100"/>
                <a:t>)</a:t>
              </a:r>
            </a:p>
          </xdr:txBody>
        </xdr:sp>
      </mc:Fallback>
    </mc:AlternateContent>
    <xdr:clientData/>
  </xdr:twoCellAnchor>
  <xdr:twoCellAnchor>
    <xdr:from>
      <xdr:col>18</xdr:col>
      <xdr:colOff>2222500</xdr:colOff>
      <xdr:row>5</xdr:row>
      <xdr:rowOff>30162</xdr:rowOff>
    </xdr:from>
    <xdr:to>
      <xdr:col>27</xdr:col>
      <xdr:colOff>76200</xdr:colOff>
      <xdr:row>5</xdr:row>
      <xdr:rowOff>271463</xdr:rowOff>
    </xdr:to>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8761413" y="830262"/>
              <a:ext cx="1525587" cy="241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1</m:t>
                        </m:r>
                      </m:sup>
                    </m:sSubSup>
                  </m:oMath>
                </m:oMathPara>
              </a14:m>
              <a:endParaRPr lang="en-US" sz="1100"/>
            </a:p>
          </xdr:txBody>
        </xdr:sp>
      </mc:Choice>
      <mc:Fallback xmlns="">
        <xdr:sp macro="" textlink="">
          <xdr:nvSpPr>
            <xdr:cNvPr id="12" name="TextBox 11">
              <a:extLst>
                <a:ext uri="{FF2B5EF4-FFF2-40B4-BE49-F238E27FC236}">
                  <a16:creationId xmlns:a16="http://schemas.microsoft.com/office/drawing/2014/main" xmlns="" xmlns:a14="http://schemas.microsoft.com/office/drawing/2010/main" id="{00000000-0008-0000-0400-000002000000}"/>
                </a:ext>
              </a:extLst>
            </xdr:cNvPr>
            <xdr:cNvSpPr txBox="1"/>
          </xdr:nvSpPr>
          <xdr:spPr>
            <a:xfrm>
              <a:off x="8761413" y="830262"/>
              <a:ext cx="1525587" cy="241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𝑐^1</a:t>
              </a:r>
              <a:endParaRPr lang="en-US" sz="1100"/>
            </a:p>
          </xdr:txBody>
        </xdr:sp>
      </mc:Fallback>
    </mc:AlternateContent>
    <xdr:clientData/>
  </xdr:twoCellAnchor>
  <xdr:twoCellAnchor>
    <xdr:from>
      <xdr:col>22</xdr:col>
      <xdr:colOff>11110</xdr:colOff>
      <xdr:row>5</xdr:row>
      <xdr:rowOff>60325</xdr:rowOff>
    </xdr:from>
    <xdr:to>
      <xdr:col>30</xdr:col>
      <xdr:colOff>133350</xdr:colOff>
      <xdr:row>5</xdr:row>
      <xdr:rowOff>333375</xdr:rowOff>
    </xdr:to>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0093323" y="860425"/>
              <a:ext cx="1679577"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rPr>
                          <m:t>𝑐</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14" name="TextBox 13">
              <a:extLst>
                <a:ext uri="{FF2B5EF4-FFF2-40B4-BE49-F238E27FC236}">
                  <a16:creationId xmlns:a16="http://schemas.microsoft.com/office/drawing/2014/main" xmlns="" xmlns:a14="http://schemas.microsoft.com/office/drawing/2010/main" id="{00000000-0008-0000-0400-000002000000}"/>
                </a:ext>
              </a:extLst>
            </xdr:cNvPr>
            <xdr:cNvSpPr txBox="1"/>
          </xdr:nvSpPr>
          <xdr:spPr>
            <a:xfrm>
              <a:off x="10093323" y="860425"/>
              <a:ext cx="1679577"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i="0">
                  <a:latin typeface="Cambria Math" panose="02040503050406030204" pitchFamily="18" charset="0"/>
                  <a:ea typeface="Cambria Math" panose="02040503050406030204" pitchFamily="18" charset="0"/>
                </a:rPr>
                <a:t>𝛽_</a:t>
              </a:r>
              <a:r>
                <a:rPr lang="en-US" sz="1100" b="0" i="0">
                  <a:latin typeface="Cambria Math" panose="02040503050406030204" pitchFamily="18" charset="0"/>
                </a:rPr>
                <a:t>𝑐^2</a:t>
              </a:r>
              <a:endParaRPr lang="en-US"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Jesse Rothstein" id="{01F5F9A6-ABD5-BC41-8324-760DF371E3B6}" userId="Jesse Rothstein" providerId="None"/>
  <person displayName="Moises Yi" id="{CAFF8C58-D98D-1545-BFAE-9456060B4645}" userId="S::moisesyi@umd.edu::03a66309-76f6-4261-b60a-fb921a23a3f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4" dT="2022-10-02T22:02:40.72" personId="{01F5F9A6-ABD5-BC41-8324-760DF371E3B6}" id="{4B329E48-B728-6242-9F52-878A59B57852}">
    <text>Is this coded based on the surname? Why do we have it and not race?</text>
  </threadedComment>
  <threadedComment ref="B14" dT="2022-10-03T01:27:10.71" personId="{CAFF8C58-D98D-1545-BFAE-9456060B4645}" id="{2B8DC58F-B005-424C-B34C-B76BE4163117}" parentId="{4B329E48-B728-6242-9F52-878A59B57852}">
    <text>Hispanic ethnicity is based on the numident (from several sources including decennial census answers), I probably kept this variable by mistake (it’s not on the Location paper T1. We also have race in the data, but we did not disclose it)</text>
  </threadedComment>
</ThreadedComments>
</file>

<file path=xl/threadedComments/threadedComment2.xml><?xml version="1.0" encoding="utf-8"?>
<ThreadedComments xmlns="http://schemas.microsoft.com/office/spreadsheetml/2018/threadedcomments" xmlns:x="http://schemas.openxmlformats.org/spreadsheetml/2006/main">
  <threadedComment ref="Q35" dT="2022-10-05T16:15:00.29" personId="{01F5F9A6-ABD5-BC41-8324-760DF371E3B6}" id="{7A6E77EB-1EE2-C042-A348-B9F15EDCE2C8}">
    <text>FYI, this comes out negative (though rounds to 0). I’m guessing/hoping it is due to rounding in the adjusted R2 that was released. The only other explanation I can think of is that I made a math error.
I think it is worth confirming this number internally. To do this, we need to compute the predicted value from the regression of theta on union coverage, that. Then compute V(yhat) and V(y), using the same regression weights but just the 50 CZs. We want to know confirm that the ratio of these rounds to 0.</text>
  </threadedComment>
  <threadedComment ref="Q35" dT="2022-10-10T20:43:04.24" personId="{CAFF8C58-D98D-1545-BFAE-9456060B4645}" id="{18711321-583C-8A44-B441-EAACC6A88C6F}" parentId="{7A6E77EB-1EE2-C042-A348-B9F15EDCE2C8}">
    <text>I checked this and the ratio rounds out to zero or 0.01, for yhat, I only used coverage as a regressor (no division/region controls). I also checked using the R2 formulas and the number is positive but very close to zero (e.g. the unadjusted R2s for the reg of theta on Z and the reg of theta on Z and coverage are very very close to each other).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B2:H35"/>
  <sheetViews>
    <sheetView zoomScale="110" zoomScaleNormal="110" workbookViewId="0">
      <selection activeCell="C26" sqref="C26"/>
    </sheetView>
  </sheetViews>
  <sheetFormatPr baseColWidth="10" defaultColWidth="10.6640625" defaultRowHeight="15"/>
  <cols>
    <col min="2" max="2" width="2.5" customWidth="1"/>
    <col min="3" max="3" width="31" style="3" customWidth="1"/>
    <col min="4" max="4" width="13" hidden="1" customWidth="1"/>
    <col min="5" max="5" width="11.33203125" customWidth="1"/>
    <col min="6" max="6" width="11" customWidth="1"/>
    <col min="7" max="7" width="11.1640625" customWidth="1"/>
    <col min="8" max="8" width="12" customWidth="1"/>
  </cols>
  <sheetData>
    <row r="2" spans="2:8">
      <c r="B2" t="s">
        <v>192</v>
      </c>
    </row>
    <row r="3" spans="2:8">
      <c r="B3" s="4"/>
      <c r="C3" s="5"/>
      <c r="D3" s="4"/>
      <c r="E3" s="4"/>
      <c r="F3" s="4"/>
      <c r="G3" s="4"/>
      <c r="H3" s="4"/>
    </row>
    <row r="4" spans="2:8" ht="32">
      <c r="E4" s="35" t="s">
        <v>84</v>
      </c>
      <c r="F4" s="35" t="s">
        <v>85</v>
      </c>
      <c r="G4" s="35" t="s">
        <v>86</v>
      </c>
      <c r="H4" s="35" t="s">
        <v>4</v>
      </c>
    </row>
    <row r="5" spans="2:8">
      <c r="B5" s="4"/>
      <c r="C5" s="5"/>
      <c r="D5" s="4"/>
      <c r="E5" s="36">
        <v>-1</v>
      </c>
      <c r="F5" s="36">
        <v>-2</v>
      </c>
      <c r="G5" s="36">
        <v>-3</v>
      </c>
      <c r="H5" s="36">
        <v>-4</v>
      </c>
    </row>
    <row r="6" spans="2:8" ht="17.75" customHeight="1">
      <c r="B6" t="s">
        <v>238</v>
      </c>
      <c r="D6" t="str">
        <f>'disclosed1-1'!A7</f>
        <v>lne</v>
      </c>
      <c r="E6" s="31">
        <f>VALUE('disclosed1-1'!B7)</f>
        <v>15510</v>
      </c>
      <c r="F6" s="31">
        <f>VALUE('disclosed1-1'!C7)</f>
        <v>16050</v>
      </c>
      <c r="G6" s="31">
        <f>VALUE('disclosed1-1'!D7)</f>
        <v>14630</v>
      </c>
      <c r="H6" s="31">
        <f>VALUE('disclosed1-1'!E7)</f>
        <v>16350</v>
      </c>
    </row>
    <row r="7" spans="2:8">
      <c r="B7" t="s">
        <v>186</v>
      </c>
      <c r="E7" s="31">
        <f>VALUE('disclosed1-1'!B8)</f>
        <v>-18020</v>
      </c>
      <c r="F7" s="31">
        <f>VALUE('disclosed1-1'!C8)</f>
        <v>-19710</v>
      </c>
      <c r="G7" s="31">
        <f>VALUE('disclosed1-1'!D8)</f>
        <v>-14860</v>
      </c>
      <c r="H7" s="31">
        <f>VALUE('disclosed1-1'!E8)</f>
        <v>-45670</v>
      </c>
    </row>
    <row r="8" spans="2:8" ht="18" customHeight="1">
      <c r="B8" t="s">
        <v>187</v>
      </c>
      <c r="D8" t="str">
        <f>'disclosed1-1'!A9</f>
        <v>age</v>
      </c>
      <c r="E8" s="31">
        <f>VALUE('disclosed1-1'!B9)</f>
        <v>42.43</v>
      </c>
      <c r="F8" s="31">
        <f>VALUE('disclosed1-1'!C9)</f>
        <v>44.04</v>
      </c>
      <c r="G8" s="31">
        <f>VALUE('disclosed1-1'!D9)</f>
        <v>39.85</v>
      </c>
      <c r="H8" s="31">
        <f>VALUE('disclosed1-1'!E9)*40 +40</f>
        <v>40.049280000000003</v>
      </c>
    </row>
    <row r="9" spans="2:8" hidden="1">
      <c r="E9" s="31">
        <f>VALUE('disclosed1-1'!B10)</f>
        <v>-10.78</v>
      </c>
      <c r="F9" s="31">
        <f>VALUE('disclosed1-1'!C10)</f>
        <v>-10.71</v>
      </c>
      <c r="G9" s="31">
        <f>VALUE('disclosed1-1'!D10)</f>
        <v>-10.39</v>
      </c>
      <c r="H9" s="31">
        <f>VALUE('disclosed1-1'!E10)*40</f>
        <v>-10.524000000000001</v>
      </c>
    </row>
    <row r="10" spans="2:8" ht="18" customHeight="1">
      <c r="B10" t="s">
        <v>188</v>
      </c>
      <c r="D10" t="str">
        <f>'disclosed1-1'!A11</f>
        <v>Gender</v>
      </c>
      <c r="E10" s="30">
        <f>VALUE('disclosed1-1'!B11)</f>
        <v>0.47339999999999999</v>
      </c>
      <c r="F10" s="30">
        <f>VALUE('disclosed1-1'!C11)</f>
        <v>0.4839</v>
      </c>
      <c r="G10" s="30">
        <f>VALUE('disclosed1-1'!D11)</f>
        <v>0.45650000000000002</v>
      </c>
      <c r="H10" s="30">
        <f>VALUE('disclosed1-1'!E11)</f>
        <v>0.46289999999999998</v>
      </c>
    </row>
    <row r="11" spans="2:8" hidden="1">
      <c r="E11" s="30">
        <f>VALUE('disclosed1-1'!B12)</f>
        <v>-0.49930000000000002</v>
      </c>
      <c r="F11" s="30">
        <f>VALUE('disclosed1-1'!C12)</f>
        <v>-0.49969999999999998</v>
      </c>
      <c r="G11" s="30">
        <f>VALUE('disclosed1-1'!D12)</f>
        <v>-0.49809999999999999</v>
      </c>
      <c r="H11" s="30">
        <f>VALUE('disclosed1-1'!E12)</f>
        <v>-0.49859999999999999</v>
      </c>
    </row>
    <row r="12" spans="2:8" ht="15.5" customHeight="1">
      <c r="B12" t="s">
        <v>189</v>
      </c>
      <c r="D12" t="str">
        <f>'disclosed1-1'!A13</f>
        <v>forborn</v>
      </c>
      <c r="E12" s="30">
        <f>VALUE('disclosed1-1'!B13)</f>
        <v>0.16070000000000001</v>
      </c>
      <c r="F12" s="30">
        <f>VALUE('disclosed1-1'!C13)</f>
        <v>0.16320000000000001</v>
      </c>
      <c r="G12" s="30">
        <f>VALUE('disclosed1-1'!D13)</f>
        <v>0.15659999999999999</v>
      </c>
      <c r="H12" s="30">
        <f>VALUE('disclosed1-1'!E13)</f>
        <v>0.14299999999999999</v>
      </c>
    </row>
    <row r="13" spans="2:8" hidden="1">
      <c r="E13" s="30">
        <f>VALUE('disclosed1-1'!B14)</f>
        <v>-0.36720000000000003</v>
      </c>
      <c r="F13" s="30">
        <f>VALUE('disclosed1-1'!C14)</f>
        <v>-0.3695</v>
      </c>
      <c r="G13" s="30">
        <f>VALUE('disclosed1-1'!D14)</f>
        <v>-0.3634</v>
      </c>
      <c r="H13" s="30">
        <f>VALUE('disclosed1-1'!E14)</f>
        <v>-0.35010000000000002</v>
      </c>
    </row>
    <row r="14" spans="2:8" hidden="1">
      <c r="B14" t="s">
        <v>87</v>
      </c>
      <c r="D14" t="str">
        <f>'disclosed1-1'!A15</f>
        <v>hisp</v>
      </c>
      <c r="E14" s="30">
        <f>VALUE('disclosed1-1'!B15)</f>
        <v>0.13339999999999999</v>
      </c>
      <c r="F14" s="30">
        <f>VALUE('disclosed1-1'!C15)</f>
        <v>0.1295</v>
      </c>
      <c r="G14" s="30">
        <f>VALUE('disclosed1-1'!D15)</f>
        <v>0.1396</v>
      </c>
      <c r="H14" s="30">
        <f>VALUE('disclosed1-1'!E15)</f>
        <v>0.12280000000000001</v>
      </c>
    </row>
    <row r="15" spans="2:8" hidden="1">
      <c r="E15" s="30">
        <f>VALUE('disclosed1-1'!B16)</f>
        <v>-0.34</v>
      </c>
      <c r="F15" s="30">
        <f>VALUE('disclosed1-1'!C16)</f>
        <v>-0.33579999999999999</v>
      </c>
      <c r="G15" s="30">
        <f>VALUE('disclosed1-1'!D16)</f>
        <v>-0.34660000000000002</v>
      </c>
      <c r="H15" s="30">
        <f>VALUE('disclosed1-1'!E16)</f>
        <v>-0.32819999999999999</v>
      </c>
    </row>
    <row r="16" spans="2:8" ht="17" customHeight="1">
      <c r="B16" t="s">
        <v>193</v>
      </c>
      <c r="E16" s="30"/>
      <c r="F16" s="30"/>
      <c r="G16" s="30"/>
      <c r="H16" s="30"/>
    </row>
    <row r="17" spans="2:8">
      <c r="C17" s="3">
        <v>1</v>
      </c>
      <c r="D17" t="str">
        <f>'disclosed1-1'!A17</f>
        <v>czcnt1</v>
      </c>
      <c r="E17" s="30">
        <f>VALUE('disclosed1-1'!B17)</f>
        <v>0.78600000000000003</v>
      </c>
      <c r="F17" s="30">
        <f>VALUE('disclosed1-1'!C17)</f>
        <v>0.82399999999999995</v>
      </c>
      <c r="G17" s="30">
        <f>VALUE('disclosed1-1'!D17)</f>
        <v>0.7248</v>
      </c>
      <c r="H17" s="30">
        <f>VALUE('disclosed1-1'!E17)</f>
        <v>0.99929999999999997</v>
      </c>
    </row>
    <row r="18" spans="2:8" hidden="1">
      <c r="E18" s="30">
        <f>VALUE('disclosed1-1'!B18)</f>
        <v>-0.41010000000000002</v>
      </c>
      <c r="F18" s="30">
        <f>VALUE('disclosed1-1'!C18)</f>
        <v>-0.38080000000000003</v>
      </c>
      <c r="G18" s="30">
        <f>VALUE('disclosed1-1'!D18)</f>
        <v>-0.4466</v>
      </c>
      <c r="H18" s="30">
        <f>VALUE('disclosed1-1'!E18)</f>
        <v>-2.6339999999999999E-2</v>
      </c>
    </row>
    <row r="19" spans="2:8">
      <c r="C19" s="3">
        <v>2</v>
      </c>
      <c r="D19" t="str">
        <f>'disclosed1-1'!A19</f>
        <v>czcnt2</v>
      </c>
      <c r="E19" s="30">
        <f>VALUE('disclosed1-1'!B19)</f>
        <v>0.1734</v>
      </c>
      <c r="F19" s="30">
        <f>VALUE('disclosed1-1'!C19)</f>
        <v>0.1434</v>
      </c>
      <c r="G19" s="30">
        <f>VALUE('disclosed1-1'!D19)</f>
        <v>0.2218</v>
      </c>
      <c r="H19" s="30">
        <f>VALUE('disclosed1-1'!E19)</f>
        <v>6.9419999999999996E-4</v>
      </c>
    </row>
    <row r="20" spans="2:8" hidden="1">
      <c r="E20" s="30">
        <f>VALUE('disclosed1-1'!B20)</f>
        <v>-0.37859999999999999</v>
      </c>
      <c r="F20" s="30">
        <f>VALUE('disclosed1-1'!C20)</f>
        <v>-0.35039999999999999</v>
      </c>
      <c r="G20" s="30">
        <f>VALUE('disclosed1-1'!D20)</f>
        <v>-0.41539999999999999</v>
      </c>
      <c r="H20" s="30">
        <f>VALUE('disclosed1-1'!E20)</f>
        <v>-2.6339999999999999E-2</v>
      </c>
    </row>
    <row r="21" spans="2:8">
      <c r="C21" s="3" t="s">
        <v>88</v>
      </c>
      <c r="D21" t="str">
        <f>'disclosed1-1'!A21</f>
        <v>czcnt3</v>
      </c>
      <c r="E21" s="30">
        <f>VALUE('disclosed1-1'!B21)</f>
        <v>4.0570000000000002E-2</v>
      </c>
      <c r="F21" s="30">
        <f>VALUE('disclosed1-1'!C21)</f>
        <v>3.2590000000000001E-2</v>
      </c>
      <c r="G21" s="30">
        <f>VALUE('disclosed1-1'!D21)</f>
        <v>5.3409999999999999E-2</v>
      </c>
      <c r="H21" s="30">
        <f>VALUE('disclosed1-1'!E21)</f>
        <v>0</v>
      </c>
    </row>
    <row r="22" spans="2:8" hidden="1">
      <c r="E22" s="30">
        <f>VALUE('disclosed1-1'!B22)</f>
        <v>-0.1973</v>
      </c>
      <c r="F22" s="30">
        <f>VALUE('disclosed1-1'!C22)</f>
        <v>-0.17760000000000001</v>
      </c>
      <c r="G22" s="30">
        <f>VALUE('disclosed1-1'!D22)</f>
        <v>-0.2248</v>
      </c>
      <c r="H22" s="30">
        <f>VALUE('disclosed1-1'!E22)</f>
        <v>0</v>
      </c>
    </row>
    <row r="23" spans="2:8">
      <c r="B23" t="s">
        <v>194</v>
      </c>
      <c r="E23" s="30"/>
      <c r="F23" s="30"/>
      <c r="G23" s="30"/>
      <c r="H23" s="30"/>
    </row>
    <row r="24" spans="2:8">
      <c r="C24" s="3">
        <v>0</v>
      </c>
      <c r="D24" t="str">
        <f>'disclosed1-1'!A23</f>
        <v>naics4dswitch0</v>
      </c>
      <c r="E24" s="30">
        <f>VALUE('disclosed1-1'!B23)</f>
        <v>0.61660000000000004</v>
      </c>
      <c r="F24" s="30">
        <v>1</v>
      </c>
      <c r="G24" s="30">
        <f>VALUE('disclosed1-1'!D23)</f>
        <v>0</v>
      </c>
      <c r="H24" s="30">
        <f>VALUE('disclosed1-1'!E23)</f>
        <v>0</v>
      </c>
    </row>
    <row r="25" spans="2:8" hidden="1">
      <c r="E25" s="30">
        <f>VALUE('disclosed1-1'!B24)</f>
        <v>-0.48620000000000002</v>
      </c>
      <c r="F25" s="30">
        <f>VALUE('disclosed1-1'!C24)</f>
        <v>0</v>
      </c>
      <c r="G25" s="30">
        <f>VALUE('disclosed1-1'!D24)</f>
        <v>0</v>
      </c>
      <c r="H25" s="30">
        <f>VALUE('disclosed1-1'!E24)</f>
        <v>0</v>
      </c>
    </row>
    <row r="26" spans="2:8">
      <c r="C26" s="3">
        <v>1</v>
      </c>
      <c r="D26" t="str">
        <f>'disclosed1-1'!A25</f>
        <v>naics4dswitch1</v>
      </c>
      <c r="E26" s="30">
        <f>VALUE('disclosed1-1'!B25)</f>
        <v>0.26069999999999999</v>
      </c>
      <c r="F26" s="30">
        <f>VALUE('disclosed1-1'!C25)</f>
        <v>0</v>
      </c>
      <c r="G26" s="30">
        <f>VALUE('disclosed1-1'!D25)</f>
        <v>0.68</v>
      </c>
      <c r="H26" s="30">
        <v>1</v>
      </c>
    </row>
    <row r="27" spans="2:8" hidden="1">
      <c r="E27" s="30">
        <f>VALUE('disclosed1-1'!B26)</f>
        <v>-0.439</v>
      </c>
      <c r="F27" s="30">
        <f>VALUE('disclosed1-1'!C26)</f>
        <v>0</v>
      </c>
      <c r="G27" s="30">
        <f>VALUE('disclosed1-1'!D26)</f>
        <v>-0.46650000000000003</v>
      </c>
      <c r="H27" s="30">
        <f>VALUE('disclosed1-1'!E26)</f>
        <v>0</v>
      </c>
    </row>
    <row r="28" spans="2:8">
      <c r="C28" s="3" t="s">
        <v>90</v>
      </c>
      <c r="D28" t="str">
        <f>'disclosed1-1'!A27</f>
        <v>naics4dswitch2</v>
      </c>
      <c r="E28" s="30">
        <f>VALUE('disclosed1-1'!B27)</f>
        <v>0.1227</v>
      </c>
      <c r="F28" s="30">
        <f>VALUE('disclosed1-1'!C27)</f>
        <v>0</v>
      </c>
      <c r="G28" s="30">
        <f>VALUE('disclosed1-1'!D27)</f>
        <v>0.32</v>
      </c>
      <c r="H28" s="30">
        <f>VALUE('disclosed1-1'!E27)</f>
        <v>0</v>
      </c>
    </row>
    <row r="29" spans="2:8" hidden="1">
      <c r="E29" s="30">
        <f>VALUE('disclosed1-1'!B28)</f>
        <v>-0.3281</v>
      </c>
      <c r="F29" s="30">
        <f>VALUE('disclosed1-1'!C28)</f>
        <v>0</v>
      </c>
      <c r="G29" s="30">
        <f>VALUE('disclosed1-1'!D28)</f>
        <v>-0.46650000000000003</v>
      </c>
      <c r="H29" s="30">
        <f>VALUE('disclosed1-1'!E28)</f>
        <v>0</v>
      </c>
    </row>
    <row r="30" spans="2:8">
      <c r="B30" t="s">
        <v>190</v>
      </c>
      <c r="D30" t="str">
        <f>'disclosed1-1'!A29</f>
        <v>qobserved</v>
      </c>
      <c r="E30" s="32">
        <f>VALUE('disclosed1-1'!B29)</f>
        <v>25.85</v>
      </c>
      <c r="F30" s="32">
        <f>VALUE('disclosed1-1'!C29)</f>
        <v>27.19</v>
      </c>
      <c r="G30" s="32">
        <f>VALUE('disclosed1-1'!D29)</f>
        <v>23.7</v>
      </c>
      <c r="H30" s="32">
        <f>VALUE('disclosed1-1'!E29)</f>
        <v>10.01</v>
      </c>
    </row>
    <row r="31" spans="2:8">
      <c r="B31" t="s">
        <v>191</v>
      </c>
      <c r="E31" s="32">
        <f>VALUE('disclosed1-1'!B30)</f>
        <v>-7.6829999999999998</v>
      </c>
      <c r="F31" s="32">
        <f>VALUE('disclosed1-1'!C30)</f>
        <v>-7.7569999999999997</v>
      </c>
      <c r="G31" s="32">
        <f>VALUE('disclosed1-1'!D30)</f>
        <v>-7.0449999999999999</v>
      </c>
      <c r="H31" s="32">
        <f>VALUE('disclosed1-1'!E30)</f>
        <v>-0.26340000000000002</v>
      </c>
    </row>
    <row r="32" spans="2:8" ht="23.25" customHeight="1">
      <c r="B32" t="s">
        <v>195</v>
      </c>
      <c r="D32" t="str">
        <f>'disclosed1-1'!A31</f>
        <v>Observations</v>
      </c>
      <c r="E32" s="31">
        <f>VALUE('disclosed1-1'!B31)/1000000</f>
        <v>2505</v>
      </c>
      <c r="F32" s="31">
        <f>VALUE('disclosed1-1'!C31)/1000000</f>
        <v>1544</v>
      </c>
      <c r="G32" s="32">
        <f>VALUE('disclosed1-1'!D31)/1000000</f>
        <v>960.4</v>
      </c>
      <c r="H32" s="32">
        <f>VALUE('disclosed1-1'!E31)/1000000</f>
        <v>87.39</v>
      </c>
    </row>
    <row r="33" spans="2:8" ht="17" customHeight="1">
      <c r="B33" s="4" t="s">
        <v>89</v>
      </c>
      <c r="C33" s="5"/>
      <c r="D33" s="4" t="str">
        <f>'disclosed1-1'!A32</f>
        <v>Unique PIKs</v>
      </c>
      <c r="E33" s="34">
        <f>VALUE('disclosed1-1'!B32)/1000000</f>
        <v>111.7</v>
      </c>
      <c r="F33" s="34">
        <f>VALUE('disclosed1-1'!C32)/1000000</f>
        <v>65.67</v>
      </c>
      <c r="G33" s="34">
        <f>VALUE('disclosed1-1'!D32)/1000000</f>
        <v>46.05</v>
      </c>
      <c r="H33" s="34">
        <f>VALUE('disclosed1-1'!E32)/1000000</f>
        <v>8.7360000000000007</v>
      </c>
    </row>
    <row r="34" spans="2:8" ht="14" customHeight="1"/>
    <row r="35" spans="2:8" ht="89" customHeight="1">
      <c r="B35" s="143" t="s">
        <v>196</v>
      </c>
      <c r="C35" s="143"/>
      <c r="D35" s="143"/>
      <c r="E35" s="143"/>
      <c r="F35" s="143"/>
      <c r="G35" s="143"/>
      <c r="H35" s="143"/>
    </row>
  </sheetData>
  <mergeCells count="1">
    <mergeCell ref="B35:H35"/>
  </mergeCells>
  <pageMargins left="0.7" right="0.7" top="0.75" bottom="0.75" header="0.3" footer="0.3"/>
  <pageSetup orientation="portrait" horizontalDpi="1200" verticalDpi="1200" r:id="rId1"/>
  <headerFooter>
    <oddFooter>&amp;R&amp;K00000052</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71DC-161F-2A4D-9627-FE6C20CB5206}">
  <sheetPr>
    <tabColor theme="9"/>
  </sheetPr>
  <dimension ref="B2:AI36"/>
  <sheetViews>
    <sheetView workbookViewId="0">
      <selection activeCell="C26" sqref="C26"/>
    </sheetView>
  </sheetViews>
  <sheetFormatPr baseColWidth="10" defaultColWidth="8.83203125" defaultRowHeight="15"/>
  <cols>
    <col min="1" max="1" width="8.83203125" style="66"/>
    <col min="2" max="2" width="5.5" style="66" customWidth="1"/>
    <col min="3" max="3" width="30.1640625" style="66" customWidth="1"/>
    <col min="4" max="4" width="9.6640625" style="66" customWidth="1"/>
    <col min="5" max="5" width="7.5" style="66" customWidth="1"/>
    <col min="6" max="6" width="7.1640625" style="66" customWidth="1"/>
    <col min="7" max="7" width="8.1640625" style="66" customWidth="1"/>
    <col min="8" max="8" width="1.33203125" style="66" customWidth="1"/>
    <col min="9" max="9" width="11.6640625" style="66" hidden="1" customWidth="1"/>
    <col min="10" max="10" width="7.33203125" style="66" customWidth="1"/>
    <col min="11" max="11" width="7.83203125" style="66" customWidth="1"/>
    <col min="12" max="12" width="8.83203125" style="66"/>
    <col min="13" max="13" width="15.5" style="66" customWidth="1"/>
    <col min="14" max="18" width="8.83203125" style="66"/>
    <col min="19" max="19" width="14.5" style="66" customWidth="1"/>
    <col min="20" max="16384" width="8.83203125" style="66"/>
  </cols>
  <sheetData>
    <row r="2" spans="2:35" ht="24.5" customHeight="1">
      <c r="B2" s="89" t="s">
        <v>325</v>
      </c>
      <c r="C2" s="89"/>
      <c r="D2" s="89"/>
      <c r="E2" s="89"/>
      <c r="F2" s="89"/>
      <c r="G2" s="89"/>
      <c r="H2" s="89"/>
      <c r="I2" s="90"/>
      <c r="J2" s="90"/>
      <c r="K2" s="90"/>
    </row>
    <row r="3" spans="2:35" ht="32" customHeight="1">
      <c r="B3" s="91"/>
      <c r="C3" s="91"/>
      <c r="D3" s="144" t="s">
        <v>326</v>
      </c>
      <c r="E3" s="145"/>
      <c r="F3" s="145"/>
      <c r="G3" s="145"/>
      <c r="H3" s="92"/>
      <c r="I3" s="146" t="s">
        <v>327</v>
      </c>
      <c r="J3" s="146"/>
      <c r="K3" s="146"/>
    </row>
    <row r="4" spans="2:35" ht="17">
      <c r="B4" s="90"/>
      <c r="C4" s="90"/>
      <c r="D4" s="93" t="s">
        <v>328</v>
      </c>
      <c r="E4" s="93" t="s">
        <v>111</v>
      </c>
      <c r="F4" s="125" t="s">
        <v>111</v>
      </c>
      <c r="G4" s="93" t="s">
        <v>111</v>
      </c>
      <c r="H4" s="123"/>
      <c r="I4" s="124"/>
      <c r="J4" s="125" t="s">
        <v>111</v>
      </c>
      <c r="K4" s="93" t="s">
        <v>111</v>
      </c>
    </row>
    <row r="5" spans="2:35" ht="17">
      <c r="B5" s="90"/>
      <c r="C5" s="90"/>
      <c r="D5" s="93" t="s">
        <v>331</v>
      </c>
      <c r="E5" s="93" t="s">
        <v>364</v>
      </c>
      <c r="F5" s="125" t="s">
        <v>375</v>
      </c>
      <c r="G5" s="93" t="s">
        <v>330</v>
      </c>
      <c r="H5" s="123"/>
      <c r="I5" s="124"/>
      <c r="J5" s="125" t="s">
        <v>375</v>
      </c>
      <c r="K5" s="93" t="s">
        <v>330</v>
      </c>
    </row>
    <row r="6" spans="2:35" ht="16">
      <c r="B6" s="90"/>
      <c r="C6" s="90"/>
      <c r="D6" s="90"/>
      <c r="E6" s="93" t="s">
        <v>332</v>
      </c>
      <c r="F6" s="93" t="s">
        <v>374</v>
      </c>
      <c r="G6" s="93" t="s">
        <v>333</v>
      </c>
      <c r="H6" s="93"/>
      <c r="I6" s="93"/>
      <c r="J6" s="93" t="s">
        <v>374</v>
      </c>
      <c r="K6" s="93" t="s">
        <v>333</v>
      </c>
    </row>
    <row r="7" spans="2:35" ht="16">
      <c r="B7" s="90"/>
      <c r="C7" s="90"/>
      <c r="F7" s="93" t="s">
        <v>379</v>
      </c>
      <c r="H7" s="90"/>
      <c r="I7" s="93" t="s">
        <v>329</v>
      </c>
      <c r="J7" s="93" t="s">
        <v>379</v>
      </c>
    </row>
    <row r="8" spans="2:35" ht="16">
      <c r="B8" s="94" t="s">
        <v>335</v>
      </c>
      <c r="C8" s="95" t="s">
        <v>336</v>
      </c>
      <c r="D8" s="126"/>
      <c r="E8" s="126"/>
      <c r="F8" s="103" t="s">
        <v>380</v>
      </c>
      <c r="G8" s="126"/>
      <c r="H8" s="95"/>
      <c r="I8" s="103" t="s">
        <v>334</v>
      </c>
      <c r="J8" s="103" t="s">
        <v>380</v>
      </c>
      <c r="K8" s="126"/>
    </row>
    <row r="9" spans="2:35" ht="16">
      <c r="B9" s="104"/>
      <c r="C9" s="104"/>
      <c r="D9" s="96" t="s">
        <v>271</v>
      </c>
      <c r="E9" s="96" t="s">
        <v>272</v>
      </c>
      <c r="F9" s="96" t="s">
        <v>273</v>
      </c>
      <c r="G9" s="96" t="s">
        <v>274</v>
      </c>
      <c r="H9" s="90"/>
      <c r="I9" s="96" t="s">
        <v>337</v>
      </c>
      <c r="J9" s="96" t="s">
        <v>337</v>
      </c>
      <c r="K9" s="96" t="s">
        <v>338</v>
      </c>
    </row>
    <row r="10" spans="2:35" ht="19">
      <c r="B10" s="66">
        <f>'t2'!A2</f>
        <v>11</v>
      </c>
      <c r="C10" s="90" t="s">
        <v>307</v>
      </c>
      <c r="D10" s="98">
        <f>'t2'!D2</f>
        <v>5.7974317999999999E-3</v>
      </c>
      <c r="E10" s="99">
        <f>'t2'!E2</f>
        <v>9.1196379850566398</v>
      </c>
      <c r="F10" s="99">
        <f>'t2'!F2</f>
        <v>-0.23639491000000001</v>
      </c>
      <c r="G10" s="99">
        <f>'t2'!G2</f>
        <v>0.160019944564955</v>
      </c>
      <c r="H10" s="90"/>
      <c r="I10" s="99" t="e">
        <f>+#REF!</f>
        <v>#REF!</v>
      </c>
      <c r="J10" s="99">
        <f>'t2'!L2</f>
        <v>-0.19985279</v>
      </c>
      <c r="K10" s="99">
        <f>'t2'!K2</f>
        <v>8.7610437999999999E-2</v>
      </c>
      <c r="N10" s="83"/>
      <c r="O10" s="84"/>
      <c r="P10" s="82"/>
      <c r="Y10" s="90"/>
      <c r="AC10" s="98"/>
      <c r="AD10" s="99"/>
      <c r="AE10" s="99"/>
      <c r="AF10" s="99"/>
      <c r="AG10" s="90"/>
      <c r="AH10" s="99"/>
      <c r="AI10" s="99"/>
    </row>
    <row r="11" spans="2:35" ht="19">
      <c r="B11" s="66">
        <f>'t2'!A3</f>
        <v>21</v>
      </c>
      <c r="C11" s="90" t="s">
        <v>308</v>
      </c>
      <c r="D11" s="98">
        <f>'t2'!D3</f>
        <v>6.9294511000000001E-3</v>
      </c>
      <c r="E11" s="99">
        <f>'t2'!E3</f>
        <v>9.9076928616696396</v>
      </c>
      <c r="F11" s="99">
        <f>'t2'!F3</f>
        <v>7.8292206000000003E-2</v>
      </c>
      <c r="G11" s="99">
        <f>'t2'!G3</f>
        <v>0.62160186092066605</v>
      </c>
      <c r="H11" s="90"/>
      <c r="I11" s="99" t="e">
        <f>+#REF!</f>
        <v>#REF!</v>
      </c>
      <c r="J11" s="99">
        <f>'t2'!L3</f>
        <v>-2.0007470999999999E-2</v>
      </c>
      <c r="K11" s="99">
        <f>'t2'!K3</f>
        <v>0.62296510000000005</v>
      </c>
      <c r="N11" s="83"/>
      <c r="O11" s="84"/>
      <c r="P11" s="82"/>
      <c r="Y11" s="90"/>
      <c r="AC11" s="98"/>
      <c r="AD11" s="99"/>
      <c r="AE11" s="99"/>
      <c r="AF11" s="99"/>
      <c r="AG11" s="90"/>
      <c r="AH11" s="99"/>
      <c r="AI11" s="99"/>
    </row>
    <row r="12" spans="2:35" ht="19">
      <c r="B12" s="66">
        <f>'t2'!A4</f>
        <v>22</v>
      </c>
      <c r="C12" s="90" t="s">
        <v>309</v>
      </c>
      <c r="D12" s="98">
        <f>'t2'!D4</f>
        <v>8.9415750000000002E-3</v>
      </c>
      <c r="E12" s="99">
        <f>'t2'!E4</f>
        <v>9.8835471268473398</v>
      </c>
      <c r="F12" s="99">
        <f>'t2'!F4</f>
        <v>0.19579440000000001</v>
      </c>
      <c r="G12" s="99">
        <f>'t2'!G4</f>
        <v>0.48822169040496499</v>
      </c>
      <c r="H12" s="90"/>
      <c r="I12" s="99" t="e">
        <f>+#REF!</f>
        <v>#REF!</v>
      </c>
      <c r="J12" s="99">
        <f>'t2'!L4</f>
        <v>0.10925989999999999</v>
      </c>
      <c r="K12" s="99">
        <f>'t2'!K4</f>
        <v>0.60447340999999999</v>
      </c>
      <c r="N12" s="83"/>
      <c r="O12" s="84"/>
      <c r="P12" s="82"/>
      <c r="Y12" s="90"/>
      <c r="AC12" s="98"/>
      <c r="AD12" s="99"/>
      <c r="AE12" s="99"/>
      <c r="AF12" s="99"/>
      <c r="AG12" s="90"/>
      <c r="AH12" s="99"/>
      <c r="AI12" s="99"/>
    </row>
    <row r="13" spans="2:35" ht="19">
      <c r="B13" s="66">
        <f>'t2'!A5</f>
        <v>23</v>
      </c>
      <c r="C13" s="90" t="s">
        <v>310</v>
      </c>
      <c r="D13" s="98">
        <f>'t2'!D5</f>
        <v>5.1243286999999998E-2</v>
      </c>
      <c r="E13" s="99">
        <f>'t2'!E5</f>
        <v>9.4804553542908305</v>
      </c>
      <c r="F13" s="99">
        <f>'t2'!F5</f>
        <v>1.8735725000000002E-2</v>
      </c>
      <c r="G13" s="99">
        <f>'t2'!G5</f>
        <v>0.25197943983483301</v>
      </c>
      <c r="H13" s="90"/>
      <c r="I13" s="99" t="e">
        <f>+#REF!</f>
        <v>#REF!</v>
      </c>
      <c r="J13" s="99">
        <f>'t2'!L5</f>
        <v>-5.8517601000000002E-2</v>
      </c>
      <c r="K13" s="99">
        <f>'t2'!K5</f>
        <v>0.35374468999999997</v>
      </c>
      <c r="N13" s="83"/>
      <c r="O13" s="84"/>
      <c r="P13" s="82"/>
      <c r="Y13" s="90"/>
      <c r="AC13" s="98"/>
      <c r="AD13" s="99"/>
      <c r="AE13" s="99"/>
      <c r="AF13" s="99"/>
      <c r="AG13" s="90"/>
      <c r="AH13" s="99"/>
      <c r="AI13" s="99"/>
    </row>
    <row r="14" spans="2:35" ht="19">
      <c r="B14" s="66">
        <f>'t2'!A6</f>
        <v>31</v>
      </c>
      <c r="C14" s="90" t="s">
        <v>311</v>
      </c>
      <c r="D14" s="98">
        <f>'t2'!D6</f>
        <v>0.12045356</v>
      </c>
      <c r="E14" s="99">
        <f>'t2'!E6</f>
        <v>9.4966835247949994</v>
      </c>
      <c r="F14" s="99">
        <f>'t2'!F6</f>
        <v>-5.4122380999999997E-2</v>
      </c>
      <c r="G14" s="99">
        <f>'t2'!G6</f>
        <v>0.35077907654268597</v>
      </c>
      <c r="H14" s="90"/>
      <c r="I14" s="99" t="e">
        <f>+#REF!</f>
        <v>#REF!</v>
      </c>
      <c r="J14" s="99">
        <f>'t2'!L6</f>
        <v>1.6122886999999999E-2</v>
      </c>
      <c r="K14" s="99">
        <f>'t2'!K6</f>
        <v>0.37315267000000002</v>
      </c>
      <c r="N14" s="83"/>
      <c r="O14" s="84"/>
      <c r="P14" s="82"/>
      <c r="Y14" s="90"/>
      <c r="AC14" s="98"/>
      <c r="AD14" s="99"/>
      <c r="AE14" s="99"/>
      <c r="AF14" s="99"/>
      <c r="AG14" s="90"/>
      <c r="AH14" s="99"/>
      <c r="AI14" s="99"/>
    </row>
    <row r="15" spans="2:35" ht="19">
      <c r="B15" s="66">
        <f>'t2'!A7</f>
        <v>42</v>
      </c>
      <c r="C15" s="90" t="s">
        <v>312</v>
      </c>
      <c r="D15" s="98">
        <f>'t2'!D7</f>
        <v>5.2153930000000001E-2</v>
      </c>
      <c r="E15" s="99">
        <f>'t2'!E7</f>
        <v>9.5765202241342298</v>
      </c>
      <c r="F15" s="99">
        <f>'t2'!F7</f>
        <v>8.0336347000000002E-2</v>
      </c>
      <c r="G15" s="99">
        <f>'t2'!G7</f>
        <v>0.29539186058972999</v>
      </c>
      <c r="H15" s="90"/>
      <c r="I15" s="99" t="e">
        <f>+#REF!</f>
        <v>#REF!</v>
      </c>
      <c r="J15" s="99">
        <f>'t2'!L7</f>
        <v>3.2295260999999999E-2</v>
      </c>
      <c r="K15" s="99">
        <f>'t2'!K7</f>
        <v>0.34781816999999998</v>
      </c>
      <c r="N15" s="83"/>
      <c r="O15" s="84"/>
      <c r="P15" s="82"/>
      <c r="Y15" s="90"/>
      <c r="AC15" s="98"/>
      <c r="AD15" s="99"/>
      <c r="AE15" s="99"/>
      <c r="AF15" s="99"/>
      <c r="AG15" s="90"/>
      <c r="AH15" s="99"/>
      <c r="AI15" s="99"/>
    </row>
    <row r="16" spans="2:35" ht="19">
      <c r="B16" s="66">
        <f>'t2'!A8</f>
        <v>44</v>
      </c>
      <c r="C16" s="90" t="s">
        <v>313</v>
      </c>
      <c r="D16" s="98">
        <f>'t2'!D8</f>
        <v>8.6937322999999997E-2</v>
      </c>
      <c r="E16" s="99">
        <f>'t2'!E8</f>
        <v>9.1359557636318502</v>
      </c>
      <c r="F16" s="99">
        <f>'t2'!F8</f>
        <v>-0.15786937000000001</v>
      </c>
      <c r="G16" s="99">
        <f>'t2'!G8</f>
        <v>0.107345273821879</v>
      </c>
      <c r="H16" s="90"/>
      <c r="I16" s="99" t="e">
        <f>+#REF!</f>
        <v>#REF!</v>
      </c>
      <c r="J16" s="99">
        <f>'t2'!L8</f>
        <v>-0.14028744000000001</v>
      </c>
      <c r="K16" s="99">
        <f>'t2'!K8</f>
        <v>0.13417928000000001</v>
      </c>
      <c r="N16" s="83"/>
      <c r="O16" s="84"/>
      <c r="P16" s="82"/>
      <c r="Y16" s="90"/>
      <c r="AC16" s="98"/>
      <c r="AD16" s="99"/>
      <c r="AE16" s="99"/>
      <c r="AF16" s="99"/>
      <c r="AG16" s="90"/>
      <c r="AH16" s="99"/>
      <c r="AI16" s="99"/>
    </row>
    <row r="17" spans="2:35" ht="19">
      <c r="B17" s="66">
        <f>'t2'!A9</f>
        <v>48</v>
      </c>
      <c r="C17" s="90" t="s">
        <v>314</v>
      </c>
      <c r="D17" s="98">
        <f>'t2'!D9</f>
        <v>4.0178798000000002E-2</v>
      </c>
      <c r="E17" s="99">
        <f>'t2'!E9</f>
        <v>9.4009980822829693</v>
      </c>
      <c r="F17" s="99">
        <f>'t2'!F9</f>
        <v>-4.5566774999999997E-2</v>
      </c>
      <c r="G17" s="99">
        <f>'t2'!G9</f>
        <v>0.24470794362110601</v>
      </c>
      <c r="H17" s="90"/>
      <c r="I17" s="99" t="e">
        <f>+#REF!</f>
        <v>#REF!</v>
      </c>
      <c r="J17" s="99">
        <f>'t2'!L9</f>
        <v>-1.4589984E-2</v>
      </c>
      <c r="K17" s="99">
        <f>'t2'!K9</f>
        <v>0.30663061000000003</v>
      </c>
      <c r="N17" s="83"/>
      <c r="O17" s="84"/>
      <c r="P17" s="82"/>
      <c r="Y17" s="90"/>
      <c r="AC17" s="98"/>
      <c r="AD17" s="99"/>
      <c r="AE17" s="99"/>
      <c r="AF17" s="99"/>
      <c r="AG17" s="90"/>
      <c r="AH17" s="99"/>
      <c r="AI17" s="99"/>
    </row>
    <row r="18" spans="2:35" ht="19">
      <c r="B18" s="66">
        <f>'t2'!A10</f>
        <v>51</v>
      </c>
      <c r="C18" s="90" t="s">
        <v>315</v>
      </c>
      <c r="D18" s="98">
        <f>'t2'!D10</f>
        <v>2.6018278999999998E-2</v>
      </c>
      <c r="E18" s="99">
        <f>'t2'!E10</f>
        <v>9.7745928557180299</v>
      </c>
      <c r="F18" s="99">
        <f>'t2'!F10</f>
        <v>0.18977530000000001</v>
      </c>
      <c r="G18" s="99">
        <f>'t2'!G10</f>
        <v>0.38970665019717299</v>
      </c>
      <c r="H18" s="90"/>
      <c r="I18" s="99" t="e">
        <f>+#REF!</f>
        <v>#REF!</v>
      </c>
      <c r="J18" s="99">
        <f>'t2'!L10</f>
        <v>0.11969135</v>
      </c>
      <c r="K18" s="99">
        <f>'t2'!K10</f>
        <v>0.43130850999999998</v>
      </c>
      <c r="N18" s="83"/>
      <c r="O18" s="84"/>
      <c r="P18" s="82"/>
      <c r="Y18" s="90"/>
      <c r="AC18" s="98"/>
      <c r="AD18" s="99"/>
      <c r="AE18" s="99"/>
      <c r="AF18" s="99"/>
      <c r="AG18" s="90"/>
      <c r="AH18" s="99"/>
      <c r="AI18" s="99"/>
    </row>
    <row r="19" spans="2:35" ht="19">
      <c r="B19" s="66">
        <f>'t2'!A11</f>
        <v>52</v>
      </c>
      <c r="C19" s="90" t="s">
        <v>316</v>
      </c>
      <c r="D19" s="98">
        <f>'t2'!D11</f>
        <v>5.6744289000000003E-2</v>
      </c>
      <c r="E19" s="99">
        <f>'t2'!E11</f>
        <v>9.6926854376855598</v>
      </c>
      <c r="F19" s="99">
        <f>'t2'!F11</f>
        <v>0.17488569000000001</v>
      </c>
      <c r="G19" s="99">
        <f>'t2'!G11</f>
        <v>0.31782428623693099</v>
      </c>
      <c r="H19" s="90"/>
      <c r="I19" s="99" t="e">
        <f>+#REF!</f>
        <v>#REF!</v>
      </c>
      <c r="J19" s="99">
        <f>'t2'!L11</f>
        <v>0.11905921</v>
      </c>
      <c r="K19" s="99">
        <f>'t2'!K11</f>
        <v>0.51907389999999998</v>
      </c>
      <c r="N19" s="83"/>
      <c r="O19" s="84"/>
      <c r="P19" s="82"/>
      <c r="Y19" s="90"/>
      <c r="AC19" s="98"/>
      <c r="AD19" s="99"/>
      <c r="AE19" s="99"/>
      <c r="AF19" s="99"/>
      <c r="AG19" s="90"/>
      <c r="AH19" s="99"/>
      <c r="AI19" s="99"/>
    </row>
    <row r="20" spans="2:35" ht="19">
      <c r="B20" s="66">
        <f>'t2'!A12</f>
        <v>53</v>
      </c>
      <c r="C20" s="90" t="s">
        <v>317</v>
      </c>
      <c r="D20" s="98">
        <f>'t2'!D12</f>
        <v>1.5188340999999999E-2</v>
      </c>
      <c r="E20" s="99">
        <f>'t2'!E12</f>
        <v>9.3916468825570405</v>
      </c>
      <c r="F20" s="99">
        <f>'t2'!F12</f>
        <v>-2.7557532999999999E-2</v>
      </c>
      <c r="G20" s="99">
        <f>'t2'!G12</f>
        <v>0.22311722216381</v>
      </c>
      <c r="H20" s="90"/>
      <c r="I20" s="99" t="e">
        <f>+#REF!</f>
        <v>#REF!</v>
      </c>
      <c r="J20" s="99">
        <f>'t2'!L12</f>
        <v>5.0885566E-2</v>
      </c>
      <c r="K20" s="99">
        <f>'t2'!K12</f>
        <v>0.29658061000000002</v>
      </c>
      <c r="N20" s="83"/>
      <c r="O20" s="84"/>
      <c r="P20" s="82"/>
      <c r="Y20" s="90"/>
      <c r="AC20" s="98"/>
      <c r="AD20" s="99"/>
      <c r="AE20" s="99"/>
      <c r="AF20" s="99"/>
      <c r="AG20" s="90"/>
      <c r="AH20" s="99"/>
      <c r="AI20" s="99"/>
    </row>
    <row r="21" spans="2:35" ht="19">
      <c r="B21" s="66">
        <f>'t2'!A13</f>
        <v>54</v>
      </c>
      <c r="C21" s="90" t="s">
        <v>318</v>
      </c>
      <c r="D21" s="98">
        <f>'t2'!D13</f>
        <v>7.5251034999999994E-2</v>
      </c>
      <c r="E21" s="99">
        <f>'t2'!E13</f>
        <v>9.7950068491697202</v>
      </c>
      <c r="F21" s="99">
        <f>'t2'!F13</f>
        <v>0.27015549</v>
      </c>
      <c r="G21" s="99">
        <f>'t2'!G13</f>
        <v>0.32803653138097499</v>
      </c>
      <c r="H21" s="90"/>
      <c r="I21" s="99" t="e">
        <f>+#REF!</f>
        <v>#REF!</v>
      </c>
      <c r="J21" s="99">
        <f>'t2'!L13</f>
        <v>0.25779930000000001</v>
      </c>
      <c r="K21" s="99">
        <f>'t2'!K13</f>
        <v>0.47749208999999998</v>
      </c>
      <c r="N21" s="83"/>
      <c r="O21" s="84"/>
      <c r="P21" s="82"/>
      <c r="Y21" s="90"/>
      <c r="AC21" s="98"/>
      <c r="AD21" s="99"/>
      <c r="AE21" s="99"/>
      <c r="AF21" s="99"/>
      <c r="AG21" s="90"/>
      <c r="AH21" s="99"/>
      <c r="AI21" s="99"/>
    </row>
    <row r="22" spans="2:35" ht="19">
      <c r="B22" s="66">
        <f>'t2'!A14</f>
        <v>55</v>
      </c>
      <c r="C22" s="90" t="s">
        <v>319</v>
      </c>
      <c r="D22" s="98">
        <f>'t2'!D14</f>
        <v>2.1634324E-2</v>
      </c>
      <c r="E22" s="99">
        <f>'t2'!E14</f>
        <v>9.7210000000000001</v>
      </c>
      <c r="F22" s="99">
        <f>'t2'!F14</f>
        <v>0.18473975000000001</v>
      </c>
      <c r="G22" s="99">
        <f>'t2'!G14</f>
        <v>0.33679999999999999</v>
      </c>
      <c r="H22" s="90"/>
      <c r="I22" s="99" t="e">
        <f>+#REF!</f>
        <v>#REF!</v>
      </c>
      <c r="J22" s="99">
        <f>'t2'!L14</f>
        <v>0.2098082</v>
      </c>
      <c r="K22" s="99">
        <f>'t2'!K14</f>
        <v>0.56982100000000002</v>
      </c>
      <c r="N22" s="83"/>
      <c r="O22" s="84"/>
      <c r="P22" s="82"/>
      <c r="Y22" s="90"/>
      <c r="AC22" s="98"/>
      <c r="AD22" s="99"/>
      <c r="AE22" s="99"/>
      <c r="AF22" s="99"/>
      <c r="AG22" s="90"/>
      <c r="AH22" s="99"/>
      <c r="AI22" s="99"/>
    </row>
    <row r="23" spans="2:35" ht="19">
      <c r="B23" s="66">
        <f>'t2'!A15</f>
        <v>56</v>
      </c>
      <c r="C23" s="90" t="s">
        <v>320</v>
      </c>
      <c r="D23" s="98">
        <f>'t2'!D15</f>
        <v>4.6226549999999998E-2</v>
      </c>
      <c r="E23" s="99">
        <f>'t2'!E15</f>
        <v>9.2324616155247892</v>
      </c>
      <c r="F23" s="99">
        <f>'t2'!F15</f>
        <v>-0.14208186</v>
      </c>
      <c r="G23" s="99">
        <f>'t2'!G15</f>
        <v>0.17968352779624999</v>
      </c>
      <c r="H23" s="90"/>
      <c r="I23" s="99" t="e">
        <f>+#REF!</f>
        <v>#REF!</v>
      </c>
      <c r="J23" s="99">
        <f>'t2'!L15</f>
        <v>-0.11410385000000001</v>
      </c>
      <c r="K23" s="99">
        <f>'t2'!K15</f>
        <v>0.14522863999999999</v>
      </c>
      <c r="N23" s="83"/>
      <c r="O23" s="84"/>
      <c r="P23" s="82"/>
      <c r="Y23" s="90"/>
      <c r="AC23" s="98"/>
      <c r="AD23" s="99"/>
      <c r="AE23" s="99"/>
      <c r="AF23" s="99"/>
      <c r="AG23" s="90"/>
      <c r="AH23" s="99"/>
      <c r="AI23" s="99"/>
    </row>
    <row r="24" spans="2:35" ht="19">
      <c r="B24" s="66">
        <f>'t2'!A16</f>
        <v>61</v>
      </c>
      <c r="C24" s="90" t="s">
        <v>300</v>
      </c>
      <c r="D24" s="98">
        <f>'t2'!D16</f>
        <v>0.10498216</v>
      </c>
      <c r="E24" s="99">
        <f>'t2'!E16</f>
        <v>9.4037704754697398</v>
      </c>
      <c r="F24" s="99">
        <f>'t2'!F16</f>
        <v>6.8487816000000007E-2</v>
      </c>
      <c r="G24" s="99">
        <f>'t2'!G16</f>
        <v>0.13287123071481999</v>
      </c>
      <c r="H24" s="90"/>
      <c r="I24" s="99" t="e">
        <f>+#REF!</f>
        <v>#REF!</v>
      </c>
      <c r="J24" s="99">
        <f>'t2'!L16</f>
        <v>0.15497187000000001</v>
      </c>
      <c r="K24" s="99">
        <f>'t2'!K16</f>
        <v>0.16107546</v>
      </c>
      <c r="N24" s="83"/>
      <c r="O24" s="84"/>
      <c r="P24" s="82"/>
      <c r="Y24" s="90"/>
      <c r="AC24" s="98"/>
      <c r="AD24" s="99"/>
      <c r="AE24" s="99"/>
      <c r="AF24" s="99"/>
      <c r="AG24" s="90"/>
      <c r="AH24" s="99"/>
      <c r="AI24" s="99"/>
    </row>
    <row r="25" spans="2:35" ht="19">
      <c r="B25" s="66">
        <f>'t2'!A17</f>
        <v>62</v>
      </c>
      <c r="C25" s="90" t="s">
        <v>321</v>
      </c>
      <c r="D25" s="98">
        <f>'t2'!D17</f>
        <v>0.14639878000000001</v>
      </c>
      <c r="E25" s="99">
        <f>'t2'!E17</f>
        <v>9.3308918386046393</v>
      </c>
      <c r="F25" s="99">
        <f>'t2'!F17</f>
        <v>-5.8944006E-2</v>
      </c>
      <c r="G25" s="99">
        <f>'t2'!G17</f>
        <v>0.19171803698916201</v>
      </c>
      <c r="H25" s="90"/>
      <c r="I25" s="99" t="e">
        <f>+#REF!</f>
        <v>#REF!</v>
      </c>
      <c r="J25" s="99">
        <f>'t2'!L17</f>
        <v>1.9597745E-2</v>
      </c>
      <c r="K25" s="99">
        <f>'t2'!K17</f>
        <v>0.29603629999999997</v>
      </c>
      <c r="N25" s="83"/>
      <c r="O25" s="84"/>
      <c r="P25" s="82"/>
      <c r="Y25" s="90"/>
      <c r="AC25" s="98"/>
      <c r="AD25" s="99"/>
      <c r="AE25" s="99"/>
      <c r="AF25" s="99"/>
      <c r="AG25" s="90"/>
      <c r="AH25" s="99"/>
      <c r="AI25" s="99"/>
    </row>
    <row r="26" spans="2:35" ht="19">
      <c r="B26" s="66">
        <f>'t2'!A18</f>
        <v>71</v>
      </c>
      <c r="C26" s="90" t="s">
        <v>376</v>
      </c>
      <c r="D26" s="98">
        <f>'t2'!D18</f>
        <v>1.1545758999999999E-2</v>
      </c>
      <c r="E26" s="99">
        <f>'t2'!E18</f>
        <v>9.2483135200553193</v>
      </c>
      <c r="F26" s="99">
        <f>'t2'!F18</f>
        <v>-6.2411043999999999E-2</v>
      </c>
      <c r="G26" s="99">
        <f>'t2'!G18</f>
        <v>0.123999136237897</v>
      </c>
      <c r="H26" s="90"/>
      <c r="I26" s="99" t="e">
        <f>+#REF!</f>
        <v>#REF!</v>
      </c>
      <c r="J26" s="99">
        <f>'t2'!L18</f>
        <v>-8.9493825999999999E-2</v>
      </c>
      <c r="K26" s="99">
        <f>'t2'!K18</f>
        <v>0.13642942999999999</v>
      </c>
      <c r="N26" s="83"/>
      <c r="O26" s="84"/>
      <c r="P26" s="82"/>
      <c r="Y26" s="90"/>
      <c r="AC26" s="98"/>
      <c r="AD26" s="99"/>
      <c r="AE26" s="99"/>
      <c r="AF26" s="99"/>
      <c r="AG26" s="90"/>
      <c r="AH26" s="99"/>
      <c r="AI26" s="99"/>
    </row>
    <row r="27" spans="2:35" ht="19">
      <c r="B27" s="66">
        <f>'t2'!A19</f>
        <v>72</v>
      </c>
      <c r="C27" s="90" t="s">
        <v>323</v>
      </c>
      <c r="D27" s="98">
        <f>'t2'!D19</f>
        <v>4.2266577E-2</v>
      </c>
      <c r="E27" s="99">
        <f>'t2'!E19</f>
        <v>8.9529667516765805</v>
      </c>
      <c r="F27" s="99">
        <f>'t2'!F19</f>
        <v>-0.27402799999999999</v>
      </c>
      <c r="G27" s="99">
        <f>'t2'!G19</f>
        <v>3.8937392634682003E-2</v>
      </c>
      <c r="H27" s="90"/>
      <c r="I27" s="99" t="e">
        <f>+#REF!</f>
        <v>#REF!</v>
      </c>
      <c r="J27" s="99">
        <f>'t2'!L19</f>
        <v>-0.26706081999999998</v>
      </c>
      <c r="K27" s="99">
        <f>'t2'!K19</f>
        <v>3.8936999E-2</v>
      </c>
      <c r="N27" s="83"/>
      <c r="O27" s="84"/>
      <c r="P27" s="82"/>
      <c r="Y27" s="90"/>
      <c r="AC27" s="98"/>
      <c r="AD27" s="99"/>
      <c r="AE27" s="99"/>
      <c r="AF27" s="99"/>
      <c r="AG27" s="90"/>
      <c r="AH27" s="99"/>
      <c r="AI27" s="99"/>
    </row>
    <row r="28" spans="2:35" ht="19">
      <c r="B28" s="66">
        <f>'t2'!A20</f>
        <v>81</v>
      </c>
      <c r="C28" s="90" t="s">
        <v>377</v>
      </c>
      <c r="D28" s="98">
        <f>'t2'!D20</f>
        <v>2.4484433E-2</v>
      </c>
      <c r="E28" s="99">
        <f>'t2'!E20</f>
        <v>9.2595723230445603</v>
      </c>
      <c r="F28" s="99">
        <f>'t2'!F20</f>
        <v>-7.7182009999999995E-2</v>
      </c>
      <c r="G28" s="99">
        <f>'t2'!G20</f>
        <v>0.14395175577622299</v>
      </c>
      <c r="H28" s="90"/>
      <c r="I28" s="99" t="e">
        <f>+#REF!</f>
        <v>#REF!</v>
      </c>
      <c r="J28" s="99">
        <f>'t2'!L20</f>
        <v>-5.8123253E-2</v>
      </c>
      <c r="K28" s="99">
        <f>'t2'!K20</f>
        <v>0.1128398</v>
      </c>
      <c r="N28" s="83"/>
      <c r="O28" s="84"/>
      <c r="P28" s="82"/>
      <c r="Y28" s="90"/>
      <c r="AC28" s="98"/>
      <c r="AD28" s="99"/>
      <c r="AE28" s="99"/>
      <c r="AF28" s="99"/>
      <c r="AG28" s="90"/>
      <c r="AH28" s="99"/>
      <c r="AI28" s="99"/>
    </row>
    <row r="29" spans="2:35" ht="19">
      <c r="B29" s="66">
        <f>'t2'!A21</f>
        <v>92</v>
      </c>
      <c r="C29" s="90" t="s">
        <v>324</v>
      </c>
      <c r="D29" s="98">
        <f>'t2'!D21</f>
        <v>5.6624118000000001E-2</v>
      </c>
      <c r="E29" s="99">
        <f>'t2'!E21</f>
        <v>9.47100062044799</v>
      </c>
      <c r="F29" s="99">
        <f>'t2'!F21</f>
        <v>-1.0014789E-2</v>
      </c>
      <c r="G29" s="99">
        <f>'t2'!G21</f>
        <v>0.278932598901525</v>
      </c>
      <c r="H29" s="90"/>
      <c r="I29" s="99" t="e">
        <f>+#REF!</f>
        <v>#REF!</v>
      </c>
      <c r="J29" s="99">
        <f>'t2'!L21</f>
        <v>0.12519775</v>
      </c>
      <c r="K29" s="99">
        <f>'t2'!K21</f>
        <v>0.42675491999999998</v>
      </c>
      <c r="N29" s="83"/>
      <c r="O29" s="84"/>
      <c r="P29" s="82"/>
      <c r="Y29" s="90"/>
      <c r="AC29" s="98"/>
      <c r="AD29" s="99"/>
      <c r="AE29" s="99"/>
      <c r="AF29" s="99"/>
      <c r="AG29" s="90"/>
      <c r="AH29" s="99"/>
      <c r="AI29" s="99"/>
    </row>
    <row r="30" spans="2:35" ht="19">
      <c r="B30" s="95" t="s">
        <v>378</v>
      </c>
      <c r="C30" s="95"/>
      <c r="D30" s="128" t="s">
        <v>339</v>
      </c>
      <c r="E30" s="101">
        <f>'t2'!E22</f>
        <v>0.220780646660965</v>
      </c>
      <c r="F30" s="101">
        <f>'t2'!F22</f>
        <v>0.13721280999999999</v>
      </c>
      <c r="G30" s="101">
        <f>'t2'!G22</f>
        <v>0.10443361647175201</v>
      </c>
      <c r="H30" s="102" t="s">
        <v>340</v>
      </c>
      <c r="I30" s="101">
        <v>0.25</v>
      </c>
      <c r="J30" s="174">
        <f>'t2'!L22</f>
        <v>0.13770521999999999</v>
      </c>
      <c r="K30" s="101">
        <f>'t2'!K22</f>
        <v>0.14892778000000001</v>
      </c>
      <c r="N30" s="85"/>
      <c r="O30" s="84"/>
      <c r="P30" s="82"/>
      <c r="Y30" s="90"/>
      <c r="AC30" s="98"/>
      <c r="AD30" s="99"/>
      <c r="AE30" s="99"/>
      <c r="AF30" s="99"/>
      <c r="AG30" s="90"/>
      <c r="AH30" s="99"/>
      <c r="AI30" s="99"/>
    </row>
    <row r="31" spans="2:35" ht="16" customHeight="1">
      <c r="B31" s="86"/>
      <c r="C31" s="86"/>
      <c r="D31" s="87"/>
      <c r="E31" s="84"/>
      <c r="F31" s="84"/>
      <c r="G31" s="84"/>
      <c r="H31" s="88"/>
      <c r="I31" s="84"/>
      <c r="J31" s="84"/>
      <c r="K31" s="84"/>
      <c r="N31" s="83"/>
      <c r="O31" s="84"/>
      <c r="P31" s="82"/>
    </row>
    <row r="32" spans="2:35">
      <c r="B32" s="147" t="s">
        <v>369</v>
      </c>
      <c r="C32" s="148"/>
      <c r="D32" s="148"/>
      <c r="E32" s="148"/>
      <c r="F32" s="148"/>
      <c r="G32" s="148"/>
      <c r="H32" s="148"/>
      <c r="I32" s="148"/>
      <c r="J32" s="148"/>
      <c r="K32" s="148"/>
    </row>
    <row r="33" spans="2:15" ht="19">
      <c r="B33" s="148"/>
      <c r="C33" s="148"/>
      <c r="D33" s="148"/>
      <c r="E33" s="148"/>
      <c r="F33" s="148"/>
      <c r="G33" s="148"/>
      <c r="H33" s="148"/>
      <c r="I33" s="148"/>
      <c r="J33" s="148"/>
      <c r="K33" s="148"/>
      <c r="O33" s="84"/>
    </row>
    <row r="34" spans="2:15">
      <c r="B34" s="148"/>
      <c r="C34" s="148"/>
      <c r="D34" s="148"/>
      <c r="E34" s="148"/>
      <c r="F34" s="148"/>
      <c r="G34" s="148"/>
      <c r="H34" s="148"/>
      <c r="I34" s="148"/>
      <c r="J34" s="148"/>
      <c r="K34" s="148"/>
    </row>
    <row r="35" spans="2:15">
      <c r="B35" s="148"/>
      <c r="C35" s="148"/>
      <c r="D35" s="148"/>
      <c r="E35" s="148"/>
      <c r="F35" s="148"/>
      <c r="G35" s="148"/>
      <c r="H35" s="148"/>
      <c r="I35" s="148"/>
      <c r="J35" s="148"/>
      <c r="K35" s="148"/>
    </row>
    <row r="36" spans="2:15" ht="68" customHeight="1">
      <c r="B36" s="148"/>
      <c r="C36" s="148"/>
      <c r="D36" s="148"/>
      <c r="E36" s="148"/>
      <c r="F36" s="148"/>
      <c r="G36" s="148"/>
      <c r="H36" s="148"/>
      <c r="I36" s="148"/>
      <c r="J36" s="148"/>
      <c r="K36" s="148"/>
    </row>
  </sheetData>
  <mergeCells count="3">
    <mergeCell ref="D3:G3"/>
    <mergeCell ref="I3:K3"/>
    <mergeCell ref="B32:K36"/>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99A0-1A64-DE4D-8F5E-870BF62568B4}">
  <sheetPr>
    <tabColor theme="9"/>
  </sheetPr>
  <dimension ref="F2:AC30"/>
  <sheetViews>
    <sheetView workbookViewId="0">
      <selection activeCell="F37" sqref="F37"/>
    </sheetView>
  </sheetViews>
  <sheetFormatPr baseColWidth="10" defaultColWidth="8.83203125" defaultRowHeight="15"/>
  <cols>
    <col min="1" max="5" width="8.83203125" style="66"/>
    <col min="6" max="6" width="5.83203125" style="66" customWidth="1"/>
    <col min="7" max="7" width="22.5" style="66" customWidth="1"/>
    <col min="8" max="8" width="9.6640625" style="66" bestFit="1" customWidth="1"/>
    <col min="9" max="9" width="7.1640625" style="66" customWidth="1"/>
    <col min="10" max="10" width="7.1640625" style="66" bestFit="1" customWidth="1"/>
    <col min="11" max="11" width="7.83203125" style="66" customWidth="1"/>
    <col min="12" max="12" width="1.33203125" style="66" customWidth="1"/>
    <col min="13" max="13" width="7.6640625" style="66" customWidth="1"/>
    <col min="14" max="14" width="9.1640625" style="66" bestFit="1" customWidth="1"/>
    <col min="15" max="16384" width="8.83203125" style="66"/>
  </cols>
  <sheetData>
    <row r="2" spans="6:29" ht="35" customHeight="1">
      <c r="F2" s="149" t="s">
        <v>359</v>
      </c>
      <c r="G2" s="149"/>
      <c r="H2" s="149"/>
      <c r="I2" s="149"/>
      <c r="J2" s="149"/>
      <c r="K2" s="149"/>
      <c r="L2" s="149"/>
      <c r="M2" s="149"/>
      <c r="N2" s="149"/>
    </row>
    <row r="3" spans="6:29" ht="30" customHeight="1">
      <c r="F3" s="91"/>
      <c r="G3" s="91"/>
      <c r="H3" s="144" t="s">
        <v>326</v>
      </c>
      <c r="I3" s="145"/>
      <c r="J3" s="145"/>
      <c r="K3" s="145"/>
      <c r="L3" s="91"/>
      <c r="M3" s="146" t="s">
        <v>327</v>
      </c>
      <c r="N3" s="146"/>
    </row>
    <row r="4" spans="6:29" ht="17">
      <c r="F4" s="90"/>
      <c r="G4" s="90"/>
      <c r="H4" s="93" t="s">
        <v>328</v>
      </c>
      <c r="I4" s="93" t="s">
        <v>111</v>
      </c>
      <c r="J4" s="125" t="s">
        <v>111</v>
      </c>
      <c r="K4" s="93" t="s">
        <v>111</v>
      </c>
      <c r="L4" s="123"/>
      <c r="M4" s="125" t="s">
        <v>111</v>
      </c>
      <c r="N4" s="93" t="s">
        <v>111</v>
      </c>
    </row>
    <row r="5" spans="6:29" ht="17">
      <c r="F5" s="90"/>
      <c r="G5" s="90"/>
      <c r="H5" s="93" t="s">
        <v>331</v>
      </c>
      <c r="I5" s="93" t="s">
        <v>364</v>
      </c>
      <c r="J5" s="125" t="s">
        <v>375</v>
      </c>
      <c r="K5" s="93" t="s">
        <v>330</v>
      </c>
      <c r="L5" s="123"/>
      <c r="M5" s="125" t="s">
        <v>375</v>
      </c>
      <c r="N5" s="93" t="s">
        <v>330</v>
      </c>
    </row>
    <row r="6" spans="6:29" ht="16">
      <c r="F6" s="90"/>
      <c r="G6" s="90"/>
      <c r="H6" s="90"/>
      <c r="I6" s="93" t="s">
        <v>332</v>
      </c>
      <c r="J6" s="93" t="s">
        <v>374</v>
      </c>
      <c r="K6" s="93" t="s">
        <v>333</v>
      </c>
      <c r="L6" s="93"/>
      <c r="M6" s="93" t="s">
        <v>374</v>
      </c>
      <c r="N6" s="93" t="s">
        <v>333</v>
      </c>
    </row>
    <row r="7" spans="6:29" ht="16">
      <c r="F7" s="90"/>
      <c r="G7" s="90"/>
      <c r="J7" s="93" t="s">
        <v>379</v>
      </c>
      <c r="L7" s="90"/>
      <c r="M7" s="93" t="s">
        <v>379</v>
      </c>
    </row>
    <row r="8" spans="6:29" ht="16">
      <c r="F8" s="94" t="s">
        <v>335</v>
      </c>
      <c r="G8" s="95" t="s">
        <v>336</v>
      </c>
      <c r="H8" s="126"/>
      <c r="I8" s="126"/>
      <c r="J8" s="103" t="s">
        <v>380</v>
      </c>
      <c r="K8" s="126"/>
      <c r="L8" s="95"/>
      <c r="M8" s="103" t="s">
        <v>380</v>
      </c>
      <c r="N8" s="126"/>
    </row>
    <row r="9" spans="6:29" ht="16">
      <c r="F9" s="104"/>
      <c r="G9" s="104"/>
      <c r="H9" s="96" t="s">
        <v>271</v>
      </c>
      <c r="I9" s="96" t="s">
        <v>272</v>
      </c>
      <c r="J9" s="96" t="s">
        <v>273</v>
      </c>
      <c r="K9" s="96" t="s">
        <v>274</v>
      </c>
      <c r="L9" s="90"/>
      <c r="M9" s="96" t="s">
        <v>337</v>
      </c>
      <c r="N9" s="96" t="s">
        <v>338</v>
      </c>
    </row>
    <row r="10" spans="6:29" ht="21.5" customHeight="1">
      <c r="F10" s="105" t="s">
        <v>360</v>
      </c>
      <c r="G10" s="90" t="s">
        <v>341</v>
      </c>
      <c r="H10" s="98">
        <f>'t3'!C2/SUM('t2'!$C$2:$C$21)</f>
        <v>1.5261001207274307E-2</v>
      </c>
      <c r="I10" s="99">
        <f>'t3'!E2</f>
        <v>9.2838179249725297</v>
      </c>
      <c r="J10" s="99">
        <f>'t3'!F2</f>
        <v>-0.24407361</v>
      </c>
      <c r="K10" s="99">
        <f>'t3'!G2</f>
        <v>0.32482624653377201</v>
      </c>
      <c r="L10" s="93"/>
      <c r="M10" s="99">
        <f>'t3'!L2</f>
        <v>-0.12964386999999999</v>
      </c>
      <c r="N10" s="99">
        <f>'t3'!K2</f>
        <v>0.27415310999999998</v>
      </c>
      <c r="T10" s="93"/>
      <c r="X10" s="82"/>
      <c r="Y10" s="82"/>
      <c r="Z10" s="82"/>
      <c r="AB10" s="82"/>
      <c r="AC10" s="82"/>
    </row>
    <row r="11" spans="6:29" ht="16">
      <c r="F11" s="106" t="s">
        <v>361</v>
      </c>
      <c r="G11" s="90" t="s">
        <v>342</v>
      </c>
      <c r="H11" s="98">
        <f>'t3'!C3/SUM('t2'!$C$2:$C$21)</f>
        <v>2.0740046374663848E-3</v>
      </c>
      <c r="I11" s="99">
        <f>'t3'!E3</f>
        <v>9.1369249278151994</v>
      </c>
      <c r="J11" s="99">
        <f>'t3'!F3</f>
        <v>-0.29171222000000002</v>
      </c>
      <c r="K11" s="99">
        <f>'t3'!G3</f>
        <v>0.223044408084696</v>
      </c>
      <c r="L11" s="93"/>
      <c r="M11" s="99">
        <f>'t3'!L3</f>
        <v>-0.13622570000000001</v>
      </c>
      <c r="N11" s="99">
        <f>'t3'!K3</f>
        <v>0.22885812999999999</v>
      </c>
      <c r="T11" s="93"/>
      <c r="X11" s="82"/>
      <c r="Y11" s="82"/>
      <c r="Z11" s="82"/>
      <c r="AB11" s="82"/>
      <c r="AC11" s="82"/>
    </row>
    <row r="12" spans="6:29" ht="16">
      <c r="F12" s="106" t="s">
        <v>362</v>
      </c>
      <c r="G12" s="90" t="s">
        <v>343</v>
      </c>
      <c r="H12" s="98">
        <f>'t3'!C4/SUM('t2'!$C$2:$C$21)</f>
        <v>1.1845181442469226E-3</v>
      </c>
      <c r="I12" s="99">
        <f>'t3'!E4</f>
        <v>9.0988958543983802</v>
      </c>
      <c r="J12" s="99">
        <f>'t3'!F4</f>
        <v>-0.22897443000000001</v>
      </c>
      <c r="K12" s="99">
        <f>'t3'!G4</f>
        <v>0.14662460397708099</v>
      </c>
      <c r="L12" s="93"/>
      <c r="M12" s="99">
        <f>'t3'!L4</f>
        <v>-0.12995601000000001</v>
      </c>
      <c r="N12" s="99">
        <f>'t3'!K4</f>
        <v>0.14716404999999999</v>
      </c>
      <c r="T12" s="93"/>
      <c r="X12" s="82"/>
      <c r="Y12" s="82"/>
      <c r="Z12" s="82"/>
      <c r="AB12" s="82"/>
      <c r="AC12" s="82"/>
    </row>
    <row r="13" spans="6:29" ht="16">
      <c r="F13" s="97">
        <v>321</v>
      </c>
      <c r="G13" s="90" t="s">
        <v>344</v>
      </c>
      <c r="H13" s="98">
        <f>'t3'!C5/SUM('t2'!$C$2:$C$21)</f>
        <v>3.1790758283243162E-3</v>
      </c>
      <c r="I13" s="99">
        <f>'t3'!E5</f>
        <v>9.2031955293231196</v>
      </c>
      <c r="J13" s="99">
        <f>'t3'!F5</f>
        <v>-0.22424467000000001</v>
      </c>
      <c r="K13" s="99">
        <f>'t3'!G5</f>
        <v>0.21773520030139401</v>
      </c>
      <c r="L13" s="93"/>
      <c r="M13" s="99">
        <f>'t3'!L5</f>
        <v>-0.10726997000000001</v>
      </c>
      <c r="N13" s="99">
        <f>'t3'!K5</f>
        <v>0.21257707000000001</v>
      </c>
      <c r="T13" s="93"/>
      <c r="X13" s="82"/>
      <c r="Y13" s="82"/>
      <c r="Z13" s="82"/>
      <c r="AB13" s="82"/>
      <c r="AC13" s="82"/>
    </row>
    <row r="14" spans="6:29" ht="16">
      <c r="F14" s="97">
        <v>322</v>
      </c>
      <c r="G14" s="90" t="s">
        <v>345</v>
      </c>
      <c r="H14" s="98">
        <f>'t3'!C6/SUM('t2'!$C$2:$C$21)</f>
        <v>4.0529923156032216E-3</v>
      </c>
      <c r="I14" s="99">
        <f>'t3'!E6</f>
        <v>9.5325462962962906</v>
      </c>
      <c r="J14" s="99">
        <f>'t3'!F6</f>
        <v>-9.5454684999999997E-2</v>
      </c>
      <c r="K14" s="99">
        <f>'t3'!G6</f>
        <v>0.42831863672182802</v>
      </c>
      <c r="L14" s="93"/>
      <c r="M14" s="99">
        <f>'t3'!L6</f>
        <v>-3.8604476000000001E-3</v>
      </c>
      <c r="N14" s="99">
        <f>'t3'!K6</f>
        <v>0.43684211000000001</v>
      </c>
      <c r="T14" s="93"/>
      <c r="X14" s="82"/>
      <c r="Y14" s="82"/>
      <c r="Z14" s="82"/>
      <c r="AB14" s="82"/>
      <c r="AC14" s="82"/>
    </row>
    <row r="15" spans="6:29" ht="16">
      <c r="F15" s="97">
        <v>323</v>
      </c>
      <c r="G15" s="90" t="s">
        <v>346</v>
      </c>
      <c r="H15" s="98">
        <f>'t3'!C7/SUM('t2'!$C$2:$C$21)</f>
        <v>4.2198708408122589E-3</v>
      </c>
      <c r="I15" s="99">
        <f>'t3'!E7</f>
        <v>9.282</v>
      </c>
      <c r="J15" s="99">
        <f>'t3'!F7</f>
        <v>-0.12726024999999999</v>
      </c>
      <c r="K15" s="99">
        <f>'t3'!G7</f>
        <v>0.21629999999999999</v>
      </c>
      <c r="L15" s="93"/>
      <c r="M15" s="99">
        <f>'t3'!L7</f>
        <v>-1.8905663000000001E-3</v>
      </c>
      <c r="N15" s="99">
        <f>'t3'!K7</f>
        <v>0.26059793999999997</v>
      </c>
      <c r="T15" s="93"/>
      <c r="X15" s="82"/>
      <c r="Y15" s="82"/>
      <c r="Z15" s="82"/>
      <c r="AB15" s="82"/>
      <c r="AC15" s="82"/>
    </row>
    <row r="16" spans="6:29" ht="16">
      <c r="F16" s="97">
        <v>324</v>
      </c>
      <c r="G16" s="90" t="s">
        <v>347</v>
      </c>
      <c r="H16" s="98">
        <f>'t3'!C8/SUM('t2'!$C$2:$C$21)</f>
        <v>1.3050858825558445E-3</v>
      </c>
      <c r="I16" s="99">
        <f>'t3'!E8</f>
        <v>10.050000000000001</v>
      </c>
      <c r="J16" s="99">
        <f>'t3'!F8</f>
        <v>0.21973975000000001</v>
      </c>
      <c r="K16" s="99">
        <f>'t3'!G8</f>
        <v>0.62139999999999995</v>
      </c>
      <c r="L16" s="93"/>
      <c r="M16" s="99">
        <f>'t3'!L8</f>
        <v>0.10419235</v>
      </c>
      <c r="N16" s="99">
        <f>'t3'!K8</f>
        <v>0.69355416000000003</v>
      </c>
      <c r="T16" s="93"/>
      <c r="X16" s="82"/>
      <c r="Y16" s="82"/>
      <c r="Z16" s="82"/>
      <c r="AB16" s="82"/>
      <c r="AC16" s="82"/>
    </row>
    <row r="17" spans="6:29" ht="16">
      <c r="F17" s="97">
        <v>325</v>
      </c>
      <c r="G17" s="90" t="s">
        <v>348</v>
      </c>
      <c r="H17" s="98">
        <f>'t3'!C9/SUM('t2'!$C$2:$C$21)</f>
        <v>8.5846625061481562E-3</v>
      </c>
      <c r="I17" s="99">
        <f>'t3'!E9</f>
        <v>9.7771005906152606</v>
      </c>
      <c r="J17" s="99">
        <f>'t3'!F9</f>
        <v>0.10552467</v>
      </c>
      <c r="K17" s="99">
        <f>'t3'!G9</f>
        <v>0.46533688322559602</v>
      </c>
      <c r="L17" s="93"/>
      <c r="M17" s="99">
        <f>'t3'!L9</f>
        <v>0.14170207000000001</v>
      </c>
      <c r="N17" s="99">
        <f>'t3'!K9</f>
        <v>0.51985294000000004</v>
      </c>
      <c r="T17" s="93"/>
      <c r="X17" s="82"/>
      <c r="Y17" s="82"/>
      <c r="Z17" s="82"/>
      <c r="AB17" s="82"/>
      <c r="AC17" s="82"/>
    </row>
    <row r="18" spans="6:29" ht="16">
      <c r="F18" s="97">
        <v>326</v>
      </c>
      <c r="G18" s="90" t="s">
        <v>349</v>
      </c>
      <c r="H18" s="98">
        <f>'t3'!C10/SUM('t2'!$C$2:$C$21)</f>
        <v>6.6935056307529175E-3</v>
      </c>
      <c r="I18" s="99">
        <f>'t3'!E10</f>
        <v>9.3204719074317008</v>
      </c>
      <c r="J18" s="99">
        <f>'t3'!F10</f>
        <v>-0.19119857000000001</v>
      </c>
      <c r="K18" s="99">
        <f>'t3'!G10</f>
        <v>0.30308083025170002</v>
      </c>
      <c r="L18" s="93"/>
      <c r="M18" s="99">
        <f>'t3'!L10</f>
        <v>-6.1590720000000002E-2</v>
      </c>
      <c r="N18" s="99">
        <f>'t3'!K10</f>
        <v>0.30486643000000002</v>
      </c>
      <c r="T18" s="93"/>
      <c r="X18" s="82"/>
      <c r="Y18" s="82"/>
      <c r="Z18" s="82"/>
      <c r="AB18" s="82"/>
      <c r="AC18" s="82"/>
    </row>
    <row r="19" spans="6:29" ht="16">
      <c r="F19" s="97">
        <v>327</v>
      </c>
      <c r="G19" s="90" t="s">
        <v>350</v>
      </c>
      <c r="H19" s="98">
        <f>'t3'!C11/SUM('t2'!$C$2:$C$21)</f>
        <v>3.7898991382999789E-3</v>
      </c>
      <c r="I19" s="99">
        <f>'t3'!E11</f>
        <v>9.4204771937216893</v>
      </c>
      <c r="J19" s="99">
        <f>'t3'!F11</f>
        <v>-0.12425814</v>
      </c>
      <c r="K19" s="99">
        <f>'t3'!G11</f>
        <v>0.33743567892130999</v>
      </c>
      <c r="L19" s="93"/>
      <c r="M19" s="99">
        <f>'t3'!L11</f>
        <v>-3.2979823999999998E-2</v>
      </c>
      <c r="N19" s="99">
        <f>'t3'!K11</f>
        <v>0.33702356</v>
      </c>
      <c r="T19" s="93"/>
      <c r="X19" s="82"/>
      <c r="Y19" s="82"/>
      <c r="Z19" s="82"/>
      <c r="AB19" s="82"/>
      <c r="AC19" s="82"/>
    </row>
    <row r="20" spans="6:29" ht="16">
      <c r="F20" s="97">
        <v>331</v>
      </c>
      <c r="G20" s="90" t="s">
        <v>351</v>
      </c>
      <c r="H20" s="98">
        <f>'t3'!C12/SUM('t2'!$C$2:$C$21)</f>
        <v>4.1212608031887376E-3</v>
      </c>
      <c r="I20" s="99">
        <f>'t3'!E12</f>
        <v>9.5653830281894798</v>
      </c>
      <c r="J20" s="99">
        <f>'t3'!F12</f>
        <v>-0.11686336</v>
      </c>
      <c r="K20" s="99">
        <f>'t3'!G12</f>
        <v>0.48025375375375301</v>
      </c>
      <c r="L20" s="93"/>
      <c r="M20" s="99">
        <f>'t3'!L12</f>
        <v>-2.4083862000000001E-2</v>
      </c>
      <c r="N20" s="99">
        <f>'t3'!K12</f>
        <v>0.42135846999999998</v>
      </c>
      <c r="T20" s="93"/>
      <c r="X20" s="82"/>
      <c r="Y20" s="82"/>
      <c r="Z20" s="82"/>
      <c r="AB20" s="82"/>
      <c r="AC20" s="82"/>
    </row>
    <row r="21" spans="6:29" ht="16">
      <c r="F21" s="97">
        <v>332</v>
      </c>
      <c r="G21" s="90" t="s">
        <v>352</v>
      </c>
      <c r="H21" s="98">
        <f>'t3'!C13/SUM('t2'!$C$2:$C$21)</f>
        <v>1.3563072097910585E-2</v>
      </c>
      <c r="I21" s="99">
        <f>'t3'!E13</f>
        <v>9.3863792717746399</v>
      </c>
      <c r="J21" s="99">
        <f>'t3'!F13</f>
        <v>-9.51076E-2</v>
      </c>
      <c r="K21" s="99">
        <f>'t3'!G13</f>
        <v>0.28310719983516303</v>
      </c>
      <c r="L21" s="93"/>
      <c r="M21" s="99">
        <f>'t3'!L13</f>
        <v>-3.0013798000000001E-2</v>
      </c>
      <c r="N21" s="99">
        <f>'t3'!K13</f>
        <v>0.32188016000000003</v>
      </c>
      <c r="T21" s="93"/>
      <c r="X21" s="82"/>
      <c r="Y21" s="82"/>
      <c r="Z21" s="82"/>
      <c r="AB21" s="82"/>
      <c r="AC21" s="82"/>
    </row>
    <row r="22" spans="6:29" ht="16">
      <c r="F22" s="97">
        <v>333</v>
      </c>
      <c r="G22" s="90" t="s">
        <v>353</v>
      </c>
      <c r="H22" s="98">
        <f>'t3'!C14/SUM('t2'!$C$2:$C$21)</f>
        <v>1.1335363555646403E-2</v>
      </c>
      <c r="I22" s="99">
        <f>'t3'!E14</f>
        <v>9.5432986299439992</v>
      </c>
      <c r="J22" s="99">
        <f>'t3'!F14</f>
        <v>-1.0662206000000001E-3</v>
      </c>
      <c r="K22" s="99">
        <f>'t3'!G14</f>
        <v>0.34283593491353498</v>
      </c>
      <c r="L22" s="93"/>
      <c r="M22" s="99">
        <f>'t3'!L14</f>
        <v>4.0200992999999997E-2</v>
      </c>
      <c r="N22" s="99">
        <f>'t3'!K14</f>
        <v>0.39938100999999998</v>
      </c>
      <c r="T22" s="93"/>
      <c r="X22" s="82"/>
      <c r="Y22" s="82"/>
      <c r="Z22" s="82"/>
      <c r="AB22" s="82"/>
      <c r="AC22" s="82"/>
    </row>
    <row r="23" spans="6:29" ht="16">
      <c r="F23" s="97">
        <v>334</v>
      </c>
      <c r="G23" s="90" t="s">
        <v>354</v>
      </c>
      <c r="H23" s="98">
        <f>'t3'!C15/SUM('t2'!$C$2:$C$21)</f>
        <v>1.1622809819164361E-2</v>
      </c>
      <c r="I23" s="99">
        <f>'t3'!E15</f>
        <v>9.8614999828255403</v>
      </c>
      <c r="J23" s="99">
        <f>'t3'!F15</f>
        <v>0.26058220999999998</v>
      </c>
      <c r="K23" s="99">
        <f>'t3'!G15</f>
        <v>0.42112437055610902</v>
      </c>
      <c r="L23" s="93"/>
      <c r="M23" s="99">
        <f>'t3'!L15</f>
        <v>0.25900835</v>
      </c>
      <c r="N23" s="99">
        <f>'t3'!K15</f>
        <v>0.50987136</v>
      </c>
      <c r="T23" s="93"/>
      <c r="X23" s="82"/>
      <c r="Y23" s="82"/>
      <c r="Z23" s="82"/>
      <c r="AB23" s="82"/>
      <c r="AC23" s="82"/>
    </row>
    <row r="24" spans="6:29" ht="16">
      <c r="F24" s="97">
        <v>335</v>
      </c>
      <c r="G24" s="90" t="s">
        <v>355</v>
      </c>
      <c r="H24" s="98">
        <f>'t3'!C16/SUM('t2'!$C$2:$C$21)</f>
        <v>3.9978984484289465E-3</v>
      </c>
      <c r="I24" s="99">
        <f>'t3'!E16</f>
        <v>9.4776483922508508</v>
      </c>
      <c r="J24" s="99">
        <f>'t3'!F16</f>
        <v>-6.3004306999999996E-2</v>
      </c>
      <c r="K24" s="99">
        <f>'t3'!G16</f>
        <v>0.34009203115638098</v>
      </c>
      <c r="L24" s="93"/>
      <c r="M24" s="99">
        <f>'t3'!L16</f>
        <v>4.2388741000000001E-2</v>
      </c>
      <c r="N24" s="99">
        <f>'t3'!K16</f>
        <v>0.37804138999999998</v>
      </c>
      <c r="T24" s="93"/>
      <c r="X24" s="82"/>
      <c r="Y24" s="82"/>
      <c r="Z24" s="82"/>
      <c r="AB24" s="82"/>
      <c r="AC24" s="82"/>
    </row>
    <row r="25" spans="6:29" ht="16">
      <c r="F25" s="97">
        <v>336</v>
      </c>
      <c r="G25" s="90" t="s">
        <v>356</v>
      </c>
      <c r="H25" s="98">
        <f>'t3'!C17/SUM('t2'!$C$2:$C$21)</f>
        <v>1.6502210142381717E-2</v>
      </c>
      <c r="I25" s="99">
        <f>'t3'!E17</f>
        <v>9.6458606265876394</v>
      </c>
      <c r="J25" s="99">
        <f>'t3'!F17</f>
        <v>1.7980328E-2</v>
      </c>
      <c r="K25" s="99">
        <f>'t3'!G17</f>
        <v>0.42505104874803401</v>
      </c>
      <c r="L25" s="93"/>
      <c r="M25" s="99">
        <f>'t3'!L17</f>
        <v>6.0164760999999997E-2</v>
      </c>
      <c r="N25" s="99">
        <f>'t3'!K17</f>
        <v>0.45866196999999997</v>
      </c>
      <c r="T25" s="93"/>
      <c r="X25" s="82"/>
      <c r="Y25" s="82"/>
      <c r="Z25" s="82"/>
      <c r="AB25" s="82"/>
      <c r="AC25" s="82"/>
    </row>
    <row r="26" spans="6:29" ht="16">
      <c r="F26" s="97">
        <v>337</v>
      </c>
      <c r="G26" s="90" t="s">
        <v>357</v>
      </c>
      <c r="H26" s="98">
        <f>'t3'!C18/SUM('t2'!$C$2:$C$21)</f>
        <v>3.3671135923756474E-3</v>
      </c>
      <c r="I26" s="99">
        <f>'t3'!E18</f>
        <v>9.1877830211050497</v>
      </c>
      <c r="J26" s="99">
        <f>'t3'!F18</f>
        <v>-0.21026665</v>
      </c>
      <c r="K26" s="99">
        <f>'t3'!G18</f>
        <v>0.192196300687692</v>
      </c>
      <c r="L26" s="93"/>
      <c r="M26" s="99">
        <f>'t3'!L18</f>
        <v>-9.9180847000000003E-2</v>
      </c>
      <c r="N26" s="99">
        <f>'t3'!K18</f>
        <v>0.21595081999999999</v>
      </c>
      <c r="T26" s="93"/>
      <c r="X26" s="82"/>
      <c r="Y26" s="82"/>
      <c r="Z26" s="82"/>
      <c r="AB26" s="82"/>
      <c r="AC26" s="82"/>
    </row>
    <row r="27" spans="6:29" ht="16">
      <c r="F27" s="97">
        <v>339</v>
      </c>
      <c r="G27" s="90" t="s">
        <v>358</v>
      </c>
      <c r="H27" s="98">
        <f>'t3'!C19/SUM('t2'!$C$2:$C$21)</f>
        <v>5.5992136747769101E-3</v>
      </c>
      <c r="I27" s="99">
        <f>'t3'!E19</f>
        <v>9.42473561497326</v>
      </c>
      <c r="J27" s="99">
        <f>'t3'!F19</f>
        <v>-5.4513298000000002E-2</v>
      </c>
      <c r="K27" s="99">
        <f>'t3'!G19</f>
        <v>0.28289634224598897</v>
      </c>
      <c r="L27" s="93"/>
      <c r="M27" s="99">
        <f>'t3'!L19</f>
        <v>2.0442761E-2</v>
      </c>
      <c r="N27" s="99">
        <f>'t3'!K19</f>
        <v>0.31435331999999999</v>
      </c>
      <c r="T27" s="93"/>
      <c r="X27" s="82"/>
      <c r="Y27" s="82"/>
      <c r="Z27" s="82"/>
      <c r="AB27" s="82"/>
      <c r="AC27" s="82"/>
    </row>
    <row r="28" spans="6:29" ht="27.5" customHeight="1">
      <c r="F28" s="95" t="s">
        <v>378</v>
      </c>
      <c r="G28" s="95"/>
      <c r="H28" s="100" t="s">
        <v>339</v>
      </c>
      <c r="I28" s="101">
        <f>'t3'!E20</f>
        <v>0.217876918636591</v>
      </c>
      <c r="J28" s="101">
        <f>'t3'!F20</f>
        <v>0.15339325000000001</v>
      </c>
      <c r="K28" s="101">
        <f>'t3'!G20</f>
        <v>8.7248245781565301E-2</v>
      </c>
      <c r="L28" s="95"/>
      <c r="M28" s="101">
        <f>'t3'!L20</f>
        <v>0.10943841999999999</v>
      </c>
      <c r="N28" s="174">
        <f>'t3'!K20</f>
        <v>0.10914908</v>
      </c>
      <c r="T28" s="95"/>
      <c r="X28" s="82"/>
      <c r="Y28" s="82"/>
      <c r="Z28" s="82"/>
      <c r="AB28" s="82"/>
      <c r="AC28" s="82"/>
    </row>
    <row r="29" spans="6:29" ht="16" customHeight="1">
      <c r="F29" s="90"/>
      <c r="G29" s="90"/>
      <c r="H29" s="107"/>
      <c r="I29" s="99"/>
      <c r="J29" s="99"/>
      <c r="K29" s="99"/>
      <c r="L29" s="90"/>
      <c r="M29" s="99"/>
      <c r="N29" s="99"/>
    </row>
    <row r="30" spans="6:29" ht="30.75" customHeight="1">
      <c r="F30" s="147" t="s">
        <v>363</v>
      </c>
      <c r="G30" s="148"/>
      <c r="H30" s="148"/>
      <c r="I30" s="148"/>
      <c r="J30" s="148"/>
      <c r="K30" s="148"/>
      <c r="L30" s="148"/>
      <c r="M30" s="148"/>
      <c r="N30" s="148"/>
    </row>
  </sheetData>
  <mergeCells count="4">
    <mergeCell ref="H3:K3"/>
    <mergeCell ref="M3:N3"/>
    <mergeCell ref="F30:N30"/>
    <mergeCell ref="F2:N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B2:AL22"/>
  <sheetViews>
    <sheetView zoomScale="110" zoomScaleNormal="110" workbookViewId="0">
      <selection activeCell="J54" sqref="J54"/>
    </sheetView>
  </sheetViews>
  <sheetFormatPr baseColWidth="10" defaultColWidth="10.6640625" defaultRowHeight="15"/>
  <cols>
    <col min="2" max="2" width="3.33203125" customWidth="1"/>
    <col min="3" max="3" width="12.5" customWidth="1"/>
    <col min="4" max="4" width="1.6640625" customWidth="1"/>
    <col min="5" max="6" width="5.6640625" customWidth="1"/>
    <col min="7" max="7" width="6.1640625" customWidth="1"/>
    <col min="8" max="8" width="1.33203125" customWidth="1"/>
    <col min="9" max="9" width="6" customWidth="1"/>
    <col min="10" max="10" width="6.1640625" customWidth="1"/>
    <col min="11" max="11" width="5.6640625" customWidth="1"/>
    <col min="12" max="12" width="8.6640625" customWidth="1"/>
    <col min="13" max="13" width="14.1640625" customWidth="1"/>
    <col min="20" max="22" width="6" bestFit="1" customWidth="1"/>
    <col min="23" max="23" width="1.6640625" customWidth="1"/>
    <col min="24" max="28" width="6" bestFit="1" customWidth="1"/>
  </cols>
  <sheetData>
    <row r="2" spans="2:38" ht="16">
      <c r="B2" s="37" t="s">
        <v>197</v>
      </c>
      <c r="C2" s="37"/>
      <c r="D2" s="37"/>
      <c r="E2" s="37"/>
      <c r="F2" s="37"/>
      <c r="G2" s="37"/>
      <c r="H2" s="37"/>
      <c r="I2" s="37"/>
      <c r="J2" s="37"/>
      <c r="K2" s="37"/>
      <c r="L2" s="37"/>
      <c r="M2" s="37"/>
    </row>
    <row r="3" spans="2:38" ht="16">
      <c r="B3" s="38"/>
      <c r="C3" s="38"/>
      <c r="D3" s="38"/>
      <c r="E3" s="38"/>
      <c r="F3" s="38"/>
      <c r="G3" s="38"/>
      <c r="H3" s="38"/>
      <c r="I3" s="38"/>
      <c r="J3" s="38"/>
      <c r="K3" s="38"/>
      <c r="L3" s="38"/>
      <c r="M3" s="38"/>
    </row>
    <row r="4" spans="2:38" ht="27" customHeight="1">
      <c r="B4" s="37"/>
      <c r="C4" s="37"/>
      <c r="D4" s="37"/>
      <c r="E4" s="150" t="s">
        <v>198</v>
      </c>
      <c r="F4" s="150"/>
      <c r="G4" s="150"/>
      <c r="H4" s="39"/>
      <c r="I4" s="151" t="s">
        <v>199</v>
      </c>
      <c r="J4" s="151"/>
      <c r="K4" s="151"/>
      <c r="L4" s="151"/>
      <c r="M4" s="151"/>
    </row>
    <row r="5" spans="2:38" ht="30" customHeight="1">
      <c r="B5" s="155" t="s">
        <v>215</v>
      </c>
      <c r="C5" s="156"/>
      <c r="D5" s="58"/>
      <c r="E5" s="40"/>
      <c r="F5" s="40"/>
      <c r="G5" s="40"/>
      <c r="H5" s="39"/>
      <c r="I5" s="40"/>
      <c r="J5" s="40"/>
      <c r="K5" s="40"/>
      <c r="L5" s="41"/>
      <c r="M5" s="41"/>
    </row>
    <row r="6" spans="2:38" ht="16">
      <c r="B6" s="157"/>
      <c r="C6" s="157"/>
      <c r="D6" s="59"/>
      <c r="E6" s="49">
        <v>-1</v>
      </c>
      <c r="F6" s="49">
        <v>-2</v>
      </c>
      <c r="G6" s="49">
        <v>-3</v>
      </c>
      <c r="H6" s="49"/>
      <c r="I6" s="49">
        <v>-4</v>
      </c>
      <c r="J6" s="49">
        <v>-5</v>
      </c>
      <c r="K6" s="49">
        <v>-6</v>
      </c>
      <c r="L6" s="49">
        <v>-7</v>
      </c>
      <c r="M6" s="49">
        <v>-8</v>
      </c>
    </row>
    <row r="7" spans="2:38" ht="16">
      <c r="B7" s="58"/>
      <c r="C7" s="58"/>
      <c r="D7" s="58"/>
      <c r="E7" s="81"/>
      <c r="F7" s="81"/>
      <c r="G7" s="81"/>
      <c r="H7" s="81"/>
      <c r="I7" s="81"/>
      <c r="J7" s="81"/>
      <c r="K7" s="81"/>
      <c r="L7" s="81"/>
      <c r="M7" s="81"/>
    </row>
    <row r="8" spans="2:38" ht="16">
      <c r="B8" s="152" t="s">
        <v>292</v>
      </c>
      <c r="C8" s="152"/>
      <c r="D8" s="43"/>
      <c r="E8" s="42">
        <f>VALUE('t4'!B5)</f>
        <v>0.61850000000000005</v>
      </c>
      <c r="F8" s="42">
        <f>VALUE('t4'!C5)</f>
        <v>0.37219999999999998</v>
      </c>
      <c r="AD8" s="129"/>
      <c r="AE8" s="129"/>
    </row>
    <row r="9" spans="2:38" ht="16">
      <c r="B9" s="153"/>
      <c r="C9" s="153"/>
      <c r="D9" s="29"/>
      <c r="E9" s="42">
        <f>VALUE('t4'!B6)</f>
        <v>-1.9400000000000001E-2</v>
      </c>
      <c r="F9" s="42">
        <f>VALUE('t4'!C6)</f>
        <v>-1.83E-2</v>
      </c>
      <c r="AD9" s="129"/>
      <c r="AE9" s="129"/>
    </row>
    <row r="10" spans="2:38">
      <c r="B10" s="29"/>
      <c r="C10" s="29"/>
      <c r="D10" s="29"/>
    </row>
    <row r="11" spans="2:38" ht="16">
      <c r="B11" s="154" t="s">
        <v>293</v>
      </c>
      <c r="C11" s="154"/>
      <c r="D11" s="43"/>
      <c r="G11" s="42">
        <f>VALUE('t4'!D8)</f>
        <v>0.9012</v>
      </c>
      <c r="H11" s="42"/>
      <c r="I11" s="42">
        <f>VALUE('t4'!E8)</f>
        <v>0.90049999999999997</v>
      </c>
      <c r="J11" s="42"/>
      <c r="K11" s="42">
        <f>VALUE('t4'!G8)</f>
        <v>0.32990000000000003</v>
      </c>
      <c r="L11" s="42">
        <f>VALUE('t4'!H8)</f>
        <v>0.65869999999999995</v>
      </c>
      <c r="M11" s="42">
        <f>VALUE('t4'!I8)</f>
        <v>0.24179999999999999</v>
      </c>
      <c r="AF11" s="129"/>
      <c r="AH11" s="129"/>
      <c r="AJ11" s="129"/>
      <c r="AK11" s="129"/>
      <c r="AL11" s="129"/>
    </row>
    <row r="12" spans="2:38" ht="16.25" customHeight="1">
      <c r="B12" s="143"/>
      <c r="C12" s="143"/>
      <c r="D12" s="29"/>
      <c r="G12" s="42">
        <f>VALUE('t4'!D9)</f>
        <v>-0.1226</v>
      </c>
      <c r="H12" s="42"/>
      <c r="I12" s="42">
        <f>VALUE('t4'!E9)</f>
        <v>-0.1227</v>
      </c>
      <c r="J12" s="42"/>
      <c r="K12" s="42">
        <f>VALUE('t4'!G9)</f>
        <v>-9.9699999999999997E-2</v>
      </c>
      <c r="L12" s="42">
        <f>VALUE('t4'!H9)</f>
        <v>-0.15379999999999999</v>
      </c>
      <c r="M12" s="42">
        <f>VALUE('t4'!I9)</f>
        <v>-8.2699999999999996E-2</v>
      </c>
      <c r="N12" s="42"/>
      <c r="AF12" s="129"/>
      <c r="AH12" s="129"/>
      <c r="AJ12" s="129"/>
      <c r="AK12" s="129"/>
      <c r="AL12" s="129"/>
    </row>
    <row r="13" spans="2:38" ht="16.25" customHeight="1">
      <c r="B13" s="78"/>
      <c r="C13" s="78"/>
      <c r="D13" s="29"/>
      <c r="N13" s="42"/>
    </row>
    <row r="14" spans="2:38" ht="16">
      <c r="B14" s="154" t="s">
        <v>294</v>
      </c>
      <c r="C14" s="154"/>
      <c r="D14" s="43"/>
      <c r="G14" s="42"/>
      <c r="H14" s="42"/>
      <c r="I14" s="42"/>
      <c r="J14" s="42">
        <f>VALUE('t4'!F11)</f>
        <v>1.0409999999999999</v>
      </c>
      <c r="K14" s="42">
        <f>VALUE('t4'!G11)</f>
        <v>0.90169999999999995</v>
      </c>
      <c r="L14" s="42"/>
      <c r="M14" s="42"/>
      <c r="N14" s="42"/>
      <c r="AI14" s="129"/>
      <c r="AJ14" s="129"/>
    </row>
    <row r="15" spans="2:38" ht="16">
      <c r="B15" s="154"/>
      <c r="C15" s="154"/>
      <c r="D15" s="29"/>
      <c r="G15" s="42"/>
      <c r="H15" s="42"/>
      <c r="I15" s="42"/>
      <c r="J15" s="42">
        <f>VALUE('t4'!F12)</f>
        <v>-6.9800000000000001E-2</v>
      </c>
      <c r="K15" s="42">
        <f>VALUE('t4'!G12)</f>
        <v>-8.3799999999999999E-2</v>
      </c>
      <c r="L15" s="42"/>
      <c r="M15" s="42"/>
      <c r="AI15" s="129"/>
      <c r="AJ15" s="129"/>
    </row>
    <row r="16" spans="2:38" ht="68" hidden="1">
      <c r="B16" s="43" t="s">
        <v>167</v>
      </c>
      <c r="C16" s="43"/>
      <c r="D16" s="43"/>
    </row>
    <row r="17" spans="2:38" ht="16" hidden="1">
      <c r="B17" s="43"/>
      <c r="C17" s="43"/>
      <c r="D17" s="43"/>
    </row>
    <row r="18" spans="2:38" ht="29" customHeight="1">
      <c r="B18" s="44" t="s">
        <v>176</v>
      </c>
      <c r="C18" s="43"/>
      <c r="D18" s="43"/>
      <c r="E18" s="45">
        <f>VALUE('t4'!B17)</f>
        <v>311</v>
      </c>
      <c r="F18" s="45">
        <f>VALUE('t4'!C17)</f>
        <v>311</v>
      </c>
      <c r="G18" s="45">
        <f>VALUE('t4'!D17)</f>
        <v>311</v>
      </c>
      <c r="H18" s="45"/>
      <c r="I18" s="45">
        <f>VALUE('t4'!E17)</f>
        <v>310</v>
      </c>
      <c r="J18" s="45">
        <f>VALUE('t4'!F17)</f>
        <v>310</v>
      </c>
      <c r="K18" s="45">
        <f>VALUE('t4'!G17)</f>
        <v>310</v>
      </c>
      <c r="L18" s="45">
        <f>VALUE('t4'!H17)</f>
        <v>310</v>
      </c>
      <c r="M18" s="45">
        <f>VALUE('t4'!I17)</f>
        <v>310</v>
      </c>
      <c r="AD18" s="129"/>
      <c r="AE18" s="129"/>
      <c r="AF18" s="129"/>
      <c r="AG18" s="129"/>
      <c r="AH18" s="129"/>
      <c r="AI18" s="129"/>
      <c r="AJ18" s="129"/>
      <c r="AK18" s="129"/>
      <c r="AL18" s="129"/>
    </row>
    <row r="19" spans="2:38" ht="23.25" customHeight="1">
      <c r="B19" s="46" t="s">
        <v>173</v>
      </c>
      <c r="C19" s="47"/>
      <c r="D19" s="47"/>
      <c r="E19" s="48">
        <f>VALUE('t4'!B18)</f>
        <v>0.86699999999999999</v>
      </c>
      <c r="F19" s="48">
        <f>VALUE('t4'!C18)</f>
        <v>0.71699999999999997</v>
      </c>
      <c r="G19" s="48">
        <f>VALUE('t4'!D18)</f>
        <v>0.35599999999999998</v>
      </c>
      <c r="H19" s="48"/>
      <c r="I19" s="48">
        <f>VALUE('t4'!E18)</f>
        <v>0.35499999999999998</v>
      </c>
      <c r="J19" s="48">
        <f>VALUE('t4'!F18)</f>
        <v>0.71199999999999997</v>
      </c>
      <c r="K19" s="48">
        <f>VALUE('t4'!G18)</f>
        <v>0.747</v>
      </c>
      <c r="L19" s="48">
        <f>VALUE('t4'!H18)</f>
        <v>0.26700000000000002</v>
      </c>
      <c r="M19" s="48">
        <f>VALUE('t4'!I18)</f>
        <v>8.8999999999999996E-2</v>
      </c>
      <c r="AD19" s="129"/>
      <c r="AE19" s="129"/>
      <c r="AF19" s="129"/>
      <c r="AG19" s="129"/>
      <c r="AH19" s="129"/>
      <c r="AI19" s="129"/>
      <c r="AJ19" s="129"/>
      <c r="AK19" s="129"/>
      <c r="AL19" s="129"/>
    </row>
    <row r="20" spans="2:38" ht="16">
      <c r="B20" s="37"/>
      <c r="C20" s="37"/>
      <c r="D20" s="37"/>
      <c r="E20" s="37"/>
      <c r="F20" s="37"/>
      <c r="G20" s="37"/>
      <c r="H20" s="37"/>
      <c r="I20" s="37"/>
      <c r="J20" s="37"/>
      <c r="K20" s="37"/>
      <c r="L20" s="37"/>
      <c r="M20" s="37"/>
    </row>
    <row r="21" spans="2:38" ht="98" customHeight="1">
      <c r="B21" s="152" t="s">
        <v>200</v>
      </c>
      <c r="C21" s="152"/>
      <c r="D21" s="152"/>
      <c r="E21" s="152"/>
      <c r="F21" s="152"/>
      <c r="G21" s="152"/>
      <c r="H21" s="152"/>
      <c r="I21" s="152"/>
      <c r="J21" s="152"/>
      <c r="K21" s="152"/>
      <c r="L21" s="152"/>
      <c r="M21" s="152"/>
    </row>
    <row r="22" spans="2:38" ht="16">
      <c r="B22" s="37"/>
      <c r="C22" s="37"/>
      <c r="D22" s="37"/>
      <c r="E22" s="37"/>
      <c r="F22" s="37"/>
      <c r="G22" s="37"/>
      <c r="H22" s="37"/>
      <c r="I22" s="37"/>
      <c r="J22" s="37"/>
      <c r="K22" s="37"/>
      <c r="L22" s="37"/>
      <c r="M22" s="37"/>
    </row>
  </sheetData>
  <mergeCells count="7">
    <mergeCell ref="E4:G4"/>
    <mergeCell ref="I4:M4"/>
    <mergeCell ref="B21:M21"/>
    <mergeCell ref="B8:C9"/>
    <mergeCell ref="B11:C12"/>
    <mergeCell ref="B5:C6"/>
    <mergeCell ref="B14:C15"/>
  </mergeCells>
  <pageMargins left="0.7" right="0.7" top="0.75" bottom="0.75" header="0.3" footer="0.3"/>
  <pageSetup scale="110" orientation="portrait" r:id="rId1"/>
  <headerFooter>
    <oddFooter>&amp;R&amp;K00000053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B3:G17"/>
  <sheetViews>
    <sheetView zoomScale="120" zoomScaleNormal="120" workbookViewId="0">
      <selection activeCell="J54" sqref="J54"/>
    </sheetView>
  </sheetViews>
  <sheetFormatPr baseColWidth="10" defaultColWidth="10.6640625" defaultRowHeight="15"/>
  <cols>
    <col min="2" max="2" width="36.6640625" customWidth="1"/>
    <col min="5" max="5" width="1.83203125" customWidth="1"/>
  </cols>
  <sheetData>
    <row r="3" spans="2:7" ht="16">
      <c r="B3" s="108" t="s">
        <v>201</v>
      </c>
      <c r="C3" s="108"/>
      <c r="D3" s="108"/>
      <c r="E3" s="108"/>
      <c r="F3" s="108"/>
      <c r="G3" s="108"/>
    </row>
    <row r="4" spans="2:7" ht="16">
      <c r="B4" s="109"/>
      <c r="C4" s="109"/>
      <c r="D4" s="109"/>
      <c r="E4" s="109"/>
      <c r="F4" s="109"/>
      <c r="G4" s="109"/>
    </row>
    <row r="5" spans="2:7" ht="16">
      <c r="B5" s="108"/>
      <c r="C5" s="151" t="s">
        <v>152</v>
      </c>
      <c r="D5" s="151"/>
      <c r="E5" s="110"/>
      <c r="F5" s="151" t="s">
        <v>153</v>
      </c>
      <c r="G5" s="151"/>
    </row>
    <row r="6" spans="2:7" ht="16">
      <c r="B6" s="109"/>
      <c r="C6" s="49">
        <v>-1</v>
      </c>
      <c r="D6" s="49">
        <v>-2</v>
      </c>
      <c r="E6" s="49"/>
      <c r="F6" s="49">
        <v>-3</v>
      </c>
      <c r="G6" s="49">
        <v>-4</v>
      </c>
    </row>
    <row r="7" spans="2:7" ht="16">
      <c r="B7" s="108" t="s">
        <v>154</v>
      </c>
      <c r="C7" s="111">
        <f>VALUE(SUBSTITUTE('disclosed1-12'!B6,"*",""))*10</f>
        <v>1.1900000000000001E-2</v>
      </c>
      <c r="D7" s="111">
        <f>VALUE(SUBSTITUTE('disclosed1-12'!C6,"*",""))*10</f>
        <v>1.0100000000000001E-2</v>
      </c>
      <c r="E7" s="111"/>
      <c r="F7" s="111">
        <f>VALUE(SUBSTITUTE('disclosed1-12'!D6,"*",""))*10</f>
        <v>7.0200000000000002E-3</v>
      </c>
      <c r="G7" s="111">
        <f>VALUE(SUBSTITUTE('disclosed1-12'!E6,"*",""))*10</f>
        <v>5.8699999999999994E-3</v>
      </c>
    </row>
    <row r="8" spans="2:7" ht="16">
      <c r="B8" s="108"/>
      <c r="C8" s="111">
        <f>VALUE(SUBSTITUTE('disclosed1-12'!B7,"*",""))*10</f>
        <v>-1.91E-3</v>
      </c>
      <c r="D8" s="111">
        <f>VALUE(SUBSTITUTE('disclosed1-12'!C7,"*",""))*10</f>
        <v>-8.8399999999999991E-4</v>
      </c>
      <c r="E8" s="111"/>
      <c r="F8" s="111">
        <f>VALUE(SUBSTITUTE('disclosed1-12'!D7,"*",""))*10</f>
        <v>-1.1800000000000001E-3</v>
      </c>
      <c r="G8" s="111">
        <f>VALUE(SUBSTITUTE('disclosed1-12'!E7,"*",""))*10</f>
        <v>-5.7899999999999998E-4</v>
      </c>
    </row>
    <row r="9" spans="2:7" ht="16">
      <c r="B9" s="108" t="s">
        <v>371</v>
      </c>
      <c r="C9" s="112">
        <f>VALUE(SUBSTITUTE('disclosed1-12'!B9,"*",""))*100</f>
        <v>-3.2799999999999999E-3</v>
      </c>
      <c r="D9" s="112">
        <f>VALUE(SUBSTITUTE('disclosed1-12'!C9,"*",""))*100</f>
        <v>-2.9299999999999999E-3</v>
      </c>
      <c r="E9" s="112"/>
      <c r="F9" s="112">
        <f>VALUE(SUBSTITUTE('disclosed1-12'!D9,"*",""))*100</f>
        <v>-1.6099999999999999E-3</v>
      </c>
      <c r="G9" s="112">
        <f>VALUE(SUBSTITUTE('disclosed1-12'!E9,"*",""))*100</f>
        <v>-1.5999999999999999E-3</v>
      </c>
    </row>
    <row r="10" spans="2:7" ht="16">
      <c r="B10" s="108"/>
      <c r="C10" s="113">
        <f>VALUE(SUBSTITUTE('disclosed1-12'!B10,"*",""))*100</f>
        <v>-5.6799999999999993E-4</v>
      </c>
      <c r="D10" s="113">
        <f>VALUE(SUBSTITUTE('disclosed1-12'!C10,"*",""))*100</f>
        <v>-2.6499999999999999E-4</v>
      </c>
      <c r="E10" s="113"/>
      <c r="F10" s="113">
        <f>VALUE(SUBSTITUTE('disclosed1-12'!D10,"*",""))*100</f>
        <v>-2.9399999999999999E-4</v>
      </c>
      <c r="G10" s="113">
        <f>VALUE(SUBSTITUTE('disclosed1-12'!E10,"*",""))*100</f>
        <v>-1.6200000000000001E-4</v>
      </c>
    </row>
    <row r="11" spans="2:7" ht="16.25" customHeight="1">
      <c r="B11" s="108" t="s">
        <v>202</v>
      </c>
      <c r="C11" s="110" t="s">
        <v>155</v>
      </c>
      <c r="D11" s="110" t="s">
        <v>156</v>
      </c>
      <c r="E11" s="110"/>
      <c r="F11" s="110" t="s">
        <v>155</v>
      </c>
      <c r="G11" s="110" t="s">
        <v>156</v>
      </c>
    </row>
    <row r="12" spans="2:7" ht="20.25" customHeight="1">
      <c r="B12" s="108" t="s">
        <v>370</v>
      </c>
      <c r="C12" s="114">
        <f>VALUE('disclosed1-12'!B18)/1000000</f>
        <v>89.76</v>
      </c>
      <c r="D12" s="114">
        <f>C12</f>
        <v>89.76</v>
      </c>
      <c r="E12" s="114"/>
      <c r="F12" s="114">
        <f>VALUE('disclosed1-12'!D18)/1000000</f>
        <v>421.8</v>
      </c>
      <c r="G12" s="114">
        <f>F12</f>
        <v>421.8</v>
      </c>
    </row>
    <row r="13" spans="2:7" ht="18.5" customHeight="1">
      <c r="B13" s="108" t="s">
        <v>174</v>
      </c>
      <c r="C13" s="113">
        <f>VALUE(SUBSTITUTE('disclosed1-12'!B12,"*",""))</f>
        <v>3.68E-4</v>
      </c>
      <c r="D13" s="113">
        <f>VALUE(SUBSTITUTE('disclosed1-12'!C12,"*",""))</f>
        <v>0.73399999999999999</v>
      </c>
      <c r="E13" s="113"/>
      <c r="F13" s="113">
        <f>VALUE(SUBSTITUTE('disclosed1-12'!D12,"*",""))</f>
        <v>1.73E-4</v>
      </c>
      <c r="G13" s="113">
        <f>VALUE(SUBSTITUTE('disclosed1-12'!E12,"*",""))</f>
        <v>0.83699999999999997</v>
      </c>
    </row>
    <row r="14" spans="2:7" ht="17" customHeight="1">
      <c r="B14" s="108" t="s">
        <v>157</v>
      </c>
      <c r="C14" s="114">
        <f>-10*C7/(2*C9)</f>
        <v>18.140243902439025</v>
      </c>
      <c r="D14" s="114">
        <f>-10*D7/(2*D9)</f>
        <v>17.235494880546078</v>
      </c>
      <c r="E14" s="114"/>
      <c r="F14" s="114">
        <f>-10*F7/(2*F9)</f>
        <v>21.801242236024844</v>
      </c>
      <c r="G14" s="114">
        <f>-10*G7/(2*G9)</f>
        <v>18.34375</v>
      </c>
    </row>
    <row r="15" spans="2:7" ht="17.25" customHeight="1">
      <c r="B15" s="109" t="s">
        <v>158</v>
      </c>
      <c r="C15" s="115">
        <f>2*C7+4*C9</f>
        <v>1.0680000000000002E-2</v>
      </c>
      <c r="D15" s="115">
        <f>2*D7+4*D9</f>
        <v>8.4800000000000032E-3</v>
      </c>
      <c r="E15" s="115"/>
      <c r="F15" s="115">
        <f>2*F7+4*F9</f>
        <v>7.6000000000000009E-3</v>
      </c>
      <c r="G15" s="115">
        <f>2*G7+4*G9</f>
        <v>5.3399999999999993E-3</v>
      </c>
    </row>
    <row r="16" spans="2:7" ht="13" customHeight="1">
      <c r="B16" s="108"/>
      <c r="C16" s="108"/>
      <c r="D16" s="108"/>
      <c r="E16" s="108"/>
      <c r="F16" s="108"/>
      <c r="G16" s="108"/>
    </row>
    <row r="17" spans="2:7" ht="125" customHeight="1">
      <c r="B17" s="158" t="s">
        <v>240</v>
      </c>
      <c r="C17" s="158"/>
      <c r="D17" s="158"/>
      <c r="E17" s="158"/>
      <c r="F17" s="158"/>
      <c r="G17" s="158"/>
    </row>
  </sheetData>
  <mergeCells count="3">
    <mergeCell ref="B17:G17"/>
    <mergeCell ref="C5:D5"/>
    <mergeCell ref="F5:G5"/>
  </mergeCells>
  <pageMargins left="0.7" right="0.7" top="0.75" bottom="0.75" header="0.3" footer="0.3"/>
  <pageSetup orientation="portrait" horizontalDpi="1200" verticalDpi="1200" r:id="rId1"/>
  <headerFooter>
    <oddFooter>&amp;R&amp;K00000054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B2:N20"/>
  <sheetViews>
    <sheetView workbookViewId="0">
      <selection activeCell="D24" sqref="D24"/>
    </sheetView>
  </sheetViews>
  <sheetFormatPr baseColWidth="10" defaultColWidth="10.6640625" defaultRowHeight="16"/>
  <cols>
    <col min="1" max="1" width="10.6640625" style="108"/>
    <col min="2" max="2" width="2" style="108" customWidth="1"/>
    <col min="3" max="3" width="31.1640625" style="108" bestFit="1" customWidth="1"/>
    <col min="4" max="4" width="9" style="108" customWidth="1"/>
    <col min="5" max="5" width="1" style="108" customWidth="1"/>
    <col min="6" max="6" width="6" style="108" customWidth="1"/>
    <col min="7" max="8" width="6.33203125" style="108" customWidth="1"/>
    <col min="9" max="9" width="1.33203125" style="108" customWidth="1"/>
    <col min="10" max="10" width="6.1640625" style="108" customWidth="1"/>
    <col min="11" max="11" width="6.5" style="108" customWidth="1"/>
    <col min="12" max="12" width="6.1640625" style="108" customWidth="1"/>
    <col min="13" max="16384" width="10.6640625" style="108"/>
  </cols>
  <sheetData>
    <row r="2" spans="2:14">
      <c r="B2" s="108" t="s">
        <v>203</v>
      </c>
    </row>
    <row r="3" spans="2:14">
      <c r="B3" s="109"/>
      <c r="C3" s="109"/>
      <c r="D3" s="109"/>
      <c r="E3" s="109"/>
      <c r="F3" s="109"/>
      <c r="G3" s="109"/>
      <c r="H3" s="109"/>
      <c r="I3" s="109"/>
      <c r="J3" s="109"/>
      <c r="K3" s="109"/>
      <c r="L3" s="109"/>
    </row>
    <row r="4" spans="2:14" ht="33" customHeight="1">
      <c r="D4" s="80" t="s">
        <v>95</v>
      </c>
      <c r="E4" s="116"/>
      <c r="F4" s="150" t="s">
        <v>177</v>
      </c>
      <c r="G4" s="150"/>
      <c r="H4" s="150"/>
      <c r="I4" s="117"/>
      <c r="J4" s="150" t="s">
        <v>178</v>
      </c>
      <c r="K4" s="150"/>
      <c r="L4" s="150"/>
    </row>
    <row r="5" spans="2:14" ht="16.5" customHeight="1">
      <c r="B5" s="109"/>
      <c r="C5" s="109"/>
      <c r="D5" s="49">
        <v>-1</v>
      </c>
      <c r="E5" s="49"/>
      <c r="F5" s="49">
        <v>-2</v>
      </c>
      <c r="G5" s="49">
        <v>-3</v>
      </c>
      <c r="H5" s="49">
        <v>-4</v>
      </c>
      <c r="I5" s="49"/>
      <c r="J5" s="49">
        <v>-5</v>
      </c>
      <c r="K5" s="49">
        <v>-6</v>
      </c>
      <c r="L5" s="49">
        <v>-7</v>
      </c>
    </row>
    <row r="6" spans="2:14" ht="16.5" customHeight="1">
      <c r="B6" s="118" t="s">
        <v>97</v>
      </c>
      <c r="D6" s="110"/>
      <c r="E6" s="110"/>
      <c r="F6" s="110"/>
      <c r="G6" s="110"/>
      <c r="H6" s="110"/>
      <c r="I6" s="110"/>
      <c r="J6" s="110"/>
      <c r="K6" s="110"/>
      <c r="L6" s="110"/>
    </row>
    <row r="7" spans="2:14">
      <c r="C7" s="108" t="s">
        <v>184</v>
      </c>
      <c r="D7" s="110"/>
      <c r="E7" s="110"/>
      <c r="F7" s="110"/>
      <c r="G7" s="110"/>
      <c r="H7" s="110"/>
      <c r="I7" s="110"/>
      <c r="J7" s="110" t="s">
        <v>99</v>
      </c>
      <c r="K7" s="110" t="s">
        <v>99</v>
      </c>
      <c r="L7" s="110" t="s">
        <v>99</v>
      </c>
    </row>
    <row r="8" spans="2:14">
      <c r="C8" s="108" t="s">
        <v>179</v>
      </c>
      <c r="D8" s="110"/>
      <c r="E8" s="110"/>
      <c r="F8" s="110" t="s">
        <v>99</v>
      </c>
      <c r="G8" s="110" t="s">
        <v>99</v>
      </c>
      <c r="H8" s="110" t="s">
        <v>99</v>
      </c>
      <c r="I8" s="110"/>
      <c r="J8" s="110" t="s">
        <v>99</v>
      </c>
      <c r="K8" s="110" t="s">
        <v>99</v>
      </c>
      <c r="L8" s="110" t="s">
        <v>99</v>
      </c>
    </row>
    <row r="9" spans="2:14">
      <c r="C9" s="108" t="s">
        <v>181</v>
      </c>
      <c r="D9" s="110"/>
      <c r="E9" s="110"/>
      <c r="F9" s="110" t="s">
        <v>99</v>
      </c>
      <c r="G9" s="110" t="s">
        <v>99</v>
      </c>
      <c r="H9" s="110" t="s">
        <v>99</v>
      </c>
      <c r="I9" s="110"/>
      <c r="J9" s="110"/>
      <c r="K9" s="110"/>
      <c r="L9" s="110"/>
    </row>
    <row r="10" spans="2:14">
      <c r="C10" s="108" t="s">
        <v>180</v>
      </c>
      <c r="D10" s="110"/>
      <c r="E10" s="110"/>
      <c r="F10" s="110"/>
      <c r="G10" s="110" t="s">
        <v>99</v>
      </c>
      <c r="H10" s="110" t="s">
        <v>99</v>
      </c>
      <c r="I10" s="110"/>
      <c r="J10" s="110"/>
      <c r="K10" s="110"/>
      <c r="L10" s="110"/>
    </row>
    <row r="11" spans="2:14">
      <c r="C11" s="108" t="s">
        <v>182</v>
      </c>
      <c r="D11" s="110"/>
      <c r="E11" s="110"/>
      <c r="F11" s="110"/>
      <c r="G11" s="110"/>
      <c r="H11" s="110" t="s">
        <v>99</v>
      </c>
      <c r="I11" s="110"/>
      <c r="J11" s="110"/>
      <c r="K11" s="110" t="s">
        <v>99</v>
      </c>
      <c r="L11" s="110"/>
    </row>
    <row r="12" spans="2:14">
      <c r="C12" s="108" t="s">
        <v>183</v>
      </c>
      <c r="D12" s="110"/>
      <c r="E12" s="110"/>
      <c r="F12" s="110"/>
      <c r="G12" s="110"/>
      <c r="H12" s="110"/>
      <c r="I12" s="110"/>
      <c r="J12" s="110"/>
      <c r="K12" s="110"/>
      <c r="L12" s="110" t="s">
        <v>99</v>
      </c>
    </row>
    <row r="13" spans="2:14">
      <c r="D13" s="110"/>
      <c r="E13" s="110"/>
      <c r="F13" s="110"/>
      <c r="G13" s="110"/>
      <c r="H13" s="110"/>
      <c r="I13" s="110"/>
      <c r="J13" s="110"/>
      <c r="K13" s="110"/>
      <c r="L13" s="110"/>
    </row>
    <row r="14" spans="2:14">
      <c r="B14" s="108" t="s">
        <v>96</v>
      </c>
      <c r="D14" s="111">
        <f>VALUE('disclosed1-5'!B12)</f>
        <v>0.122</v>
      </c>
      <c r="E14" s="111"/>
      <c r="F14" s="121">
        <f>VALUE('t6'!B14)</f>
        <v>0.18870000000000001</v>
      </c>
      <c r="G14" s="111">
        <f>VALUE('t6'!C14)</f>
        <v>0.17369999999999999</v>
      </c>
      <c r="H14" s="111">
        <f>VALUE('t6'!D14)</f>
        <v>0.16919999999999999</v>
      </c>
      <c r="I14" s="111"/>
      <c r="J14" s="111">
        <f>VALUE('disclosed1-5'!E11)</f>
        <v>7.8799999999999995E-2</v>
      </c>
      <c r="K14" s="111">
        <f>VALUE('disclosed1-5'!F11)</f>
        <v>7.8700000000000006E-2</v>
      </c>
      <c r="L14" s="111">
        <f>VALUE('disclosed1-5'!G11)</f>
        <v>8.2400000000000001E-2</v>
      </c>
      <c r="N14" s="111"/>
    </row>
    <row r="15" spans="2:14">
      <c r="D15" s="110"/>
      <c r="E15" s="110"/>
      <c r="F15" s="110"/>
      <c r="G15" s="110"/>
      <c r="H15" s="110"/>
      <c r="I15" s="110"/>
      <c r="J15" s="110"/>
      <c r="K15" s="110"/>
      <c r="L15" s="110"/>
    </row>
    <row r="16" spans="2:14">
      <c r="B16" s="159" t="s">
        <v>100</v>
      </c>
      <c r="C16" s="159"/>
      <c r="D16" s="119">
        <v>1</v>
      </c>
      <c r="E16" s="119"/>
      <c r="F16" s="119">
        <f>VALUE('t6'!B5)</f>
        <v>1.2390000000000001</v>
      </c>
      <c r="G16" s="119">
        <f>VALUE('t6'!C5)</f>
        <v>1.1686000000000001</v>
      </c>
      <c r="H16" s="119">
        <f>VALUE('t6'!D5)</f>
        <v>1.1658999999999999</v>
      </c>
      <c r="I16" s="119"/>
      <c r="J16" s="119">
        <f>VALUE(SUBSTITUTE('disclosed1-5'!E6,"*",""))</f>
        <v>0.621</v>
      </c>
      <c r="K16" s="119">
        <f>VALUE(SUBSTITUTE('disclosed1-5'!F6,"*",""))</f>
        <v>0.61799999999999999</v>
      </c>
      <c r="L16" s="119">
        <f>VALUE(SUBSTITUTE('disclosed1-5'!G6,"*",""))</f>
        <v>0.65800000000000003</v>
      </c>
    </row>
    <row r="17" spans="2:12">
      <c r="B17" s="159"/>
      <c r="C17" s="159"/>
      <c r="D17" s="119"/>
      <c r="E17" s="119"/>
      <c r="F17" s="119">
        <f>VALUE('t6'!B6)</f>
        <v>-7.2800000000000004E-2</v>
      </c>
      <c r="G17" s="119">
        <f>VALUE('t6'!C6)</f>
        <v>-6.3899999999999998E-2</v>
      </c>
      <c r="H17" s="119">
        <f>VALUE('t6'!D6)</f>
        <v>-5.7099999999999998E-2</v>
      </c>
      <c r="I17" s="119"/>
      <c r="J17" s="119">
        <f>VALUE(SUBSTITUTE('disclosed1-5'!E7,"*",""))</f>
        <v>-1.9400000000000001E-2</v>
      </c>
      <c r="K17" s="119">
        <f>VALUE(SUBSTITUTE('disclosed1-5'!F7,"*",""))</f>
        <v>-0.02</v>
      </c>
      <c r="L17" s="119">
        <f>VALUE(SUBSTITUTE('disclosed1-5'!G7,"*",""))</f>
        <v>-1.47E-2</v>
      </c>
    </row>
    <row r="18" spans="2:12" ht="18.5" customHeight="1">
      <c r="B18" s="109" t="s">
        <v>372</v>
      </c>
      <c r="C18" s="109"/>
      <c r="D18" s="120"/>
      <c r="E18" s="120"/>
      <c r="F18" s="175">
        <f>VALUE('t6'!B13)</f>
        <v>0.64400000000000002</v>
      </c>
      <c r="G18" s="175">
        <f>VALUE('t6'!C13)</f>
        <v>0.67600000000000005</v>
      </c>
      <c r="H18" s="176">
        <f>VALUE('t6'!D13)</f>
        <v>0.70899999999999996</v>
      </c>
      <c r="I18" s="120"/>
      <c r="J18" s="120">
        <f>VALUE('disclosed1-5'!E10)</f>
        <v>0.92900000000000005</v>
      </c>
      <c r="K18" s="120">
        <f>VALUE('disclosed1-5'!F10)</f>
        <v>0.92400000000000004</v>
      </c>
      <c r="L18" s="120">
        <f>VALUE('disclosed1-5'!G10)</f>
        <v>0.95399999999999996</v>
      </c>
    </row>
    <row r="20" spans="2:12" ht="118" customHeight="1">
      <c r="B20" s="159" t="s">
        <v>185</v>
      </c>
      <c r="C20" s="159"/>
      <c r="D20" s="159"/>
      <c r="E20" s="159"/>
      <c r="F20" s="159"/>
      <c r="G20" s="159"/>
      <c r="H20" s="159"/>
      <c r="I20" s="159"/>
      <c r="J20" s="159"/>
      <c r="K20" s="159"/>
      <c r="L20" s="159"/>
    </row>
  </sheetData>
  <mergeCells count="4">
    <mergeCell ref="B16:C17"/>
    <mergeCell ref="F4:H4"/>
    <mergeCell ref="J4:L4"/>
    <mergeCell ref="B20:L20"/>
  </mergeCells>
  <pageMargins left="0.7" right="0.7" top="0.75" bottom="0.75" header="0.3" footer="0.3"/>
  <pageSetup orientation="portrait" r:id="rId1"/>
  <headerFooter>
    <oddFooter>&amp;R&amp;K00000055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2:U24"/>
  <sheetViews>
    <sheetView zoomScaleNormal="100" workbookViewId="0">
      <selection activeCell="B24" sqref="B24:F24"/>
    </sheetView>
  </sheetViews>
  <sheetFormatPr baseColWidth="10" defaultColWidth="10.6640625" defaultRowHeight="15"/>
  <cols>
    <col min="2" max="2" width="5" customWidth="1"/>
    <col min="3" max="3" width="19.83203125" customWidth="1"/>
    <col min="4" max="4" width="15.1640625" customWidth="1"/>
    <col min="5" max="5" width="15.6640625" customWidth="1"/>
    <col min="6" max="6" width="16.33203125" customWidth="1"/>
  </cols>
  <sheetData>
    <row r="2" spans="2:21" ht="16">
      <c r="B2" s="37" t="s">
        <v>367</v>
      </c>
      <c r="C2" s="37"/>
      <c r="D2" s="37"/>
      <c r="E2" s="37"/>
      <c r="F2" s="37"/>
    </row>
    <row r="3" spans="2:21" ht="16">
      <c r="B3" s="38"/>
      <c r="C3" s="38"/>
      <c r="D3" s="38"/>
      <c r="E3" s="38"/>
      <c r="F3" s="38"/>
    </row>
    <row r="4" spans="2:21" ht="24" customHeight="1">
      <c r="B4" s="37"/>
      <c r="C4" s="37"/>
      <c r="D4" s="50"/>
      <c r="E4" s="50"/>
      <c r="F4" s="50"/>
    </row>
    <row r="5" spans="2:21" ht="18.75" customHeight="1">
      <c r="B5" s="38"/>
      <c r="C5" s="38"/>
      <c r="D5" s="51">
        <v>-1</v>
      </c>
      <c r="E5" s="51">
        <v>-2</v>
      </c>
      <c r="F5" s="51">
        <v>-3</v>
      </c>
      <c r="H5" s="6"/>
    </row>
    <row r="6" spans="2:21" ht="22.25" customHeight="1">
      <c r="B6" s="37" t="s">
        <v>111</v>
      </c>
      <c r="C6" s="37"/>
      <c r="D6" s="52">
        <f>VALUE('disclosed1-9a'!B57)</f>
        <v>0.88</v>
      </c>
      <c r="E6" s="52">
        <f>VALUE('disclosed1-9a'!B65)</f>
        <v>0.86299999999999999</v>
      </c>
      <c r="F6" s="52">
        <f>VALUE('disclosed1-9a'!B61)</f>
        <v>0.79879999999999995</v>
      </c>
    </row>
    <row r="7" spans="2:21" ht="16">
      <c r="B7" s="37" t="s">
        <v>204</v>
      </c>
      <c r="C7" s="37"/>
      <c r="D7" s="52">
        <f>VALUE('disclosed1-9a'!B58)</f>
        <v>8.1799999999999998E-2</v>
      </c>
      <c r="E7" s="52">
        <f>VALUE('disclosed1-9a'!B66)</f>
        <v>9.7000000000000003E-2</v>
      </c>
      <c r="F7" s="52">
        <f>VALUE('disclosed1-9a'!B62)</f>
        <v>0.1341</v>
      </c>
    </row>
    <row r="8" spans="2:21" ht="16">
      <c r="B8" s="37" t="s">
        <v>288</v>
      </c>
      <c r="C8" s="37"/>
      <c r="D8" s="52">
        <f>SQRT(D7^2-'disclosed2-1'!B8)</f>
        <v>7.6285909577064104E-2</v>
      </c>
      <c r="E8" s="52">
        <f>SQRT(E7^2-'disclosed2-1'!B9)</f>
        <v>9.4200849253072025E-2</v>
      </c>
      <c r="F8" s="52">
        <f>SQRT(F7^2-'disclosed2-1'!B10)</f>
        <v>0.11485995820998716</v>
      </c>
    </row>
    <row r="9" spans="2:21" ht="16">
      <c r="B9" s="37"/>
      <c r="C9" s="37"/>
      <c r="D9" s="37"/>
      <c r="E9" s="37"/>
      <c r="F9" s="37"/>
    </row>
    <row r="10" spans="2:21" ht="16">
      <c r="B10" s="53" t="s">
        <v>366</v>
      </c>
      <c r="C10" s="53"/>
      <c r="D10" s="53"/>
      <c r="E10" s="53"/>
      <c r="F10" s="37"/>
      <c r="I10" s="12"/>
      <c r="J10" s="12"/>
      <c r="K10" s="12"/>
      <c r="L10" s="18"/>
      <c r="M10" s="18"/>
      <c r="P10" s="12"/>
      <c r="S10" s="12"/>
      <c r="T10" s="18"/>
      <c r="U10" s="18"/>
    </row>
    <row r="11" spans="2:21" ht="26.25" customHeight="1">
      <c r="B11" s="122" t="s">
        <v>365</v>
      </c>
      <c r="C11" s="37"/>
      <c r="D11" s="37"/>
      <c r="E11" s="37"/>
      <c r="F11" s="37"/>
      <c r="I11" s="12"/>
      <c r="J11" s="12"/>
      <c r="K11" s="12"/>
      <c r="L11" s="19"/>
      <c r="M11" s="19"/>
      <c r="P11" s="12"/>
      <c r="S11" s="12"/>
      <c r="T11" s="20"/>
      <c r="U11" s="16"/>
    </row>
    <row r="12" spans="2:21" ht="16">
      <c r="B12" s="37"/>
      <c r="C12" s="37" t="s">
        <v>205</v>
      </c>
      <c r="D12" s="37"/>
      <c r="E12" s="54">
        <f>VALUE(SUBSTITUTE('disclosed1-9a'!K57,"*",""))</f>
        <v>0.35499999999999998</v>
      </c>
      <c r="F12" s="54">
        <f>VALUE(SUBSTITUTE('disclosed1-9a'!H57,"*",""))</f>
        <v>0.61660000000000004</v>
      </c>
      <c r="I12" s="12"/>
      <c r="J12" s="12"/>
      <c r="K12" s="12"/>
      <c r="L12" s="18"/>
      <c r="M12" s="18"/>
      <c r="P12" s="12"/>
      <c r="Q12" s="18"/>
      <c r="R12" s="18"/>
      <c r="S12" s="12"/>
    </row>
    <row r="13" spans="2:21" ht="16">
      <c r="B13" s="37"/>
      <c r="C13" s="37" t="s">
        <v>206</v>
      </c>
      <c r="D13" s="37"/>
      <c r="E13" s="55">
        <f>VALUE('disclosed1-9a'!K58)</f>
        <v>-0.20669999999999999</v>
      </c>
      <c r="F13" s="55">
        <f>VALUE('disclosed1-9a'!H58)</f>
        <v>-0.2044</v>
      </c>
      <c r="G13" s="16"/>
      <c r="I13" s="12"/>
      <c r="J13" s="12"/>
      <c r="K13" s="12"/>
      <c r="L13" s="19"/>
      <c r="M13" s="19"/>
      <c r="P13" s="12"/>
      <c r="Q13" s="20"/>
      <c r="R13" s="16"/>
      <c r="S13" s="12"/>
    </row>
    <row r="14" spans="2:21" ht="19">
      <c r="B14" s="37"/>
      <c r="C14" s="37" t="s">
        <v>207</v>
      </c>
      <c r="D14" s="37"/>
      <c r="E14" s="54">
        <f>'T7-8calcs'!D78</f>
        <v>0.1382798262631664</v>
      </c>
      <c r="F14" s="54">
        <f>'T7-8calcs'!E78</f>
        <v>0.25599107486408246</v>
      </c>
      <c r="I14" s="12"/>
      <c r="J14" s="12"/>
      <c r="K14" s="12"/>
      <c r="L14" s="18"/>
      <c r="M14" s="18"/>
      <c r="N14" s="18"/>
      <c r="O14" s="18"/>
      <c r="P14" s="12"/>
      <c r="S14" s="12"/>
    </row>
    <row r="15" spans="2:21" ht="24.75" customHeight="1">
      <c r="B15" s="122" t="s">
        <v>365</v>
      </c>
      <c r="C15" s="37"/>
      <c r="D15" s="37"/>
      <c r="E15" s="37"/>
      <c r="F15" s="37"/>
    </row>
    <row r="16" spans="2:21" ht="16">
      <c r="B16" s="37"/>
      <c r="C16" s="37" t="s">
        <v>205</v>
      </c>
      <c r="D16" s="54">
        <f>VALUE(SUBSTITUTE('disclosed1-9a'!E65,"*",""))</f>
        <v>0.4279</v>
      </c>
      <c r="E16" s="37"/>
      <c r="F16" s="54">
        <f>VALUE(SUBSTITUTE('disclosed1-9a'!H65,"*",""))</f>
        <v>1.1439999999999999</v>
      </c>
    </row>
    <row r="17" spans="2:19" ht="16">
      <c r="B17" s="37"/>
      <c r="C17" s="37" t="s">
        <v>206</v>
      </c>
      <c r="D17" s="55">
        <f>VALUE('disclosed1-9a'!E66)</f>
        <v>-0.22220000000000001</v>
      </c>
      <c r="E17" s="56"/>
      <c r="F17" s="55">
        <f>VALUE('disclosed1-9a'!H66)</f>
        <v>-0.13550000000000001</v>
      </c>
    </row>
    <row r="18" spans="2:19" ht="19">
      <c r="B18" s="37"/>
      <c r="C18" s="37" t="s">
        <v>207</v>
      </c>
      <c r="D18" s="54">
        <f>E14</f>
        <v>0.1382798262631664</v>
      </c>
      <c r="E18" s="37"/>
      <c r="F18" s="54">
        <f>'T7-8calcs'!E83</f>
        <v>0.74142834338182639</v>
      </c>
    </row>
    <row r="19" spans="2:19" ht="26.25" customHeight="1">
      <c r="B19" s="122" t="s">
        <v>365</v>
      </c>
      <c r="C19" s="37"/>
      <c r="D19" s="37"/>
      <c r="E19" s="37"/>
      <c r="F19" s="37"/>
      <c r="I19" s="12"/>
      <c r="J19" s="12"/>
      <c r="K19" s="12"/>
      <c r="L19" s="19"/>
      <c r="M19" s="19"/>
      <c r="N19" s="20"/>
      <c r="O19" s="16"/>
      <c r="P19" s="12"/>
      <c r="S19" s="12"/>
    </row>
    <row r="20" spans="2:19" ht="16">
      <c r="B20" s="37"/>
      <c r="C20" s="37" t="s">
        <v>205</v>
      </c>
      <c r="D20" s="54">
        <f>VALUE(SUBSTITUTE('disclosed1-9a'!E61,"*",""))</f>
        <v>0.4214</v>
      </c>
      <c r="E20" s="54">
        <f>VALUE(SUBSTITUTE('disclosed1-9a'!K61,"*",""))</f>
        <v>0.64910000000000001</v>
      </c>
      <c r="F20" s="37"/>
    </row>
    <row r="21" spans="2:19" ht="16">
      <c r="B21" s="37"/>
      <c r="C21" s="37" t="s">
        <v>206</v>
      </c>
      <c r="D21" s="55">
        <f>VALUE('disclosed1-9a'!E62)</f>
        <v>-9.2869999999999994E-2</v>
      </c>
      <c r="E21" s="55">
        <f>VALUE('disclosed1-9a'!K62)</f>
        <v>-6.2230000000000001E-2</v>
      </c>
      <c r="F21" s="56"/>
      <c r="G21" s="16"/>
    </row>
    <row r="22" spans="2:19" ht="19">
      <c r="B22" s="38"/>
      <c r="C22" s="38" t="s">
        <v>207</v>
      </c>
      <c r="D22" s="57">
        <f>F14</f>
        <v>0.25599107486408246</v>
      </c>
      <c r="E22" s="57">
        <f>F18</f>
        <v>0.74142834338182639</v>
      </c>
      <c r="F22" s="38"/>
    </row>
    <row r="23" spans="2:19" ht="16">
      <c r="B23" s="37"/>
      <c r="C23" s="37"/>
      <c r="D23" s="37"/>
      <c r="E23" s="37"/>
      <c r="F23" s="37"/>
    </row>
    <row r="24" spans="2:19" ht="160" customHeight="1">
      <c r="B24" s="160" t="s">
        <v>373</v>
      </c>
      <c r="C24" s="160"/>
      <c r="D24" s="160"/>
      <c r="E24" s="160"/>
      <c r="F24" s="160"/>
      <c r="G24" s="24"/>
      <c r="H24" s="24"/>
      <c r="I24" s="24"/>
      <c r="J24" s="24"/>
      <c r="K24" s="24"/>
      <c r="L24" s="24"/>
      <c r="M24" s="24"/>
      <c r="N24" s="24"/>
    </row>
  </sheetData>
  <mergeCells count="1">
    <mergeCell ref="B24:F24"/>
  </mergeCells>
  <pageMargins left="0.7" right="0.7" top="0.75" bottom="0.75" header="0.3" footer="0.3"/>
  <pageSetup orientation="portrait" horizontalDpi="1200" verticalDpi="1200" r:id="rId1"/>
  <headerFooter>
    <oddFooter>&amp;R&amp;K00000056</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B2:Y40"/>
  <sheetViews>
    <sheetView zoomScale="130" zoomScaleNormal="130" workbookViewId="0">
      <selection activeCell="C46" sqref="C46"/>
    </sheetView>
  </sheetViews>
  <sheetFormatPr baseColWidth="10" defaultColWidth="10.83203125" defaultRowHeight="16"/>
  <cols>
    <col min="1" max="1" width="14.1640625" style="7" customWidth="1"/>
    <col min="2" max="2" width="1.1640625" style="7" customWidth="1"/>
    <col min="3" max="3" width="31" style="7" customWidth="1"/>
    <col min="4" max="4" width="15.83203125" style="7" hidden="1" customWidth="1"/>
    <col min="5" max="5" width="10" style="7" customWidth="1"/>
    <col min="6" max="6" width="2.83203125" style="7" customWidth="1"/>
    <col min="7" max="7" width="10.33203125" style="7" customWidth="1"/>
    <col min="8" max="8" width="6.5" style="7" hidden="1" customWidth="1"/>
    <col min="9" max="9" width="9" style="7" hidden="1" customWidth="1"/>
    <col min="10" max="10" width="13.83203125" style="7" hidden="1" customWidth="1"/>
    <col min="11" max="11" width="8" style="7" customWidth="1"/>
    <col min="12" max="12" width="2" style="7" customWidth="1"/>
    <col min="13" max="16" width="8" style="7" hidden="1" customWidth="1"/>
    <col min="17" max="17" width="7" style="7" hidden="1" customWidth="1"/>
    <col min="18" max="18" width="2" style="7" hidden="1" customWidth="1"/>
    <col min="19" max="19" width="11.1640625" style="7" customWidth="1"/>
    <col min="20" max="20" width="6.5" style="7" hidden="1" customWidth="1"/>
    <col min="21" max="21" width="9" style="7" hidden="1" customWidth="1"/>
    <col min="22" max="22" width="8.83203125" style="7" hidden="1" customWidth="1"/>
    <col min="23" max="23" width="7" style="7" bestFit="1" customWidth="1"/>
    <col min="24" max="24" width="3.5" style="7" customWidth="1"/>
    <col min="25" max="25" width="13.5" style="7" bestFit="1" customWidth="1"/>
    <col min="26" max="16384" width="10.83203125" style="7"/>
  </cols>
  <sheetData>
    <row r="2" spans="2:25">
      <c r="B2" s="12"/>
      <c r="C2" s="12"/>
      <c r="D2" s="12"/>
      <c r="E2" s="12"/>
      <c r="F2" s="12"/>
      <c r="G2" s="12"/>
      <c r="H2" s="12"/>
      <c r="I2" s="12"/>
      <c r="J2" s="12"/>
      <c r="K2" s="12"/>
      <c r="L2" s="12"/>
      <c r="M2" s="12"/>
      <c r="N2" s="12"/>
      <c r="O2" s="12"/>
      <c r="P2" s="12"/>
      <c r="Q2" s="12"/>
      <c r="R2" s="12"/>
      <c r="S2" s="12"/>
      <c r="T2" s="12"/>
      <c r="U2" s="12"/>
      <c r="V2" s="12"/>
      <c r="W2" s="12"/>
    </row>
    <row r="3" spans="2:25">
      <c r="B3" s="12" t="s">
        <v>208</v>
      </c>
      <c r="C3" s="12"/>
      <c r="D3" s="12"/>
      <c r="E3" s="12"/>
      <c r="F3" s="12"/>
      <c r="G3" s="12"/>
      <c r="H3" s="12"/>
      <c r="I3" s="12"/>
      <c r="J3" s="12"/>
      <c r="K3" s="12"/>
      <c r="L3" s="12"/>
      <c r="M3" s="12"/>
      <c r="N3" s="12"/>
      <c r="O3" s="12"/>
      <c r="P3" s="12"/>
      <c r="Q3" s="12"/>
      <c r="R3" s="12"/>
      <c r="S3" s="12"/>
      <c r="T3" s="12"/>
      <c r="U3" s="12"/>
      <c r="V3" s="12"/>
      <c r="W3" s="12"/>
    </row>
    <row r="4" spans="2:25" ht="12" customHeight="1">
      <c r="B4" s="13"/>
      <c r="C4" s="13"/>
      <c r="D4" s="13"/>
      <c r="E4" s="13"/>
      <c r="F4" s="13"/>
      <c r="G4" s="13"/>
      <c r="H4" s="13"/>
      <c r="I4" s="13"/>
      <c r="J4" s="13"/>
      <c r="K4" s="13"/>
      <c r="L4" s="13"/>
      <c r="M4" s="13"/>
      <c r="N4" s="13"/>
      <c r="O4" s="13"/>
      <c r="P4" s="13"/>
      <c r="Q4" s="13"/>
      <c r="R4" s="13"/>
      <c r="S4" s="13"/>
      <c r="T4" s="13"/>
      <c r="U4" s="13"/>
      <c r="V4" s="13"/>
      <c r="W4" s="13"/>
    </row>
    <row r="5" spans="2:25" ht="16" customHeight="1">
      <c r="B5" s="12"/>
      <c r="C5" s="12"/>
      <c r="D5" s="12"/>
      <c r="F5" s="12"/>
      <c r="G5" s="162" t="s">
        <v>210</v>
      </c>
      <c r="H5" s="163"/>
      <c r="I5" s="163"/>
      <c r="J5" s="163"/>
      <c r="K5" s="163"/>
      <c r="L5" s="163"/>
      <c r="M5" s="163"/>
      <c r="N5" s="163"/>
      <c r="O5" s="163"/>
      <c r="P5" s="163"/>
      <c r="Q5" s="163"/>
      <c r="R5" s="163"/>
      <c r="S5" s="163"/>
      <c r="T5" s="163"/>
      <c r="U5" s="163"/>
      <c r="V5" s="163"/>
      <c r="W5" s="163"/>
    </row>
    <row r="6" spans="2:25" ht="21" customHeight="1">
      <c r="B6" s="12"/>
      <c r="C6" s="12"/>
      <c r="D6" s="12"/>
      <c r="E6" s="16" t="s">
        <v>111</v>
      </c>
      <c r="F6" s="12"/>
      <c r="G6" s="13" t="s">
        <v>119</v>
      </c>
      <c r="H6" s="13"/>
      <c r="I6" s="13"/>
      <c r="J6" s="13"/>
      <c r="K6" s="13"/>
      <c r="L6" s="12"/>
      <c r="M6" s="13" t="s">
        <v>120</v>
      </c>
      <c r="N6" s="13"/>
      <c r="O6" s="13"/>
      <c r="P6" s="13"/>
      <c r="Q6" s="13"/>
      <c r="R6" s="12"/>
      <c r="S6" s="13" t="s">
        <v>121</v>
      </c>
      <c r="T6" s="13"/>
      <c r="U6" s="13"/>
      <c r="V6" s="13"/>
      <c r="W6" s="13"/>
    </row>
    <row r="7" spans="2:25" ht="19">
      <c r="B7" s="12"/>
      <c r="C7" s="12"/>
      <c r="D7" s="12"/>
      <c r="E7" s="16" t="s">
        <v>209</v>
      </c>
      <c r="F7" s="12"/>
      <c r="G7" s="15" t="s">
        <v>205</v>
      </c>
      <c r="H7" s="15" t="s">
        <v>107</v>
      </c>
      <c r="I7" s="15" t="s">
        <v>161</v>
      </c>
      <c r="J7" s="15" t="s">
        <v>160</v>
      </c>
      <c r="K7" s="15" t="s">
        <v>163</v>
      </c>
      <c r="L7" s="16"/>
      <c r="M7" s="15"/>
      <c r="N7" s="15" t="s">
        <v>107</v>
      </c>
      <c r="O7" s="15" t="s">
        <v>161</v>
      </c>
      <c r="P7" s="15" t="s">
        <v>160</v>
      </c>
      <c r="Q7" s="15" t="s">
        <v>163</v>
      </c>
      <c r="R7" s="16"/>
      <c r="S7" s="15" t="s">
        <v>205</v>
      </c>
      <c r="T7" s="15" t="s">
        <v>107</v>
      </c>
      <c r="U7" s="15" t="s">
        <v>161</v>
      </c>
      <c r="V7" s="15"/>
      <c r="W7" s="15" t="s">
        <v>163</v>
      </c>
      <c r="X7" s="8"/>
      <c r="Y7" s="8"/>
    </row>
    <row r="8" spans="2:25">
      <c r="B8" s="13"/>
      <c r="C8" s="13"/>
      <c r="D8" s="13"/>
      <c r="E8" s="17">
        <v>-1</v>
      </c>
      <c r="F8" s="13"/>
      <c r="G8" s="17">
        <v>-2</v>
      </c>
      <c r="H8" s="17">
        <v>-3</v>
      </c>
      <c r="I8" s="17"/>
      <c r="J8" s="17"/>
      <c r="K8" s="17">
        <v>-3</v>
      </c>
      <c r="L8" s="17"/>
      <c r="M8" s="17">
        <v>-4</v>
      </c>
      <c r="N8" s="17">
        <v>-5</v>
      </c>
      <c r="O8" s="17"/>
      <c r="P8" s="17"/>
      <c r="Q8" s="17"/>
      <c r="R8" s="17"/>
      <c r="S8" s="17">
        <v>-4</v>
      </c>
      <c r="T8" s="17">
        <v>-7</v>
      </c>
      <c r="U8" s="17"/>
      <c r="V8" s="17"/>
      <c r="W8" s="17">
        <v>-5</v>
      </c>
    </row>
    <row r="9" spans="2:25" hidden="1">
      <c r="X9" s="9"/>
    </row>
    <row r="10" spans="2:25" hidden="1">
      <c r="X10" s="8"/>
    </row>
    <row r="11" spans="2:25" hidden="1">
      <c r="X11" s="9"/>
    </row>
    <row r="12" spans="2:25" hidden="1">
      <c r="X12" s="8"/>
    </row>
    <row r="13" spans="2:25" hidden="1">
      <c r="X13" s="9"/>
    </row>
    <row r="14" spans="2:25" hidden="1">
      <c r="X14" s="8"/>
    </row>
    <row r="15" spans="2:25" ht="21" customHeight="1">
      <c r="B15" s="12" t="s">
        <v>166</v>
      </c>
      <c r="C15" s="12"/>
      <c r="D15" s="12" t="str">
        <f>'disclosed1-9a'!A45</f>
        <v>lnN_c</v>
      </c>
      <c r="E15" s="18">
        <f>VALUE('disclosed1-9a'!B45)</f>
        <v>17.91</v>
      </c>
      <c r="F15" s="18"/>
      <c r="G15" s="18">
        <f>VALUE(SUBSTITUTE('disclosed1-9a'!E45,"*",""))</f>
        <v>2.9250000000000002E-2</v>
      </c>
      <c r="H15" s="18">
        <f>VALUE('disclosed1-9a'!E47)</f>
        <v>0.10730000000000001</v>
      </c>
      <c r="I15" s="18">
        <f>1-(((59-12-1)/(59-1))*(1-H15))</f>
        <v>0.29199655172413785</v>
      </c>
      <c r="J15" s="18">
        <f>I15-'T7-8calcs'!C$73</f>
        <v>3.0619929166399773E-2</v>
      </c>
      <c r="K15" s="18">
        <f>J15/(1-'T7-8calcs'!C73)</f>
        <v>4.1455402173204745E-2</v>
      </c>
      <c r="L15" s="12"/>
      <c r="M15" s="18">
        <f>VALUE(SUBSTITUTE('disclosed1-9a'!H45,"*",""))</f>
        <v>8.5419999999999996E-2</v>
      </c>
      <c r="N15" s="18">
        <f>VALUE('disclosed1-9a'!H47)</f>
        <v>0.63039999999999996</v>
      </c>
      <c r="O15" s="18">
        <f>1-(((59-12-1)/(59-1))*(1-N15))</f>
        <v>0.70686896551724132</v>
      </c>
      <c r="P15" s="18" t="e">
        <f>O15-#REF!</f>
        <v>#REF!</v>
      </c>
      <c r="Q15" s="18" t="e">
        <f>P15/(1-#REF!)</f>
        <v>#REF!</v>
      </c>
      <c r="R15" s="12"/>
      <c r="S15" s="18">
        <f>VALUE(SUBSTITUTE('disclosed1-9a'!K45,"*",""))</f>
        <v>8.7520000000000001E-2</v>
      </c>
      <c r="T15" s="18">
        <f>VALUE('disclosed1-9a'!K47)</f>
        <v>0.72929999999999995</v>
      </c>
      <c r="U15" s="18">
        <f>1-(((59-12-1)/(59-1))*(1-T15))</f>
        <v>0.78530689655172403</v>
      </c>
      <c r="V15" s="18">
        <f>U15-'T7-8calcs'!D$73</f>
        <v>0.2170535805974757</v>
      </c>
      <c r="W15" s="18">
        <f>V15/(1-'T7-8calcs'!D$73)</f>
        <v>0.50273363668607773</v>
      </c>
      <c r="X15" s="9"/>
    </row>
    <row r="16" spans="2:25">
      <c r="B16" s="12"/>
      <c r="C16" s="12"/>
      <c r="D16" s="12"/>
      <c r="E16" s="19">
        <f>VALUE('disclosed1-9a'!B46)</f>
        <v>0.83550000000000002</v>
      </c>
      <c r="F16" s="19"/>
      <c r="G16" s="20">
        <f>VALUE('disclosed1-9a'!E46)</f>
        <v>-2.691E-2</v>
      </c>
      <c r="H16" s="16"/>
      <c r="I16" s="20"/>
      <c r="J16" s="20"/>
      <c r="K16" s="20"/>
      <c r="L16" s="12"/>
      <c r="M16" s="20">
        <f>VALUE('disclosed1-9a'!H46)</f>
        <v>-3.1350000000000003E-2</v>
      </c>
      <c r="N16" s="16"/>
      <c r="O16" s="20"/>
      <c r="P16" s="20"/>
      <c r="Q16" s="20"/>
      <c r="R16" s="12"/>
      <c r="S16" s="20">
        <f>VALUE('disclosed1-9a'!K46)</f>
        <v>-1.958E-2</v>
      </c>
      <c r="T16" s="16"/>
      <c r="U16" s="20"/>
      <c r="V16" s="20"/>
      <c r="W16" s="20"/>
      <c r="X16" s="8"/>
    </row>
    <row r="17" spans="2:24" ht="20.25" customHeight="1">
      <c r="B17" s="12" t="s">
        <v>212</v>
      </c>
      <c r="C17" s="12"/>
      <c r="D17" s="12" t="str">
        <f>'disclosed1-9a'!A17</f>
        <v>psi_c</v>
      </c>
      <c r="E17" s="18">
        <f>VALUE('disclosed1-9a'!B17)</f>
        <v>0.2356</v>
      </c>
      <c r="F17" s="18"/>
      <c r="G17" s="18">
        <f>VALUE(SUBSTITUTE('disclosed1-9a'!E17,"*",""))</f>
        <v>1.861</v>
      </c>
      <c r="H17" s="18">
        <f>VALUE('disclosed1-9a'!E19)</f>
        <v>0.74070000000000003</v>
      </c>
      <c r="I17" s="18">
        <f>1-(((59-12-1)/(59-1))*(1-H17))</f>
        <v>0.79434827586206902</v>
      </c>
      <c r="J17" s="18">
        <f>I17-'T7-8calcs'!C$73</f>
        <v>0.53297165330433094</v>
      </c>
      <c r="K17" s="18">
        <f>J17/(1-'T7-8calcs'!C73)</f>
        <v>0.721574309155945</v>
      </c>
      <c r="L17" s="12"/>
      <c r="M17" s="18">
        <f>VALUE(SUBSTITUTE('disclosed1-9a'!H17,"*",""))</f>
        <v>1.401</v>
      </c>
      <c r="N17" s="18">
        <f>VALUE('disclosed1-9a'!H19)</f>
        <v>0.63260000000000005</v>
      </c>
      <c r="O17" s="18">
        <f>1-(((59-12-1)/(59-1))*(1-N17))</f>
        <v>0.7086137931034483</v>
      </c>
      <c r="P17" s="18" t="e">
        <f>O17-#REF!</f>
        <v>#REF!</v>
      </c>
      <c r="Q17" s="18" t="e">
        <f>P17/(1-#REF!)</f>
        <v>#REF!</v>
      </c>
      <c r="R17" s="12"/>
      <c r="S17" s="18">
        <f>VALUE(SUBSTITUTE('disclosed1-9a'!K17,"*",""))</f>
        <v>0.88429999999999997</v>
      </c>
      <c r="T17" s="18">
        <f>VALUE('disclosed1-9a'!K19)</f>
        <v>0.55579999999999996</v>
      </c>
      <c r="U17" s="18">
        <f>1-(((59-12-1)/(59-1))*(1-T17))</f>
        <v>0.64770344827586201</v>
      </c>
      <c r="V17" s="18">
        <f>U17-'T7-8calcs'!D$73</f>
        <v>7.9450132321613687E-2</v>
      </c>
      <c r="W17" s="18">
        <f>V17/(1-'T7-8calcs'!D$73)</f>
        <v>0.18402024904305797</v>
      </c>
      <c r="X17" s="9"/>
    </row>
    <row r="18" spans="2:24">
      <c r="B18" s="12"/>
      <c r="C18" s="12"/>
      <c r="D18" s="12"/>
      <c r="E18" s="19">
        <f>VALUE('disclosed1-9a'!B18)</f>
        <v>4.3490000000000001E-2</v>
      </c>
      <c r="F18" s="19"/>
      <c r="G18" s="20">
        <f>VALUE('disclosed1-9a'!E18)</f>
        <v>-0.2175</v>
      </c>
      <c r="H18" s="16"/>
      <c r="I18" s="20"/>
      <c r="J18" s="20"/>
      <c r="K18" s="20"/>
      <c r="L18" s="12"/>
      <c r="M18" s="20">
        <f>VALUE('disclosed1-9a'!H18)</f>
        <v>-0.3538</v>
      </c>
      <c r="N18" s="16"/>
      <c r="O18" s="20"/>
      <c r="P18" s="20"/>
      <c r="Q18" s="20"/>
      <c r="R18" s="12"/>
      <c r="S18" s="20">
        <f>VALUE('disclosed1-9a'!K18)</f>
        <v>-0.35499999999999998</v>
      </c>
      <c r="T18" s="16"/>
      <c r="U18" s="20"/>
      <c r="V18" s="20"/>
      <c r="W18" s="20"/>
      <c r="X18" s="8"/>
    </row>
    <row r="19" spans="2:24" hidden="1">
      <c r="B19" s="12" t="s">
        <v>106</v>
      </c>
      <c r="C19" s="12"/>
      <c r="D19" s="12" t="str">
        <f>'disclosed1-9a'!A33</f>
        <v>s_psi_q1q5</v>
      </c>
      <c r="E19" s="18">
        <f>VALUE('disclosed1-9a'!B33)</f>
        <v>0.30059999999999998</v>
      </c>
      <c r="F19" s="18"/>
      <c r="G19" s="18">
        <f>VALUE(SUBSTITUTE('disclosed1-9a'!E33,"*",""))</f>
        <v>0.86560000000000004</v>
      </c>
      <c r="H19" s="18">
        <f>VALUE('disclosed1-9a'!E35)</f>
        <v>0.69550000000000001</v>
      </c>
      <c r="I19" s="18"/>
      <c r="J19" s="18"/>
      <c r="K19" s="18"/>
      <c r="L19" s="12"/>
      <c r="M19" s="18">
        <f>VALUE(SUBSTITUTE('disclosed1-9a'!H33,"*",""))</f>
        <v>0.78610000000000002</v>
      </c>
      <c r="N19" s="18">
        <f>VALUE('disclosed1-9a'!H35)</f>
        <v>0.68379999999999996</v>
      </c>
      <c r="O19" s="18"/>
      <c r="P19" s="18"/>
      <c r="Q19" s="18"/>
      <c r="R19" s="12"/>
      <c r="S19" s="18">
        <f>VALUE(SUBSTITUTE('disclosed1-9a'!K33,"*",""))</f>
        <v>0.57679999999999998</v>
      </c>
      <c r="T19" s="18">
        <f>VALUE('disclosed1-9a'!K35)</f>
        <v>0.64670000000000005</v>
      </c>
      <c r="U19" s="18"/>
      <c r="V19" s="18"/>
      <c r="W19" s="18"/>
      <c r="X19" s="9"/>
    </row>
    <row r="20" spans="2:24" hidden="1">
      <c r="B20" s="12"/>
      <c r="C20" s="12"/>
      <c r="D20" s="12"/>
      <c r="E20" s="19">
        <f>VALUE('disclosed1-9a'!B34)</f>
        <v>9.0139999999999998E-2</v>
      </c>
      <c r="F20" s="19"/>
      <c r="G20" s="20">
        <f>VALUE('disclosed1-9a'!E34)</f>
        <v>-0.1145</v>
      </c>
      <c r="H20" s="16"/>
      <c r="I20" s="20"/>
      <c r="J20" s="20"/>
      <c r="K20" s="20"/>
      <c r="L20" s="12"/>
      <c r="M20" s="20">
        <f>VALUE('disclosed1-9a'!H34)</f>
        <v>-0.15390000000000001</v>
      </c>
      <c r="N20" s="16"/>
      <c r="O20" s="20"/>
      <c r="P20" s="20"/>
      <c r="Q20" s="20"/>
      <c r="R20" s="12"/>
      <c r="S20" s="20">
        <f>VALUE('disclosed1-9a'!K34)</f>
        <v>-0.1095</v>
      </c>
      <c r="T20" s="16"/>
      <c r="U20" s="20"/>
      <c r="V20" s="20"/>
      <c r="W20" s="20"/>
      <c r="X20" s="8"/>
    </row>
    <row r="21" spans="2:24" ht="21.5" customHeight="1">
      <c r="B21" s="12" t="s">
        <v>165</v>
      </c>
      <c r="C21" s="12"/>
      <c r="D21" s="12" t="str">
        <f>'disclosed1-9a'!A5</f>
        <v>alpha_c</v>
      </c>
      <c r="E21" s="18">
        <f>VALUE('disclosed1-9a'!B5)</f>
        <v>9.4559999999999995</v>
      </c>
      <c r="F21" s="18"/>
      <c r="G21" s="18">
        <f>VALUE(SUBSTITUTE('disclosed1-9a'!E5,"*",""))</f>
        <v>0.19900000000000001</v>
      </c>
      <c r="H21" s="18">
        <f>VALUE('disclosed1-9a'!E7)</f>
        <v>0.1101</v>
      </c>
      <c r="I21" s="18">
        <f>1-(((59-12-1)/(59-1))*(1-H21))</f>
        <v>0.29421724137931027</v>
      </c>
      <c r="J21" s="18">
        <f>I21-'T7-8calcs'!C$73</f>
        <v>3.2840618821572187E-2</v>
      </c>
      <c r="K21" s="18">
        <f>J21/(1-'T7-8calcs'!C73)</f>
        <v>4.4461927180390839E-2</v>
      </c>
      <c r="L21" s="12"/>
      <c r="M21" s="18">
        <f>VALUE(SUBSTITUTE('disclosed1-9a'!H5,"*",""))</f>
        <v>0.79710000000000003</v>
      </c>
      <c r="N21" s="18">
        <f>VALUE('disclosed1-9a'!H7)</f>
        <v>0.77100000000000002</v>
      </c>
      <c r="O21" s="18">
        <f>1-(((59-12-1)/(59-1))*(1-N21))</f>
        <v>0.81837931034482758</v>
      </c>
      <c r="P21" s="18" t="e">
        <f>O21-#REF!</f>
        <v>#REF!</v>
      </c>
      <c r="Q21" s="18" t="e">
        <f>P21/(1-#REF!)</f>
        <v>#REF!</v>
      </c>
      <c r="R21" s="12"/>
      <c r="S21" s="18">
        <f>VALUE(SUBSTITUTE('disclosed1-9a'!K5,"*",""))</f>
        <v>0.66200000000000003</v>
      </c>
      <c r="T21" s="18">
        <f>VALUE('disclosed1-9a'!K7)</f>
        <v>0.81769999999999998</v>
      </c>
      <c r="U21" s="18">
        <f>1-(((59-12-1)/(59-1))*(1-T21))</f>
        <v>0.8554172413793103</v>
      </c>
      <c r="V21" s="18">
        <f>U21-'T7-8calcs'!D$73</f>
        <v>0.28716392542506197</v>
      </c>
      <c r="W21" s="18">
        <f>V21/(1-'T7-8calcs'!D$73)</f>
        <v>0.66512132237854449</v>
      </c>
      <c r="X21" s="9"/>
    </row>
    <row r="22" spans="2:24">
      <c r="B22" s="12"/>
      <c r="C22" s="12"/>
      <c r="D22" s="12"/>
      <c r="E22" s="19">
        <f>VALUE('disclosed1-9a'!B6)</f>
        <v>0.13189999999999999</v>
      </c>
      <c r="F22" s="19"/>
      <c r="G22" s="20">
        <f>VALUE('disclosed1-9a'!E6)</f>
        <v>-0.2203</v>
      </c>
      <c r="H22" s="16"/>
      <c r="I22" s="20"/>
      <c r="J22" s="20"/>
      <c r="K22" s="20"/>
      <c r="L22" s="12"/>
      <c r="M22" s="20">
        <f>VALUE('disclosed1-9a'!H6)</f>
        <v>-0.1414</v>
      </c>
      <c r="N22" s="16"/>
      <c r="O22" s="20"/>
      <c r="P22" s="20"/>
      <c r="Q22" s="20"/>
      <c r="R22" s="12"/>
      <c r="S22" s="20">
        <f>VALUE('disclosed1-9a'!K6)</f>
        <v>-7.0459999999999995E-2</v>
      </c>
      <c r="T22" s="16"/>
      <c r="U22" s="20"/>
      <c r="V22" s="20"/>
      <c r="W22" s="20"/>
      <c r="X22" s="8"/>
    </row>
    <row r="23" spans="2:24" hidden="1">
      <c r="B23" s="12" t="s">
        <v>105</v>
      </c>
      <c r="C23" s="12"/>
      <c r="D23" s="12" t="str">
        <f>'disclosed1-9a'!A13</f>
        <v>s_alpha_q1q5</v>
      </c>
      <c r="E23" s="18">
        <f>VALUE('disclosed1-9a'!B13)</f>
        <v>0.39939999999999998</v>
      </c>
      <c r="F23" s="18"/>
      <c r="G23" s="18">
        <f>VALUE(SUBSTITUTE('disclosed1-9a'!E13,"*",""))</f>
        <v>0.57730000000000004</v>
      </c>
      <c r="H23" s="18">
        <f>VALUE('disclosed1-9a'!E15)</f>
        <v>9.6610000000000001E-2</v>
      </c>
      <c r="I23" s="18"/>
      <c r="J23" s="18"/>
      <c r="K23" s="18"/>
      <c r="L23" s="12"/>
      <c r="M23" s="18">
        <f>VALUE(SUBSTITUTE('disclosed1-9a'!H13,"*",""))</f>
        <v>1.988</v>
      </c>
      <c r="N23" s="18">
        <f>VALUE('disclosed1-9a'!H15)</f>
        <v>0.63800000000000001</v>
      </c>
      <c r="O23" s="18"/>
      <c r="P23" s="18"/>
      <c r="Q23" s="18"/>
      <c r="R23" s="12"/>
      <c r="S23" s="18">
        <f>VALUE(SUBSTITUTE('disclosed1-9a'!K13,"*",""))</f>
        <v>1.9670000000000001</v>
      </c>
      <c r="T23" s="18">
        <f>VALUE('disclosed1-9a'!K15)</f>
        <v>0.72450000000000003</v>
      </c>
      <c r="U23" s="18"/>
      <c r="V23" s="18"/>
      <c r="W23" s="18"/>
      <c r="X23" s="9"/>
    </row>
    <row r="24" spans="2:24" hidden="1">
      <c r="B24" s="12"/>
      <c r="C24" s="12"/>
      <c r="D24" s="12"/>
      <c r="E24" s="19">
        <f>VALUE('disclosed1-9a'!B14)</f>
        <v>3.0589999999999999E-2</v>
      </c>
      <c r="F24" s="19"/>
      <c r="G24" s="20">
        <f>VALUE('disclosed1-9a'!E14)</f>
        <v>-0.63959999999999995</v>
      </c>
      <c r="H24" s="16"/>
      <c r="I24" s="20"/>
      <c r="J24" s="20"/>
      <c r="K24" s="20"/>
      <c r="L24" s="12"/>
      <c r="M24" s="20">
        <f>VALUE('disclosed1-9a'!H14)</f>
        <v>-0.39429999999999998</v>
      </c>
      <c r="N24" s="16"/>
      <c r="O24" s="20"/>
      <c r="P24" s="20"/>
      <c r="Q24" s="20"/>
      <c r="R24" s="12"/>
      <c r="S24" s="20">
        <f>VALUE('disclosed1-9a'!K14)</f>
        <v>-0.24809999999999999</v>
      </c>
      <c r="T24" s="16"/>
      <c r="U24" s="20"/>
      <c r="V24" s="20"/>
      <c r="W24" s="20"/>
      <c r="X24" s="8"/>
    </row>
    <row r="25" spans="2:24" ht="22.5" customHeight="1">
      <c r="B25" s="14" t="s">
        <v>211</v>
      </c>
      <c r="C25" s="21"/>
      <c r="D25" s="12"/>
      <c r="E25" s="18"/>
      <c r="F25" s="18"/>
      <c r="G25" s="18"/>
      <c r="H25" s="18"/>
      <c r="I25" s="18"/>
      <c r="J25" s="18"/>
      <c r="K25" s="18"/>
      <c r="L25" s="12"/>
      <c r="M25" s="18"/>
      <c r="N25" s="18"/>
      <c r="O25" s="18"/>
      <c r="P25" s="18"/>
      <c r="Q25" s="18"/>
      <c r="R25" s="12"/>
      <c r="S25" s="18"/>
      <c r="T25" s="18"/>
      <c r="U25" s="18"/>
      <c r="V25" s="18"/>
      <c r="W25" s="18"/>
      <c r="X25" s="9"/>
    </row>
    <row r="26" spans="2:24" ht="21" customHeight="1">
      <c r="B26" s="12"/>
      <c r="C26" s="12" t="s">
        <v>213</v>
      </c>
      <c r="D26" s="12" t="str">
        <f>'disclosed1-9a'!A29</f>
        <v>Epsi_c</v>
      </c>
      <c r="E26" s="18">
        <f>VALUE('disclosed1-9a'!B29)</f>
        <v>0.2356</v>
      </c>
      <c r="F26" s="18"/>
      <c r="G26" s="18">
        <f>VALUE(SUBSTITUTE('disclosed1-9a'!E29,"*",""))</f>
        <v>3.9750000000000001</v>
      </c>
      <c r="H26" s="18">
        <f>VALUE('disclosed1-9a'!E31)</f>
        <v>0.33250000000000002</v>
      </c>
      <c r="I26" s="18">
        <f>1-(((59-12-1)/(59-1))*(1-H26))</f>
        <v>0.47060344827586209</v>
      </c>
      <c r="J26" s="18">
        <f>I26-'T7-8calcs'!C$73</f>
        <v>0.20922682571812401</v>
      </c>
      <c r="K26" s="18">
        <f>J26/(1-'T7-8calcs'!C73)</f>
        <v>0.28326591346545787</v>
      </c>
      <c r="L26" s="12"/>
      <c r="M26" s="18">
        <f>VALUE(SUBSTITUTE('disclosed1-9a'!H29,"*",""))</f>
        <v>5.2409999999999997</v>
      </c>
      <c r="N26" s="18">
        <f>VALUE('disclosed1-9a'!H31)</f>
        <v>0.66400000000000003</v>
      </c>
      <c r="O26" s="18">
        <f>1-(((59-12-1)/(59-1))*(1-N26))</f>
        <v>0.73351724137931029</v>
      </c>
      <c r="P26" s="18" t="e">
        <f>O26-#REF!</f>
        <v>#REF!</v>
      </c>
      <c r="Q26" s="18" t="e">
        <f>P26/(1-#REF!)</f>
        <v>#REF!</v>
      </c>
      <c r="R26" s="12"/>
      <c r="S26" s="18">
        <f>VALUE(SUBSTITUTE('disclosed1-9a'!K29,"*",""))</f>
        <v>2.6150000000000002</v>
      </c>
      <c r="T26" s="18">
        <f>VALUE('disclosed1-9a'!K31)</f>
        <v>0.52990000000000004</v>
      </c>
      <c r="U26" s="18">
        <f>1-(((59-12-1)/(59-1))*(1-T26))</f>
        <v>0.62716206896551729</v>
      </c>
      <c r="V26" s="18">
        <f>U26-'T7-8calcs'!D$73</f>
        <v>5.8908753011268966E-2</v>
      </c>
      <c r="W26" s="18">
        <f>V26/(1-'T7-8calcs'!D$73)</f>
        <v>0.13644286149288984</v>
      </c>
      <c r="X26" s="9"/>
    </row>
    <row r="27" spans="2:24">
      <c r="B27" s="12"/>
      <c r="C27" s="12"/>
      <c r="D27" s="12"/>
      <c r="E27" s="19">
        <f>VALUE('disclosed1-9a'!B30)</f>
        <v>1.11E-2</v>
      </c>
      <c r="F27" s="19"/>
      <c r="G27" s="20">
        <f>VALUE('disclosed1-9a'!E30)</f>
        <v>-1.0149999999999999</v>
      </c>
      <c r="H27" s="16"/>
      <c r="I27" s="20"/>
      <c r="J27" s="20"/>
      <c r="K27" s="20"/>
      <c r="L27" s="12"/>
      <c r="M27" s="20">
        <f>VALUE('disclosed1-9a'!H30)</f>
        <v>-1.0569999999999999</v>
      </c>
      <c r="N27" s="16"/>
      <c r="O27" s="20"/>
      <c r="P27" s="20"/>
      <c r="Q27" s="20"/>
      <c r="R27" s="12"/>
      <c r="S27" s="20">
        <f>VALUE('disclosed1-9a'!K30)</f>
        <v>-0.86460000000000004</v>
      </c>
      <c r="T27" s="16"/>
      <c r="U27" s="20"/>
      <c r="V27" s="20"/>
      <c r="W27" s="20"/>
      <c r="X27" s="8"/>
    </row>
    <row r="28" spans="2:24" hidden="1">
      <c r="B28" s="12"/>
      <c r="C28" s="161" t="s">
        <v>104</v>
      </c>
      <c r="D28" s="12" t="str">
        <f>'disclosed1-9a'!A53</f>
        <v>Es_psi_q1q5</v>
      </c>
      <c r="E28" s="18">
        <f>VALUE('disclosed1-9a'!B53)</f>
        <v>0.30059999999999998</v>
      </c>
      <c r="F28" s="18"/>
      <c r="G28" s="18">
        <f>VALUE(SUBSTITUTE('disclosed1-9a'!E53,"*",""))</f>
        <v>2.077</v>
      </c>
      <c r="H28" s="18">
        <f>VALUE('disclosed1-9a'!E55)</f>
        <v>0.32290000000000002</v>
      </c>
      <c r="I28" s="18"/>
      <c r="J28" s="18"/>
      <c r="K28" s="18"/>
      <c r="L28" s="12"/>
      <c r="M28" s="18">
        <f>VALUE(SUBSTITUTE('disclosed1-9a'!H53,"*",""))</f>
        <v>3.2970000000000002</v>
      </c>
      <c r="N28" s="18">
        <f>VALUE('disclosed1-9a'!H55)</f>
        <v>0.73350000000000004</v>
      </c>
      <c r="O28" s="18"/>
      <c r="P28" s="18"/>
      <c r="Q28" s="18"/>
      <c r="R28" s="12"/>
      <c r="S28" s="18">
        <f>VALUE(SUBSTITUTE('disclosed1-9a'!K53,"*",""))</f>
        <v>1.851</v>
      </c>
      <c r="T28" s="18">
        <f>VALUE('disclosed1-9a'!K55)</f>
        <v>0.59379999999999999</v>
      </c>
      <c r="U28" s="18"/>
      <c r="V28" s="18"/>
      <c r="W28" s="18"/>
      <c r="X28" s="9"/>
    </row>
    <row r="29" spans="2:24" hidden="1">
      <c r="B29" s="12"/>
      <c r="C29" s="161"/>
      <c r="D29" s="12"/>
      <c r="E29" s="19">
        <f>VALUE('disclosed1-9a'!B54)</f>
        <v>2.1139999999999999E-2</v>
      </c>
      <c r="F29" s="19"/>
      <c r="G29" s="20">
        <f>VALUE('disclosed1-9a'!E54)</f>
        <v>-0.53139999999999998</v>
      </c>
      <c r="H29" s="16"/>
      <c r="I29" s="20"/>
      <c r="J29" s="20"/>
      <c r="K29" s="20"/>
      <c r="L29" s="12"/>
      <c r="M29" s="20">
        <f>VALUE('disclosed1-9a'!H54)</f>
        <v>-0.51270000000000004</v>
      </c>
      <c r="N29" s="16"/>
      <c r="O29" s="20"/>
      <c r="P29" s="20"/>
      <c r="Q29" s="20"/>
      <c r="R29" s="12"/>
      <c r="S29" s="20">
        <f>VALUE('disclosed1-9a'!K54)</f>
        <v>-0.41739999999999999</v>
      </c>
      <c r="T29" s="16"/>
      <c r="U29" s="20"/>
      <c r="V29" s="20"/>
      <c r="W29" s="20"/>
      <c r="X29" s="8"/>
    </row>
    <row r="30" spans="2:24">
      <c r="B30" s="12"/>
      <c r="C30" s="12" t="s">
        <v>169</v>
      </c>
      <c r="D30" s="12" t="str">
        <f>'disclosed1-9a'!A21</f>
        <v>Ealpha_c</v>
      </c>
      <c r="E30" s="18">
        <f>VALUE('disclosed1-9a'!B21)</f>
        <v>9.4559999999999995</v>
      </c>
      <c r="F30" s="18"/>
      <c r="G30" s="18">
        <f>VALUE(SUBSTITUTE('disclosed1-9a'!E21,"*",""))</f>
        <v>1.3540000000000001</v>
      </c>
      <c r="H30" s="18">
        <f>VALUE('disclosed1-9a'!E23)</f>
        <v>0.18859999999999999</v>
      </c>
      <c r="I30" s="18">
        <f>1-(((59-12-1)/(59-1))*(1-H30))</f>
        <v>0.35647586206896553</v>
      </c>
      <c r="J30" s="18">
        <f>I30-'T7-8calcs'!C$73</f>
        <v>9.5099239511227451E-2</v>
      </c>
      <c r="K30" s="18">
        <f>J30/(1-'T7-8calcs'!C73)</f>
        <v>0.12875200327471539</v>
      </c>
      <c r="L30" s="12"/>
      <c r="M30" s="18">
        <f>VALUE(SUBSTITUTE('disclosed1-9a'!H21,"*",""))</f>
        <v>3.3929999999999998</v>
      </c>
      <c r="N30" s="18">
        <f>VALUE('disclosed1-9a'!H23)</f>
        <v>0.78320000000000001</v>
      </c>
      <c r="O30" s="18">
        <f>1-(((59-12-1)/(59-1))*(1-N30))</f>
        <v>0.82805517241379312</v>
      </c>
      <c r="P30" s="18" t="e">
        <f>O30-#REF!</f>
        <v>#REF!</v>
      </c>
      <c r="Q30" s="18" t="e">
        <f>P30/(1-#REF!)</f>
        <v>#REF!</v>
      </c>
      <c r="R30" s="12"/>
      <c r="S30" s="18">
        <f>VALUE(SUBSTITUTE('disclosed1-9a'!K21,"*",""))</f>
        <v>2.36</v>
      </c>
      <c r="T30" s="18">
        <f>VALUE('disclosed1-9a'!K23)</f>
        <v>0.71840000000000004</v>
      </c>
      <c r="U30" s="18">
        <f>1-(((59-12-1)/(59-1))*(1-T30))</f>
        <v>0.77666206896551726</v>
      </c>
      <c r="V30" s="18">
        <f>U30-'T7-8calcs'!D$73</f>
        <v>0.20840875301126893</v>
      </c>
      <c r="W30" s="18">
        <f>V30/(1-'T7-8calcs'!D$73)</f>
        <v>0.48271072069006121</v>
      </c>
      <c r="X30" s="9"/>
    </row>
    <row r="31" spans="2:24">
      <c r="B31" s="12"/>
      <c r="C31" s="12"/>
      <c r="D31" s="12"/>
      <c r="E31" s="19">
        <f>VALUE('disclosed1-9a'!B22)</f>
        <v>3.0519999999999999E-2</v>
      </c>
      <c r="F31" s="19"/>
      <c r="G31" s="20">
        <f>VALUE('disclosed1-9a'!E22)</f>
        <v>-0.48080000000000001</v>
      </c>
      <c r="H31" s="16"/>
      <c r="I31" s="20"/>
      <c r="J31" s="20"/>
      <c r="K31" s="20"/>
      <c r="L31" s="12"/>
      <c r="M31" s="20">
        <f>VALUE('disclosed1-9a'!H22)</f>
        <v>-0.42880000000000001</v>
      </c>
      <c r="N31" s="16"/>
      <c r="O31" s="20"/>
      <c r="P31" s="20"/>
      <c r="Q31" s="20"/>
      <c r="R31" s="12"/>
      <c r="S31" s="20">
        <f>VALUE('disclosed1-9a'!K22)</f>
        <v>-0.38500000000000001</v>
      </c>
      <c r="T31" s="16"/>
      <c r="U31" s="20"/>
      <c r="V31" s="20"/>
      <c r="W31" s="20"/>
      <c r="X31" s="8"/>
    </row>
    <row r="32" spans="2:24" hidden="1">
      <c r="B32" s="12"/>
      <c r="C32" s="161" t="s">
        <v>103</v>
      </c>
      <c r="D32" s="12" t="str">
        <f>'disclosed1-9a'!A25</f>
        <v>Es_alpha_q1q5</v>
      </c>
      <c r="E32" s="18">
        <f>VALUE('disclosed1-9a'!B25)</f>
        <v>0.38719999999999999</v>
      </c>
      <c r="F32" s="18"/>
      <c r="G32" s="18">
        <f>VALUE(SUBSTITUTE('disclosed1-9a'!E25,"*",""))</f>
        <v>1.9570000000000001</v>
      </c>
      <c r="H32" s="18">
        <f>VALUE('disclosed1-9a'!E27)</f>
        <v>8.6080000000000004E-2</v>
      </c>
      <c r="I32" s="18"/>
      <c r="J32" s="18"/>
      <c r="K32" s="18"/>
      <c r="L32" s="12"/>
      <c r="M32" s="18">
        <f>VALUE(SUBSTITUTE('disclosed1-9a'!H25,"*",""))</f>
        <v>8.593</v>
      </c>
      <c r="N32" s="18">
        <f>VALUE('disclosed1-9a'!H27)</f>
        <v>0.65529999999999999</v>
      </c>
      <c r="O32" s="18"/>
      <c r="P32" s="18"/>
      <c r="Q32" s="18"/>
      <c r="R32" s="12"/>
      <c r="S32" s="18">
        <f>VALUE(SUBSTITUTE('disclosed1-9a'!K25,"*",""))</f>
        <v>7.0190000000000001</v>
      </c>
      <c r="T32" s="18">
        <f>VALUE('disclosed1-9a'!K27)</f>
        <v>0.65820000000000001</v>
      </c>
      <c r="U32" s="18"/>
      <c r="V32" s="18"/>
      <c r="W32" s="18"/>
      <c r="X32" s="9"/>
    </row>
    <row r="33" spans="2:24" hidden="1">
      <c r="B33" s="12"/>
      <c r="C33" s="161"/>
      <c r="D33" s="12"/>
      <c r="E33" s="19">
        <f>VALUE('disclosed1-9a'!B26)</f>
        <v>9.5239999999999995E-3</v>
      </c>
      <c r="F33" s="19"/>
      <c r="G33" s="20">
        <f>VALUE('disclosed1-9a'!E26)</f>
        <v>-2.1269999999999998</v>
      </c>
      <c r="H33" s="16"/>
      <c r="I33" s="20"/>
      <c r="J33" s="20"/>
      <c r="K33" s="20"/>
      <c r="L33" s="12"/>
      <c r="M33" s="20">
        <f>VALUE('disclosed1-9a'!H26)</f>
        <v>-2.7490000000000001</v>
      </c>
      <c r="N33" s="16"/>
      <c r="O33" s="20"/>
      <c r="P33" s="20"/>
      <c r="Q33" s="20"/>
      <c r="R33" s="12"/>
      <c r="S33" s="20">
        <f>VALUE('disclosed1-9a'!K26)</f>
        <v>-1.6579999999999999</v>
      </c>
      <c r="T33" s="16"/>
      <c r="U33" s="20"/>
      <c r="V33" s="20"/>
      <c r="W33" s="20"/>
      <c r="X33" s="8"/>
    </row>
    <row r="34" spans="2:24" ht="18" customHeight="1">
      <c r="B34" s="14" t="s">
        <v>214</v>
      </c>
      <c r="C34" s="28"/>
      <c r="D34" s="12"/>
      <c r="E34" s="19"/>
      <c r="F34" s="19"/>
      <c r="G34" s="20"/>
      <c r="H34" s="16"/>
      <c r="I34" s="20"/>
      <c r="J34" s="20"/>
      <c r="K34" s="20"/>
      <c r="L34" s="12"/>
      <c r="M34" s="20"/>
      <c r="N34" s="16"/>
      <c r="O34" s="20"/>
      <c r="P34" s="20"/>
      <c r="Q34" s="20"/>
      <c r="R34" s="12"/>
      <c r="S34" s="20"/>
      <c r="T34" s="16"/>
      <c r="U34" s="20"/>
      <c r="V34" s="20"/>
      <c r="W34" s="20"/>
      <c r="X34" s="8"/>
    </row>
    <row r="35" spans="2:24">
      <c r="C35" s="12" t="s">
        <v>102</v>
      </c>
      <c r="D35" s="12" t="str">
        <f>'disclosed1-9a'!A41</f>
        <v>coverage</v>
      </c>
      <c r="E35" s="18">
        <f>VALUE('disclosed1-9a'!B41)</f>
        <v>0.1303</v>
      </c>
      <c r="F35" s="18"/>
      <c r="G35" s="18">
        <f>VALUE(SUBSTITUTE('disclosed1-9a'!E41,"*",""))</f>
        <v>0.4496</v>
      </c>
      <c r="H35" s="18">
        <f>VALUE('disclosed1-9a'!E43)</f>
        <v>8.9719999999999994E-2</v>
      </c>
      <c r="I35" s="18">
        <f>1-(((59-12-1)/(59-1))*(1-H35))</f>
        <v>0.27805379310344824</v>
      </c>
      <c r="J35" s="18">
        <f>I35-'T7-8calcs'!C$73</f>
        <v>1.6677170545710163E-2</v>
      </c>
      <c r="K35" s="18">
        <f>J35/(1-'T7-8calcs'!C73)</f>
        <v>2.2578720163800685E-2</v>
      </c>
      <c r="L35" s="12"/>
      <c r="M35" s="18">
        <f>VALUE(SUBSTITUTE('disclosed1-9a'!H41,"*",""))</f>
        <v>0.14630000000000001</v>
      </c>
      <c r="N35" s="18">
        <f>VALUE('disclosed1-9a'!H43)</f>
        <v>0.49059999999999998</v>
      </c>
      <c r="O35" s="18">
        <f>1-(((59-12-1)/(59-1))*(1-N35))</f>
        <v>0.59599310344827572</v>
      </c>
      <c r="P35" s="18" t="e">
        <f>O35-#REF!</f>
        <v>#REF!</v>
      </c>
      <c r="Q35" s="18" t="e">
        <f>P35/(1-#REF!)</f>
        <v>#REF!</v>
      </c>
      <c r="R35" s="12"/>
      <c r="S35" s="18">
        <f>VALUE(SUBSTITUTE('disclosed1-9a'!K41,"*",""))</f>
        <v>0.61309999999999998</v>
      </c>
      <c r="T35" s="18">
        <f>VALUE('disclosed1-9a'!K43)</f>
        <v>0.48230000000000001</v>
      </c>
      <c r="U35" s="18">
        <f>1-(((59-12-1)/(59-1))*(1-T35))</f>
        <v>0.58941034482758614</v>
      </c>
      <c r="V35" s="18">
        <f>U35-'T7-8calcs'!D$73</f>
        <v>2.1157028873337813E-2</v>
      </c>
      <c r="W35" s="18">
        <f>V35/(1-'T7-8calcs'!D$73)</f>
        <v>4.9003338427715239E-2</v>
      </c>
      <c r="X35" s="9"/>
    </row>
    <row r="36" spans="2:24">
      <c r="C36" s="12"/>
      <c r="D36" s="12"/>
      <c r="E36" s="19">
        <f>VALUE('disclosed1-9a'!B42)</f>
        <v>6.0130000000000003E-2</v>
      </c>
      <c r="F36" s="19"/>
      <c r="G36" s="20">
        <f>VALUE('disclosed1-9a'!E42)</f>
        <v>-0.52780000000000005</v>
      </c>
      <c r="H36" s="16"/>
      <c r="I36" s="20"/>
      <c r="J36" s="20"/>
      <c r="K36" s="20"/>
      <c r="L36" s="12"/>
      <c r="M36" s="20">
        <f>VALUE('disclosed1-9a'!H42)</f>
        <v>-0.42020000000000002</v>
      </c>
      <c r="N36" s="16"/>
      <c r="O36" s="20"/>
      <c r="P36" s="20"/>
      <c r="Q36" s="20"/>
      <c r="R36" s="12"/>
      <c r="S36" s="20">
        <f>VALUE('disclosed1-9a'!K42)</f>
        <v>-0.36280000000000001</v>
      </c>
      <c r="T36" s="16"/>
      <c r="U36" s="20"/>
      <c r="V36" s="20"/>
      <c r="W36" s="20"/>
      <c r="X36" s="8"/>
    </row>
    <row r="37" spans="2:24">
      <c r="C37" s="12" t="s">
        <v>101</v>
      </c>
      <c r="D37" s="12" t="str">
        <f>'disclosed1-9a'!A49</f>
        <v>lnmw</v>
      </c>
      <c r="E37" s="18">
        <f>VALUE('disclosed1-9a'!B49)</f>
        <v>2.089</v>
      </c>
      <c r="F37" s="18"/>
      <c r="G37" s="18">
        <f>VALUE(SUBSTITUTE('disclosed1-9a'!E49,"*",""))</f>
        <v>0.2417</v>
      </c>
      <c r="H37" s="18">
        <f>VALUE('disclosed1-9a'!E51)</f>
        <v>0.1249</v>
      </c>
      <c r="I37" s="18">
        <f>1-(((59-12-1)/(59-1))*(1-H37))</f>
        <v>0.30595517241379311</v>
      </c>
      <c r="J37" s="18">
        <f>I37-'T7-8calcs'!C$73</f>
        <v>4.4578549856055028E-2</v>
      </c>
      <c r="K37" s="18">
        <f>J37/(1-'T7-8calcs'!C73)</f>
        <v>6.0353559361231733E-2</v>
      </c>
      <c r="L37" s="12"/>
      <c r="M37" s="18">
        <f>VALUE(SUBSTITUTE('disclosed1-9a'!H49,"*",""))</f>
        <v>0.46660000000000001</v>
      </c>
      <c r="N37" s="18">
        <f>VALUE('disclosed1-9a'!H51)</f>
        <v>0.57550000000000001</v>
      </c>
      <c r="O37" s="18">
        <f>1-(((59-12-1)/(59-1))*(1-N37))</f>
        <v>0.66332758620689658</v>
      </c>
      <c r="P37" s="18" t="e">
        <f>O37-#REF!</f>
        <v>#REF!</v>
      </c>
      <c r="Q37" s="18" t="e">
        <f>P37/(1-#REF!)</f>
        <v>#REF!</v>
      </c>
      <c r="R37" s="12"/>
      <c r="S37" s="18">
        <f>VALUE(SUBSTITUTE('disclosed1-9a'!K49,"*",""))</f>
        <v>0.41909999999999997</v>
      </c>
      <c r="T37" s="18">
        <f>VALUE('disclosed1-9a'!K51)</f>
        <v>0.57940000000000003</v>
      </c>
      <c r="U37" s="18">
        <f>1-(((59-12-1)/(59-1))*(1-T37))</f>
        <v>0.66642068965517243</v>
      </c>
      <c r="V37" s="18">
        <f>U37-'T7-8calcs'!D$73</f>
        <v>9.8167373700924099E-2</v>
      </c>
      <c r="W37" s="18">
        <f>V37/(1-'T7-8calcs'!D$73)</f>
        <v>0.22737261762158995</v>
      </c>
      <c r="X37" s="9"/>
    </row>
    <row r="38" spans="2:24">
      <c r="B38" s="13"/>
      <c r="C38" s="13"/>
      <c r="D38" s="13"/>
      <c r="E38" s="22">
        <f>VALUE('disclosed1-9a'!B50)</f>
        <v>0.11119999999999999</v>
      </c>
      <c r="F38" s="22"/>
      <c r="G38" s="23">
        <f>VALUE('disclosed1-9a'!E50)</f>
        <v>-0.14380000000000001</v>
      </c>
      <c r="H38" s="23"/>
      <c r="I38" s="23"/>
      <c r="J38" s="23"/>
      <c r="K38" s="23"/>
      <c r="L38" s="13"/>
      <c r="M38" s="23">
        <f>VALUE('disclosed1-9a'!H50)</f>
        <v>-0.13420000000000001</v>
      </c>
      <c r="N38" s="15"/>
      <c r="O38" s="23"/>
      <c r="P38" s="23"/>
      <c r="Q38" s="23"/>
      <c r="R38" s="13"/>
      <c r="S38" s="23">
        <f>VALUE('disclosed1-9a'!K50)</f>
        <v>-9.5259999999999997E-2</v>
      </c>
      <c r="T38" s="15"/>
      <c r="U38" s="23"/>
      <c r="V38" s="23"/>
      <c r="W38" s="23"/>
      <c r="X38" s="8"/>
    </row>
    <row r="39" spans="2:24" ht="18" customHeight="1">
      <c r="B39" s="12"/>
      <c r="C39" s="12"/>
      <c r="D39" s="12"/>
      <c r="E39" s="12"/>
      <c r="F39" s="12"/>
      <c r="G39" s="12"/>
      <c r="H39" s="12"/>
      <c r="I39" s="12"/>
      <c r="J39" s="12"/>
      <c r="K39" s="12"/>
      <c r="L39" s="12"/>
      <c r="M39" s="12"/>
      <c r="N39" s="12"/>
      <c r="O39" s="12"/>
      <c r="P39" s="12"/>
      <c r="Q39" s="12"/>
      <c r="R39" s="12"/>
      <c r="S39" s="12"/>
      <c r="T39" s="12"/>
      <c r="U39" s="12"/>
      <c r="V39" s="12"/>
      <c r="W39" s="12"/>
    </row>
    <row r="40" spans="2:24" ht="65.25" customHeight="1">
      <c r="B40" s="161" t="s">
        <v>368</v>
      </c>
      <c r="C40" s="161"/>
      <c r="D40" s="161"/>
      <c r="E40" s="161"/>
      <c r="F40" s="161"/>
      <c r="G40" s="161"/>
      <c r="H40" s="161"/>
      <c r="I40" s="161"/>
      <c r="J40" s="161"/>
      <c r="K40" s="161"/>
      <c r="L40" s="161"/>
      <c r="M40" s="161"/>
      <c r="N40" s="161"/>
      <c r="O40" s="161"/>
      <c r="P40" s="161"/>
      <c r="Q40" s="161"/>
      <c r="R40" s="161"/>
      <c r="S40" s="161"/>
      <c r="T40" s="161"/>
      <c r="U40" s="161"/>
      <c r="V40" s="161"/>
      <c r="W40" s="161"/>
    </row>
  </sheetData>
  <mergeCells count="4">
    <mergeCell ref="B40:W40"/>
    <mergeCell ref="C32:C33"/>
    <mergeCell ref="C28:C29"/>
    <mergeCell ref="G5:W5"/>
  </mergeCells>
  <pageMargins left="0.7" right="0.7" top="0.75" bottom="0.75" header="0.3" footer="0.3"/>
  <pageSetup orientation="portrait" horizontalDpi="1200" verticalDpi="1200" r:id="rId1"/>
  <headerFooter>
    <oddFooter>&amp;R&amp;K00000057</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pageSetUpPr fitToPage="1"/>
  </sheetPr>
  <dimension ref="B2:F34"/>
  <sheetViews>
    <sheetView workbookViewId="0">
      <selection activeCell="D45" sqref="D45"/>
    </sheetView>
  </sheetViews>
  <sheetFormatPr baseColWidth="10" defaultColWidth="10.6640625" defaultRowHeight="15"/>
  <cols>
    <col min="2" max="2" width="42.83203125" customWidth="1"/>
    <col min="3" max="3" width="14.5" style="1" customWidth="1"/>
    <col min="4" max="4" width="10.83203125" style="1"/>
    <col min="5" max="6" width="12.33203125" style="1" customWidth="1"/>
  </cols>
  <sheetData>
    <row r="2" spans="2:6" ht="19">
      <c r="B2" s="60" t="s">
        <v>236</v>
      </c>
      <c r="C2" s="70"/>
    </row>
    <row r="3" spans="2:6" ht="19">
      <c r="B3" s="60"/>
      <c r="C3" s="72"/>
      <c r="D3" s="33"/>
      <c r="E3" s="33"/>
      <c r="F3" s="33"/>
    </row>
    <row r="4" spans="2:6" ht="40">
      <c r="B4" s="61"/>
      <c r="C4" s="75" t="s">
        <v>269</v>
      </c>
      <c r="D4" s="75" t="s">
        <v>290</v>
      </c>
      <c r="E4" s="75" t="s">
        <v>258</v>
      </c>
      <c r="F4" s="75" t="s">
        <v>259</v>
      </c>
    </row>
    <row r="5" spans="2:6" ht="23.75" customHeight="1">
      <c r="B5" s="62"/>
      <c r="C5" s="74" t="s">
        <v>271</v>
      </c>
      <c r="D5" s="74" t="s">
        <v>272</v>
      </c>
      <c r="E5" s="74" t="s">
        <v>273</v>
      </c>
      <c r="F5" s="74" t="s">
        <v>274</v>
      </c>
    </row>
    <row r="6" spans="2:6" ht="23" customHeight="1">
      <c r="B6" s="63" t="s">
        <v>270</v>
      </c>
      <c r="C6" s="70"/>
    </row>
    <row r="7" spans="2:6" ht="22.5" customHeight="1">
      <c r="B7" s="60" t="s">
        <v>260</v>
      </c>
      <c r="C7" s="71">
        <f>VALUE('disclosed2-4'!C4)</f>
        <v>0.40600000000000014</v>
      </c>
      <c r="D7" s="71">
        <f>SQRT(C7)</f>
        <v>0.63718129288295977</v>
      </c>
      <c r="E7" s="71"/>
      <c r="F7" s="71">
        <f>+C7/D$7^2</f>
        <v>1</v>
      </c>
    </row>
    <row r="8" spans="2:6" ht="10.25" customHeight="1">
      <c r="B8" s="60"/>
      <c r="C8" s="71"/>
      <c r="D8" s="71"/>
      <c r="E8" s="71"/>
      <c r="F8" s="71"/>
    </row>
    <row r="9" spans="2:6" ht="19">
      <c r="B9" s="79" t="s">
        <v>237</v>
      </c>
      <c r="C9" s="71"/>
      <c r="D9" s="71"/>
      <c r="E9" s="71"/>
      <c r="F9" s="71"/>
    </row>
    <row r="10" spans="2:6" ht="19">
      <c r="B10" s="60" t="s">
        <v>261</v>
      </c>
      <c r="C10" s="71">
        <f>'disclosed2-4'!C5</f>
        <v>0.27400000000000008</v>
      </c>
      <c r="D10" s="71">
        <f>SQRT(C10)</f>
        <v>0.52345009313209612</v>
      </c>
      <c r="E10" s="71"/>
      <c r="F10" s="71">
        <f>+C10/D$7^2</f>
        <v>0.67487684729064035</v>
      </c>
    </row>
    <row r="11" spans="2:6" ht="19">
      <c r="B11" s="60" t="s">
        <v>262</v>
      </c>
      <c r="C11" s="71">
        <f>'disclosed2-4'!C6</f>
        <v>4.3980000000000019E-2</v>
      </c>
      <c r="D11" s="71">
        <f>SQRT(C11)</f>
        <v>0.20971409108593542</v>
      </c>
      <c r="E11" s="71"/>
      <c r="F11" s="71">
        <f>+C11/D$7^2</f>
        <v>0.10832512315270937</v>
      </c>
    </row>
    <row r="12" spans="2:6" ht="19">
      <c r="B12" s="60" t="s">
        <v>263</v>
      </c>
      <c r="C12" s="71">
        <f>'disclosed2-4'!C7</f>
        <v>1.8740000000000007E-2</v>
      </c>
      <c r="D12" s="71">
        <f>SQRT(C12)</f>
        <v>0.13689411966918086</v>
      </c>
      <c r="E12" s="71"/>
      <c r="F12" s="71">
        <f>+C12/D$7^2</f>
        <v>4.6157635467980296E-2</v>
      </c>
    </row>
    <row r="13" spans="2:6" ht="19">
      <c r="B13" s="60" t="s">
        <v>264</v>
      </c>
      <c r="C13" s="71">
        <f>'disclosed2-4'!C8</f>
        <v>4.9160000000000023E-2</v>
      </c>
      <c r="D13" s="71">
        <f>SQRT(C13)</f>
        <v>0.22172054483064943</v>
      </c>
      <c r="E13" s="71"/>
      <c r="F13" s="71">
        <f>+C13/D$7^2</f>
        <v>0.12108374384236455</v>
      </c>
    </row>
    <row r="14" spans="2:6" ht="23.25" customHeight="1">
      <c r="B14" s="79" t="s">
        <v>265</v>
      </c>
      <c r="C14" s="71"/>
      <c r="D14" s="71"/>
      <c r="E14" s="71"/>
      <c r="F14" s="71"/>
    </row>
    <row r="15" spans="2:6" ht="19">
      <c r="B15" s="60" t="s">
        <v>266</v>
      </c>
      <c r="C15" s="71">
        <f>'disclosed2-4'!C9/2</f>
        <v>1.4440000000000007E-2</v>
      </c>
      <c r="D15" s="71"/>
      <c r="E15" s="71">
        <f>C15/(D10*D11)</f>
        <v>0.13154195717405229</v>
      </c>
      <c r="F15" s="71">
        <f>2*C15/D$7^2</f>
        <v>7.1133004926108384E-2</v>
      </c>
    </row>
    <row r="16" spans="2:6" ht="19">
      <c r="B16" s="60" t="s">
        <v>268</v>
      </c>
      <c r="C16" s="71">
        <f>'disclosed2-4'!C10/2</f>
        <v>-5.0300000000000024E-3</v>
      </c>
      <c r="D16" s="71"/>
      <c r="E16" s="71">
        <f>C16/(D10*D12)</f>
        <v>-7.0195279943180811E-2</v>
      </c>
      <c r="F16" s="71">
        <f>2*C16/D$7^2</f>
        <v>-2.4778325123152714E-2</v>
      </c>
    </row>
    <row r="17" spans="2:6" ht="19">
      <c r="B17" s="62" t="s">
        <v>267</v>
      </c>
      <c r="C17" s="73">
        <f>'disclosed2-4'!C12/2</f>
        <v>6.5650000000000029E-4</v>
      </c>
      <c r="D17" s="73"/>
      <c r="E17" s="73">
        <f>C17/(D11*D12)</f>
        <v>2.2867691498415402E-2</v>
      </c>
      <c r="F17" s="73">
        <f>2*C17/D$7^2</f>
        <v>3.2339901477832517E-3</v>
      </c>
    </row>
    <row r="18" spans="2:6" ht="7.25" customHeight="1">
      <c r="B18" s="60"/>
      <c r="C18" s="71"/>
      <c r="D18" s="71"/>
      <c r="E18" s="71"/>
      <c r="F18" s="71"/>
    </row>
    <row r="19" spans="2:6" ht="19">
      <c r="B19" s="63" t="s">
        <v>289</v>
      </c>
      <c r="C19" s="70"/>
    </row>
    <row r="20" spans="2:6" ht="23" customHeight="1">
      <c r="B20" s="60" t="s">
        <v>260</v>
      </c>
      <c r="C20" s="71">
        <f>D20^2</f>
        <v>0.42588675999999992</v>
      </c>
      <c r="D20" s="71">
        <f>VALUE('L3disclosure7-2'!B7)</f>
        <v>0.65259999999999996</v>
      </c>
      <c r="E20" s="71"/>
      <c r="F20" s="71">
        <v>1</v>
      </c>
    </row>
    <row r="21" spans="2:6" ht="7.5" customHeight="1">
      <c r="B21" s="60"/>
      <c r="C21" s="71"/>
      <c r="D21" s="71"/>
      <c r="E21" s="71"/>
      <c r="F21" s="71"/>
    </row>
    <row r="22" spans="2:6" ht="19">
      <c r="B22" s="79" t="s">
        <v>237</v>
      </c>
      <c r="C22" s="71"/>
      <c r="D22" s="71"/>
      <c r="E22" s="71"/>
      <c r="F22" s="71"/>
    </row>
    <row r="23" spans="2:6" ht="19">
      <c r="B23" s="60" t="s">
        <v>261</v>
      </c>
      <c r="C23" s="71">
        <f>F23*C$20</f>
        <v>0.27444142814399991</v>
      </c>
      <c r="D23" s="71">
        <f>SQRT(C23)</f>
        <v>0.52387157600312684</v>
      </c>
      <c r="E23" s="71"/>
      <c r="F23" s="71">
        <f>VALUE('L3disclosure7-2'!B8)</f>
        <v>0.64439999999999997</v>
      </c>
    </row>
    <row r="24" spans="2:6" ht="19">
      <c r="B24" s="60" t="s">
        <v>262</v>
      </c>
      <c r="C24" s="71">
        <f>F24*C$20</f>
        <v>4.9658396215999989E-2</v>
      </c>
      <c r="D24" s="71">
        <f>SQRT(C24)</f>
        <v>0.22284163932263645</v>
      </c>
      <c r="E24" s="71"/>
      <c r="F24" s="71">
        <f>VALUE('L3disclosure7-2'!B9)</f>
        <v>0.1166</v>
      </c>
    </row>
    <row r="25" spans="2:6" ht="19">
      <c r="B25" s="60" t="s">
        <v>263</v>
      </c>
      <c r="C25" s="71">
        <f>F25*C$20</f>
        <v>1.8138517108399997E-2</v>
      </c>
      <c r="D25" s="71">
        <f>SQRT(C25)</f>
        <v>0.13467931210249032</v>
      </c>
      <c r="E25" s="71"/>
      <c r="F25" s="71">
        <f>VALUE('L3disclosure7-2'!B10)</f>
        <v>4.2590000000000003E-2</v>
      </c>
    </row>
    <row r="26" spans="2:6" ht="19">
      <c r="B26" s="60" t="s">
        <v>264</v>
      </c>
      <c r="C26" s="71">
        <f>F26*C$20</f>
        <v>5.3874675139999988E-2</v>
      </c>
      <c r="D26" s="71">
        <f>SQRT(C26)</f>
        <v>0.2321091879698001</v>
      </c>
      <c r="E26" s="71"/>
      <c r="F26" s="71">
        <f>VALUE('L3disclosure7-2'!B11)</f>
        <v>0.1265</v>
      </c>
    </row>
    <row r="27" spans="2:6" ht="24.5" customHeight="1">
      <c r="B27" s="79" t="s">
        <v>265</v>
      </c>
      <c r="C27" s="71"/>
      <c r="D27" s="71"/>
      <c r="E27" s="71"/>
      <c r="F27" s="71"/>
    </row>
    <row r="28" spans="2:6" ht="19">
      <c r="B28" s="60" t="s">
        <v>266</v>
      </c>
      <c r="C28" s="71">
        <f>F28*C$20/2</f>
        <v>2.1294337999999996E-2</v>
      </c>
      <c r="D28" s="71"/>
      <c r="E28" s="71">
        <f>C28/(D23*D24)</f>
        <v>0.18240761429379049</v>
      </c>
      <c r="F28" s="71">
        <f>VALUE('L3disclosure7-2'!B12)</f>
        <v>0.1</v>
      </c>
    </row>
    <row r="29" spans="2:6" ht="19">
      <c r="B29" s="60" t="s">
        <v>268</v>
      </c>
      <c r="C29" s="71">
        <f>F29*C$20/2</f>
        <v>-7.0484258779999979E-3</v>
      </c>
      <c r="D29" s="71"/>
      <c r="E29" s="71">
        <f>C29/(D23*D25)</f>
        <v>-9.9900212540645961E-2</v>
      </c>
      <c r="F29" s="71">
        <f>VALUE('L3disclosure7-2'!B13)</f>
        <v>-3.3099999999999997E-2</v>
      </c>
    </row>
    <row r="30" spans="2:6" ht="19">
      <c r="B30" s="62" t="s">
        <v>267</v>
      </c>
      <c r="C30" s="73">
        <f>F30*C$20/2</f>
        <v>6.1434165129999985E-4</v>
      </c>
      <c r="D30" s="73"/>
      <c r="E30" s="73">
        <f>C30/(F24*F25)</f>
        <v>0.12370970470363028</v>
      </c>
      <c r="F30" s="73">
        <f>VALUE('L3disclosure7-2'!B15)</f>
        <v>2.885E-3</v>
      </c>
    </row>
    <row r="31" spans="2:6" ht="19">
      <c r="B31" s="60"/>
      <c r="C31" s="71"/>
      <c r="D31" s="71"/>
      <c r="E31" s="71"/>
      <c r="F31" s="71"/>
    </row>
    <row r="32" spans="2:6">
      <c r="B32" s="164" t="s">
        <v>291</v>
      </c>
      <c r="C32" s="164"/>
      <c r="D32" s="165"/>
      <c r="E32" s="165"/>
      <c r="F32" s="165"/>
    </row>
    <row r="33" spans="2:6">
      <c r="B33" s="164"/>
      <c r="C33" s="164"/>
      <c r="D33" s="165"/>
      <c r="E33" s="165"/>
      <c r="F33" s="165"/>
    </row>
    <row r="34" spans="2:6" ht="45" customHeight="1">
      <c r="B34" s="164"/>
      <c r="C34" s="164"/>
      <c r="D34" s="165"/>
      <c r="E34" s="165"/>
      <c r="F34" s="165"/>
    </row>
  </sheetData>
  <mergeCells count="1">
    <mergeCell ref="B32:F34"/>
  </mergeCells>
  <pageMargins left="0.7" right="0.7" top="0.75" bottom="0.75" header="0.3" footer="0.3"/>
  <pageSetup scale="91"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29659-8F67-5549-8C96-5323E0CE26D9}">
  <sheetPr>
    <tabColor theme="9"/>
  </sheetPr>
  <dimension ref="B2:G349"/>
  <sheetViews>
    <sheetView topLeftCell="A314" workbookViewId="0">
      <selection activeCell="C336" sqref="C336"/>
    </sheetView>
  </sheetViews>
  <sheetFormatPr baseColWidth="10" defaultRowHeight="15"/>
  <cols>
    <col min="2" max="2" width="6" customWidth="1"/>
    <col min="3" max="3" width="33.1640625" customWidth="1"/>
    <col min="4" max="4" width="7.33203125" customWidth="1"/>
    <col min="5" max="5" width="14.83203125" customWidth="1"/>
    <col min="7" max="7" width="8.6640625" customWidth="1"/>
  </cols>
  <sheetData>
    <row r="2" spans="2:7">
      <c r="B2" s="26" t="s">
        <v>739</v>
      </c>
    </row>
    <row r="3" spans="2:7">
      <c r="B3" s="4"/>
      <c r="C3" s="4"/>
      <c r="D3" s="4"/>
      <c r="E3" s="4"/>
      <c r="F3" s="4"/>
      <c r="G3" s="4"/>
    </row>
    <row r="4" spans="2:7" ht="42" customHeight="1">
      <c r="B4" s="139" t="s">
        <v>335</v>
      </c>
      <c r="C4" s="139" t="s">
        <v>330</v>
      </c>
      <c r="D4" s="140" t="s">
        <v>740</v>
      </c>
      <c r="E4" s="140" t="s">
        <v>741</v>
      </c>
      <c r="F4" s="140" t="s">
        <v>293</v>
      </c>
      <c r="G4" s="140" t="s">
        <v>742</v>
      </c>
    </row>
    <row r="5" spans="2:7">
      <c r="B5" s="141"/>
      <c r="C5" s="141"/>
      <c r="D5" s="142" t="s">
        <v>271</v>
      </c>
      <c r="E5" s="142" t="s">
        <v>272</v>
      </c>
      <c r="F5" s="142" t="s">
        <v>273</v>
      </c>
      <c r="G5" s="142" t="s">
        <v>274</v>
      </c>
    </row>
    <row r="6" spans="2:7">
      <c r="C6" t="s">
        <v>743</v>
      </c>
      <c r="D6">
        <f>apptab2!A2</f>
        <v>9.4336428494148805</v>
      </c>
      <c r="E6">
        <f>apptab2!B2</f>
        <v>9.4562602466608308</v>
      </c>
      <c r="F6">
        <f>apptab2!C2</f>
        <v>0.23558897390117001</v>
      </c>
    </row>
    <row r="7" spans="2:7">
      <c r="C7" t="s">
        <v>744</v>
      </c>
      <c r="D7">
        <f>apptab2!A3</f>
        <v>0.278291951396822</v>
      </c>
      <c r="E7">
        <f>apptab2!B3</f>
        <v>0.18484385311603499</v>
      </c>
      <c r="F7">
        <f>apptab2!C3</f>
        <v>0.12233034968857</v>
      </c>
    </row>
    <row r="9" spans="2:7">
      <c r="B9">
        <f>apptab2!E4</f>
        <v>1111</v>
      </c>
      <c r="C9" t="s">
        <v>736</v>
      </c>
      <c r="D9" s="136">
        <f>apptab2!A4</f>
        <v>9.2159999999999993</v>
      </c>
      <c r="E9" s="137">
        <f>apptab2!B4</f>
        <v>-0.145260244607925</v>
      </c>
      <c r="F9" s="136">
        <f>apptab2!C4</f>
        <v>0.15240000000000001</v>
      </c>
      <c r="G9" s="138">
        <f>apptab2!F4</f>
        <v>3.0141934999999999E-4</v>
      </c>
    </row>
    <row r="10" spans="2:7">
      <c r="B10">
        <f>apptab2!E5</f>
        <v>1112</v>
      </c>
      <c r="C10" t="s">
        <v>735</v>
      </c>
      <c r="D10" s="136">
        <f>apptab2!A5</f>
        <v>9.1199999999999992</v>
      </c>
      <c r="E10" s="137">
        <f>apptab2!B5</f>
        <v>-0.213260248303413</v>
      </c>
      <c r="F10" s="136">
        <f>apptab2!C5</f>
        <v>0.1545</v>
      </c>
      <c r="G10" s="138">
        <f>apptab2!F5</f>
        <v>4.2478170000000002E-4</v>
      </c>
    </row>
    <row r="11" spans="2:7">
      <c r="B11">
        <f>apptab2!E6</f>
        <v>1113</v>
      </c>
      <c r="C11" t="s">
        <v>734</v>
      </c>
      <c r="D11" s="136">
        <f>apptab2!A6</f>
        <v>9.0129999999999999</v>
      </c>
      <c r="E11" s="137">
        <f>apptab2!B6</f>
        <v>-0.27026024460792503</v>
      </c>
      <c r="F11" s="136">
        <f>apptab2!C6</f>
        <v>0.1043</v>
      </c>
      <c r="G11" s="138">
        <f>apptab2!F6</f>
        <v>6.0882715999999995E-4</v>
      </c>
    </row>
    <row r="12" spans="2:7">
      <c r="B12">
        <f>apptab2!E7</f>
        <v>1114</v>
      </c>
      <c r="C12" t="s">
        <v>745</v>
      </c>
      <c r="D12" s="136">
        <f>apptab2!A7</f>
        <v>9.032</v>
      </c>
      <c r="E12" s="137">
        <f>apptab2!B7</f>
        <v>-0.26326024532318099</v>
      </c>
      <c r="F12" s="136">
        <f>apptab2!C7</f>
        <v>0.1021</v>
      </c>
      <c r="G12" s="138">
        <f>apptab2!F7</f>
        <v>8.0964033000000002E-4</v>
      </c>
    </row>
    <row r="13" spans="2:7">
      <c r="B13">
        <f>apptab2!E8</f>
        <v>1119</v>
      </c>
      <c r="C13" t="s">
        <v>732</v>
      </c>
      <c r="D13" s="136">
        <f>apptab2!A8</f>
        <v>9.1129999999999995</v>
      </c>
      <c r="E13" s="137">
        <f>apptab2!B8</f>
        <v>-0.21526025235652901</v>
      </c>
      <c r="F13" s="136">
        <f>apptab2!C8</f>
        <v>0.13059999999999999</v>
      </c>
      <c r="G13" s="138">
        <f>apptab2!F8</f>
        <v>3.3735012E-4</v>
      </c>
    </row>
    <row r="14" spans="2:7">
      <c r="B14">
        <f>apptab2!E9</f>
        <v>1121</v>
      </c>
      <c r="C14" t="s">
        <v>731</v>
      </c>
      <c r="D14" s="136">
        <f>apptab2!A9</f>
        <v>9.1080000000000005</v>
      </c>
      <c r="E14" s="137">
        <f>apptab2!B9</f>
        <v>-0.27126026153564398</v>
      </c>
      <c r="F14" s="136">
        <f>apptab2!C9</f>
        <v>0.17710000000000001</v>
      </c>
      <c r="G14" s="138">
        <f>apptab2!F9</f>
        <v>7.9646567000000003E-4</v>
      </c>
    </row>
    <row r="15" spans="2:7">
      <c r="B15">
        <f>apptab2!E10</f>
        <v>1122</v>
      </c>
      <c r="C15" t="s">
        <v>730</v>
      </c>
      <c r="D15" s="136">
        <f>apptab2!A10</f>
        <v>9.1590000000000007</v>
      </c>
      <c r="E15" s="137">
        <f>apptab2!B10</f>
        <v>-0.32026025652885398</v>
      </c>
      <c r="F15" s="136">
        <f>apptab2!C10</f>
        <v>0.25929999999999997</v>
      </c>
      <c r="G15" s="138">
        <f>apptab2!F10</f>
        <v>2.2516624E-4</v>
      </c>
    </row>
    <row r="16" spans="2:7">
      <c r="B16">
        <f>apptab2!E11</f>
        <v>1123</v>
      </c>
      <c r="C16" t="s">
        <v>729</v>
      </c>
      <c r="D16" s="136">
        <f>apptab2!A11</f>
        <v>9.1430000000000007</v>
      </c>
      <c r="E16" s="137">
        <f>apptab2!B11</f>
        <v>-0.30726024508476202</v>
      </c>
      <c r="F16" s="136">
        <f>apptab2!C11</f>
        <v>0.23549999999999999</v>
      </c>
      <c r="G16" s="138">
        <f>apptab2!F11</f>
        <v>2.9423318000000001E-4</v>
      </c>
    </row>
    <row r="17" spans="2:7">
      <c r="B17">
        <f>apptab2!E12</f>
        <v>1124</v>
      </c>
      <c r="C17" t="s">
        <v>728</v>
      </c>
      <c r="D17" s="136">
        <f>apptab2!A12</f>
        <v>9.0190000000000001</v>
      </c>
      <c r="E17" s="137">
        <f>apptab2!B12</f>
        <v>-0.25426024198532099</v>
      </c>
      <c r="F17" s="136">
        <f>apptab2!C12</f>
        <v>8.3970000000000003E-2</v>
      </c>
      <c r="G17" s="138">
        <f>apptab2!F12</f>
        <v>6.9865408999999996E-6</v>
      </c>
    </row>
    <row r="18" spans="2:7">
      <c r="B18">
        <f>apptab2!E13</f>
        <v>1125</v>
      </c>
      <c r="C18" t="s">
        <v>727</v>
      </c>
      <c r="D18" s="136">
        <f>apptab2!A13</f>
        <v>9.1850000000000005</v>
      </c>
      <c r="E18" s="137">
        <f>apptab2!B13</f>
        <v>-0.15226024389266901</v>
      </c>
      <c r="F18" s="136">
        <f>apptab2!C13</f>
        <v>0.14080000000000001</v>
      </c>
      <c r="G18" s="138">
        <f>apptab2!F13</f>
        <v>4.3116939000000001E-5</v>
      </c>
    </row>
    <row r="19" spans="2:7">
      <c r="B19">
        <f>apptab2!E14</f>
        <v>1129</v>
      </c>
      <c r="C19" t="s">
        <v>726</v>
      </c>
      <c r="D19" s="136">
        <f>apptab2!A14</f>
        <v>9.15</v>
      </c>
      <c r="E19" s="137">
        <f>apptab2!B14</f>
        <v>-0.22926025092601701</v>
      </c>
      <c r="F19" s="136">
        <f>apptab2!C14</f>
        <v>0.1739</v>
      </c>
      <c r="G19" s="138">
        <f>apptab2!F14</f>
        <v>1.1617619999999999E-4</v>
      </c>
    </row>
    <row r="20" spans="2:7">
      <c r="B20">
        <f>apptab2!E15</f>
        <v>1131</v>
      </c>
      <c r="C20" t="s">
        <v>725</v>
      </c>
      <c r="D20" s="136">
        <f>apptab2!A15</f>
        <v>9.5549999999999997</v>
      </c>
      <c r="E20" s="137">
        <f>apptab2!B15</f>
        <v>7.5739756226539598E-2</v>
      </c>
      <c r="F20" s="136">
        <f>apptab2!C15</f>
        <v>0.28389999999999999</v>
      </c>
      <c r="G20" s="138">
        <f>apptab2!F15</f>
        <v>2.9343473000000001E-5</v>
      </c>
    </row>
    <row r="21" spans="2:7">
      <c r="B21">
        <f>apptab2!E16</f>
        <v>1132</v>
      </c>
      <c r="C21" t="s">
        <v>746</v>
      </c>
      <c r="D21" s="136">
        <f>apptab2!A16</f>
        <v>9.1760000000000002</v>
      </c>
      <c r="E21" s="137">
        <f>apptab2!B16</f>
        <v>-0.159260243177413</v>
      </c>
      <c r="F21" s="136">
        <f>apptab2!C16</f>
        <v>0.12970000000000001</v>
      </c>
      <c r="G21" s="138">
        <f>apptab2!F16</f>
        <v>1.2575774E-5</v>
      </c>
    </row>
    <row r="22" spans="2:7">
      <c r="B22">
        <f>apptab2!E17</f>
        <v>1133</v>
      </c>
      <c r="C22" t="s">
        <v>723</v>
      </c>
      <c r="D22" s="136">
        <f>apptab2!A17</f>
        <v>9.2539999999999996</v>
      </c>
      <c r="E22" s="137">
        <f>apptab2!B17</f>
        <v>-0.150260239839553</v>
      </c>
      <c r="F22" s="136">
        <f>apptab2!C17</f>
        <v>0.19520000000000001</v>
      </c>
      <c r="G22" s="138">
        <f>apptab2!F17</f>
        <v>4.1001017000000001E-4</v>
      </c>
    </row>
    <row r="23" spans="2:7">
      <c r="B23">
        <f>apptab2!E18</f>
        <v>1141</v>
      </c>
      <c r="C23" t="s">
        <v>722</v>
      </c>
      <c r="D23" s="136">
        <f>apptab2!A18</f>
        <v>9.6430000000000007</v>
      </c>
      <c r="E23" s="137">
        <f>apptab2!B18</f>
        <v>1.7397532938048001E-3</v>
      </c>
      <c r="F23" s="136">
        <f>apptab2!C18</f>
        <v>0.46379999999999999</v>
      </c>
      <c r="G23" s="138">
        <f>apptab2!F18</f>
        <v>3.7328093E-5</v>
      </c>
    </row>
    <row r="24" spans="2:7">
      <c r="B24">
        <f>apptab2!E19</f>
        <v>1142</v>
      </c>
      <c r="C24" t="s">
        <v>721</v>
      </c>
      <c r="D24" s="136">
        <f>apptab2!A19</f>
        <v>9.1790000000000003</v>
      </c>
      <c r="E24" s="137">
        <f>apptab2!B19</f>
        <v>-0.194260239601135</v>
      </c>
      <c r="F24" s="136">
        <f>apptab2!C19</f>
        <v>0.18129999999999999</v>
      </c>
      <c r="G24" s="138">
        <f>apptab2!F19</f>
        <v>1.0978851E-5</v>
      </c>
    </row>
    <row r="25" spans="2:7">
      <c r="B25">
        <f>apptab2!E20</f>
        <v>1151</v>
      </c>
      <c r="C25" t="s">
        <v>720</v>
      </c>
      <c r="D25" s="136">
        <f>apptab2!A20</f>
        <v>9.0980000000000008</v>
      </c>
      <c r="E25" s="137">
        <f>apptab2!B20</f>
        <v>-0.25526025891303999</v>
      </c>
      <c r="F25" s="136">
        <f>apptab2!C20</f>
        <v>0.16400000000000001</v>
      </c>
      <c r="G25" s="138">
        <f>apptab2!F20</f>
        <v>1.0683419000000001E-3</v>
      </c>
    </row>
    <row r="26" spans="2:7">
      <c r="B26">
        <f>apptab2!E21</f>
        <v>1152</v>
      </c>
      <c r="C26" t="s">
        <v>719</v>
      </c>
      <c r="D26" s="136">
        <f>apptab2!A21</f>
        <v>9.1780000000000008</v>
      </c>
      <c r="E26" s="137">
        <f>apptab2!B21</f>
        <v>-0.18326024711132</v>
      </c>
      <c r="F26" s="136">
        <f>apptab2!C21</f>
        <v>0.16220000000000001</v>
      </c>
      <c r="G26" s="138">
        <f>apptab2!F21</f>
        <v>1.612893E-4</v>
      </c>
    </row>
    <row r="27" spans="2:7">
      <c r="B27">
        <f>apptab2!E22</f>
        <v>1153</v>
      </c>
      <c r="C27" t="s">
        <v>718</v>
      </c>
      <c r="D27" s="136">
        <f>apptab2!A22</f>
        <v>9.33</v>
      </c>
      <c r="E27" s="137">
        <f>apptab2!B22</f>
        <v>-6.3260249793529497E-2</v>
      </c>
      <c r="F27" s="136">
        <f>apptab2!C22</f>
        <v>0.19009999999999999</v>
      </c>
      <c r="G27" s="138">
        <f>apptab2!F22</f>
        <v>1.0340081E-4</v>
      </c>
    </row>
    <row r="28" spans="2:7">
      <c r="B28">
        <f>apptab2!E23</f>
        <v>2111</v>
      </c>
      <c r="C28" t="s">
        <v>717</v>
      </c>
      <c r="D28" s="136">
        <f>apptab2!A23</f>
        <v>10.220000000000001</v>
      </c>
      <c r="E28" s="137">
        <f>apptab2!B23</f>
        <v>0.38573974370956399</v>
      </c>
      <c r="F28" s="136">
        <f>apptab2!C23</f>
        <v>0.62470000000000003</v>
      </c>
      <c r="G28" s="138">
        <f>apptab2!F23</f>
        <v>1.8069191E-3</v>
      </c>
    </row>
    <row r="29" spans="2:7">
      <c r="B29">
        <f>apptab2!E24</f>
        <v>2121</v>
      </c>
      <c r="C29" t="s">
        <v>716</v>
      </c>
      <c r="D29" s="136">
        <f>apptab2!A24</f>
        <v>9.8719999999999999</v>
      </c>
      <c r="E29" s="137">
        <f>apptab2!B24</f>
        <v>-0.119260244071483</v>
      </c>
      <c r="F29" s="136">
        <f>apptab2!C24</f>
        <v>0.79600000000000004</v>
      </c>
      <c r="G29" s="138">
        <f>apptab2!F24</f>
        <v>7.3777873000000003E-4</v>
      </c>
    </row>
    <row r="30" spans="2:7">
      <c r="B30">
        <f>apptab2!E25</f>
        <v>2122</v>
      </c>
      <c r="C30" t="s">
        <v>715</v>
      </c>
      <c r="D30" s="136">
        <f>apptab2!A25</f>
        <v>9.8930000000000007</v>
      </c>
      <c r="E30" s="137">
        <f>apptab2!B25</f>
        <v>-2.7260245755314799E-2</v>
      </c>
      <c r="F30" s="136">
        <f>apptab2!C25</f>
        <v>0.71660000000000001</v>
      </c>
      <c r="G30" s="138">
        <f>apptab2!F25</f>
        <v>4.6230940000000002E-4</v>
      </c>
    </row>
    <row r="31" spans="2:7">
      <c r="B31">
        <f>apptab2!E26</f>
        <v>2123</v>
      </c>
      <c r="C31" t="s">
        <v>747</v>
      </c>
      <c r="D31" s="136">
        <f>apptab2!A26</f>
        <v>9.5359999999999996</v>
      </c>
      <c r="E31" s="137">
        <f>apptab2!B26</f>
        <v>-7.7260248363017994E-2</v>
      </c>
      <c r="F31" s="136">
        <f>apptab2!C26</f>
        <v>0.4073</v>
      </c>
      <c r="G31" s="138">
        <f>apptab2!F26</f>
        <v>8.8389724000000004E-4</v>
      </c>
    </row>
    <row r="32" spans="2:7">
      <c r="B32">
        <f>apptab2!E27</f>
        <v>2131</v>
      </c>
      <c r="C32" t="s">
        <v>713</v>
      </c>
      <c r="D32" s="136">
        <f>apptab2!A27</f>
        <v>9.8409999999999993</v>
      </c>
      <c r="E32" s="137">
        <f>apptab2!B27</f>
        <v>4.7397534362972E-3</v>
      </c>
      <c r="F32" s="136">
        <f>apptab2!C27</f>
        <v>0.62529999999999997</v>
      </c>
      <c r="G32" s="138">
        <f>apptab2!F27</f>
        <v>3.0385465000000002E-3</v>
      </c>
    </row>
    <row r="33" spans="2:7">
      <c r="B33">
        <f>apptab2!E28</f>
        <v>2211</v>
      </c>
      <c r="C33" t="s">
        <v>748</v>
      </c>
      <c r="D33" s="136">
        <f>apptab2!A28</f>
        <v>9.9860000000000007</v>
      </c>
      <c r="E33" s="137">
        <f>apptab2!B28</f>
        <v>0.24073974788188901</v>
      </c>
      <c r="F33" s="136">
        <f>apptab2!C28</f>
        <v>0.5444</v>
      </c>
      <c r="G33" s="138">
        <f>apptab2!F28</f>
        <v>5.5213635999999998E-3</v>
      </c>
    </row>
    <row r="34" spans="2:7">
      <c r="B34">
        <f>apptab2!E29</f>
        <v>2212</v>
      </c>
      <c r="C34" t="s">
        <v>711</v>
      </c>
      <c r="D34" s="136">
        <f>apptab2!A29</f>
        <v>9.94</v>
      </c>
      <c r="E34" s="137">
        <f>apptab2!B29</f>
        <v>0.224739760160446</v>
      </c>
      <c r="F34" s="136">
        <f>apptab2!C29</f>
        <v>0.52449999999999997</v>
      </c>
      <c r="G34" s="138">
        <f>apptab2!F29</f>
        <v>1.3414159E-3</v>
      </c>
    </row>
    <row r="35" spans="2:7">
      <c r="B35">
        <f>apptab2!E30</f>
        <v>2213</v>
      </c>
      <c r="C35" t="s">
        <v>710</v>
      </c>
      <c r="D35" s="136">
        <f>apptab2!A30</f>
        <v>9.5749999999999993</v>
      </c>
      <c r="E35" s="137">
        <f>apptab2!B30</f>
        <v>5.7739753276109702E-2</v>
      </c>
      <c r="F35" s="136">
        <f>apptab2!C30</f>
        <v>0.31559999999999999</v>
      </c>
      <c r="G35" s="138">
        <f>apptab2!F30</f>
        <v>2.0787953000000001E-3</v>
      </c>
    </row>
    <row r="36" spans="2:7">
      <c r="B36">
        <f>apptab2!E31</f>
        <v>2361</v>
      </c>
      <c r="C36" t="s">
        <v>709</v>
      </c>
      <c r="D36" s="136">
        <f>apptab2!A31</f>
        <v>9.3989999999999991</v>
      </c>
      <c r="E36" s="137">
        <f>apptab2!B31</f>
        <v>1.073975302279E-2</v>
      </c>
      <c r="F36" s="136">
        <f>apptab2!C31</f>
        <v>0.1762</v>
      </c>
      <c r="G36" s="138">
        <f>apptab2!F31</f>
        <v>4.5711937999999997E-3</v>
      </c>
    </row>
    <row r="37" spans="2:7">
      <c r="B37">
        <f>apptab2!E32</f>
        <v>2362</v>
      </c>
      <c r="C37" t="s">
        <v>708</v>
      </c>
      <c r="D37" s="136">
        <f>apptab2!A32</f>
        <v>9.6519999999999992</v>
      </c>
      <c r="E37" s="137">
        <f>apptab2!B32</f>
        <v>0.116739749908447</v>
      </c>
      <c r="F37" s="136">
        <f>apptab2!C32</f>
        <v>0.32919999999999999</v>
      </c>
      <c r="G37" s="138">
        <f>apptab2!F32</f>
        <v>6.2359868999999997E-3</v>
      </c>
    </row>
    <row r="38" spans="2:7">
      <c r="B38">
        <f>apptab2!E33</f>
        <v>2371</v>
      </c>
      <c r="C38" t="s">
        <v>707</v>
      </c>
      <c r="D38" s="136">
        <f>apptab2!A33</f>
        <v>9.5960000000000001</v>
      </c>
      <c r="E38" s="137">
        <f>apptab2!B33</f>
        <v>1.8739752471447001E-2</v>
      </c>
      <c r="F38" s="136">
        <f>apptab2!C33</f>
        <v>0.3649</v>
      </c>
      <c r="G38" s="138">
        <f>apptab2!F33</f>
        <v>3.7200337E-3</v>
      </c>
    </row>
    <row r="39" spans="2:7">
      <c r="B39">
        <f>apptab2!E34</f>
        <v>2372</v>
      </c>
      <c r="C39" t="s">
        <v>706</v>
      </c>
      <c r="D39" s="136">
        <f>apptab2!A34</f>
        <v>9.6310000000000002</v>
      </c>
      <c r="E39" s="137">
        <f>apptab2!B34</f>
        <v>0.16773974895477201</v>
      </c>
      <c r="F39" s="136">
        <f>apptab2!C34</f>
        <v>0.26729999999999998</v>
      </c>
      <c r="G39" s="138">
        <f>apptab2!F34</f>
        <v>3.3455551999999998E-4</v>
      </c>
    </row>
    <row r="40" spans="2:7">
      <c r="B40">
        <f>apptab2!E35</f>
        <v>2373</v>
      </c>
      <c r="C40" t="s">
        <v>705</v>
      </c>
      <c r="D40" s="136">
        <f>apptab2!A35</f>
        <v>9.5039999999999996</v>
      </c>
      <c r="E40" s="137">
        <f>apptab2!B35</f>
        <v>-3.2602467108517998E-3</v>
      </c>
      <c r="F40" s="136">
        <f>apptab2!C35</f>
        <v>0.30109999999999998</v>
      </c>
      <c r="G40" s="138">
        <f>apptab2!F35</f>
        <v>4.4634015999999999E-3</v>
      </c>
    </row>
    <row r="41" spans="2:7">
      <c r="B41">
        <f>apptab2!E36</f>
        <v>2379</v>
      </c>
      <c r="C41" t="s">
        <v>749</v>
      </c>
      <c r="D41" s="136">
        <f>apptab2!A36</f>
        <v>9.6489999999999991</v>
      </c>
      <c r="E41" s="137">
        <f>apptab2!B36</f>
        <v>5.7739753276109702E-2</v>
      </c>
      <c r="F41" s="136">
        <f>apptab2!C36</f>
        <v>0.3826</v>
      </c>
      <c r="G41" s="138">
        <f>apptab2!F36</f>
        <v>8.5395492999999995E-4</v>
      </c>
    </row>
    <row r="42" spans="2:7">
      <c r="B42">
        <f>apptab2!E37</f>
        <v>2381</v>
      </c>
      <c r="C42" t="s">
        <v>750</v>
      </c>
      <c r="D42" s="136">
        <f>apptab2!A37</f>
        <v>9.3469999999999995</v>
      </c>
      <c r="E42" s="137">
        <f>apptab2!B37</f>
        <v>-6.4260244369506794E-2</v>
      </c>
      <c r="F42" s="136">
        <f>apptab2!C37</f>
        <v>0.19889999999999999</v>
      </c>
      <c r="G42" s="138">
        <f>apptab2!F37</f>
        <v>5.2738404000000003E-3</v>
      </c>
    </row>
    <row r="43" spans="2:7">
      <c r="B43">
        <f>apptab2!E38</f>
        <v>2382</v>
      </c>
      <c r="C43" t="s">
        <v>702</v>
      </c>
      <c r="D43" s="136">
        <f>apptab2!A38</f>
        <v>9.5030000000000001</v>
      </c>
      <c r="E43" s="137">
        <f>apptab2!B38</f>
        <v>5.5739752948284101E-2</v>
      </c>
      <c r="F43" s="136">
        <f>apptab2!C38</f>
        <v>0.23719999999999999</v>
      </c>
      <c r="G43" s="138">
        <f>apptab2!F38</f>
        <v>1.6388428999999999E-2</v>
      </c>
    </row>
    <row r="44" spans="2:7">
      <c r="B44">
        <f>apptab2!E39</f>
        <v>2383</v>
      </c>
      <c r="C44" t="s">
        <v>701</v>
      </c>
      <c r="D44" s="136">
        <f>apptab2!A39</f>
        <v>9.3239999999999998</v>
      </c>
      <c r="E44" s="137">
        <f>apptab2!B39</f>
        <v>-6.7260242998600006E-2</v>
      </c>
      <c r="F44" s="136">
        <f>apptab2!C39</f>
        <v>0.1825</v>
      </c>
      <c r="G44" s="138">
        <f>apptab2!F39</f>
        <v>4.9464712000000001E-3</v>
      </c>
    </row>
    <row r="45" spans="2:7">
      <c r="B45">
        <f>apptab2!E40</f>
        <v>2389</v>
      </c>
      <c r="C45" t="s">
        <v>700</v>
      </c>
      <c r="D45" s="136">
        <f>apptab2!A40</f>
        <v>9.4090000000000007</v>
      </c>
      <c r="E45" s="137">
        <f>apptab2!B40</f>
        <v>-4.9260247498750701E-2</v>
      </c>
      <c r="F45" s="136">
        <f>apptab2!C40</f>
        <v>0.24629999999999999</v>
      </c>
      <c r="G45" s="138">
        <f>apptab2!F40</f>
        <v>4.4554169000000001E-3</v>
      </c>
    </row>
    <row r="46" spans="2:7">
      <c r="B46">
        <f>apptab2!E41</f>
        <v>3111</v>
      </c>
      <c r="C46" t="s">
        <v>699</v>
      </c>
      <c r="D46" s="136">
        <f>apptab2!A41</f>
        <v>9.4540000000000006</v>
      </c>
      <c r="E46" s="137">
        <f>apptab2!B41</f>
        <v>-0.122260250151157</v>
      </c>
      <c r="F46" s="136">
        <f>apptab2!C41</f>
        <v>0.36449999999999999</v>
      </c>
      <c r="G46" s="138">
        <f>apptab2!F41</f>
        <v>5.2658556000000003E-4</v>
      </c>
    </row>
    <row r="47" spans="2:7">
      <c r="B47">
        <f>apptab2!E42</f>
        <v>3112</v>
      </c>
      <c r="C47" t="s">
        <v>698</v>
      </c>
      <c r="D47" s="136">
        <f>apptab2!A42</f>
        <v>9.5820000000000007</v>
      </c>
      <c r="E47" s="137">
        <f>apptab2!B42</f>
        <v>-7.3260247707366902E-2</v>
      </c>
      <c r="F47" s="136">
        <f>apptab2!C42</f>
        <v>0.44919999999999999</v>
      </c>
      <c r="G47" s="138">
        <f>apptab2!F42</f>
        <v>6.6591717999999996E-4</v>
      </c>
    </row>
    <row r="48" spans="2:7">
      <c r="B48" s="26" t="s">
        <v>867</v>
      </c>
    </row>
    <row r="49" spans="2:7">
      <c r="B49" s="4"/>
      <c r="C49" s="4"/>
      <c r="D49" s="4"/>
      <c r="E49" s="4"/>
      <c r="F49" s="4"/>
      <c r="G49" s="4"/>
    </row>
    <row r="50" spans="2:7" ht="42" customHeight="1">
      <c r="B50" s="139" t="s">
        <v>335</v>
      </c>
      <c r="C50" s="139" t="s">
        <v>330</v>
      </c>
      <c r="D50" s="140" t="s">
        <v>740</v>
      </c>
      <c r="E50" s="140" t="s">
        <v>741</v>
      </c>
      <c r="F50" s="140" t="s">
        <v>293</v>
      </c>
      <c r="G50" s="140" t="s">
        <v>742</v>
      </c>
    </row>
    <row r="51" spans="2:7">
      <c r="B51" s="141"/>
      <c r="C51" s="141"/>
      <c r="D51" s="142" t="s">
        <v>271</v>
      </c>
      <c r="E51" s="142" t="s">
        <v>272</v>
      </c>
      <c r="F51" s="142" t="s">
        <v>273</v>
      </c>
      <c r="G51" s="142" t="s">
        <v>274</v>
      </c>
    </row>
    <row r="52" spans="2:7">
      <c r="B52">
        <f>apptab2!E43</f>
        <v>3113</v>
      </c>
      <c r="C52" t="s">
        <v>751</v>
      </c>
      <c r="D52" s="136">
        <f>apptab2!A43</f>
        <v>9.3949999999999996</v>
      </c>
      <c r="E52" s="137">
        <f>apptab2!B43</f>
        <v>-0.14926025271415699</v>
      </c>
      <c r="F52" s="136">
        <f>apptab2!C43</f>
        <v>0.3478</v>
      </c>
      <c r="G52" s="138">
        <f>apptab2!F43</f>
        <v>5.9445481999999999E-4</v>
      </c>
    </row>
    <row r="53" spans="2:7">
      <c r="B53">
        <f>apptab2!E44</f>
        <v>3114</v>
      </c>
      <c r="C53" t="s">
        <v>752</v>
      </c>
      <c r="D53" s="136">
        <f>apptab2!A44</f>
        <v>9.2780000000000005</v>
      </c>
      <c r="E53" s="137">
        <f>apptab2!B44</f>
        <v>-0.242260247468948</v>
      </c>
      <c r="F53" s="136">
        <f>apptab2!C44</f>
        <v>0.3256</v>
      </c>
      <c r="G53" s="138">
        <f>apptab2!F44</f>
        <v>1.5741675E-3</v>
      </c>
    </row>
    <row r="54" spans="2:7">
      <c r="B54">
        <f>apptab2!E45</f>
        <v>3115</v>
      </c>
      <c r="C54" t="s">
        <v>695</v>
      </c>
      <c r="D54" s="136">
        <f>apptab2!A45</f>
        <v>9.4570000000000007</v>
      </c>
      <c r="E54" s="137">
        <f>apptab2!B45</f>
        <v>-0.159260243177413</v>
      </c>
      <c r="F54" s="136">
        <f>apptab2!C45</f>
        <v>0.41170000000000001</v>
      </c>
      <c r="G54" s="138">
        <f>apptab2!F45</f>
        <v>1.4168704999999999E-3</v>
      </c>
    </row>
    <row r="55" spans="2:7">
      <c r="B55">
        <f>apptab2!E46</f>
        <v>3116</v>
      </c>
      <c r="C55" t="s">
        <v>694</v>
      </c>
      <c r="D55" s="136">
        <f>apptab2!A46</f>
        <v>9.0690000000000008</v>
      </c>
      <c r="E55" s="137">
        <f>apptab2!B46</f>
        <v>-0.43426024913787797</v>
      </c>
      <c r="F55" s="136">
        <f>apptab2!C46</f>
        <v>0.29270000000000002</v>
      </c>
      <c r="G55" s="138">
        <f>apptab2!F46</f>
        <v>4.4234786E-3</v>
      </c>
    </row>
    <row r="56" spans="2:7">
      <c r="B56">
        <f>apptab2!E47</f>
        <v>3117</v>
      </c>
      <c r="C56" t="s">
        <v>753</v>
      </c>
      <c r="D56" s="136">
        <f>apptab2!A47</f>
        <v>9.2260000000000009</v>
      </c>
      <c r="E56" s="137">
        <f>apptab2!B47</f>
        <v>-0.231260240077972</v>
      </c>
      <c r="F56" s="136">
        <f>apptab2!C47</f>
        <v>0.28100000000000003</v>
      </c>
      <c r="G56" s="138">
        <f>apptab2!F47</f>
        <v>2.4113547999999999E-4</v>
      </c>
    </row>
    <row r="57" spans="2:7">
      <c r="B57">
        <f>apptab2!E48</f>
        <v>3118</v>
      </c>
      <c r="C57" t="s">
        <v>692</v>
      </c>
      <c r="D57" s="136">
        <f>apptab2!A48</f>
        <v>9.2170000000000005</v>
      </c>
      <c r="E57" s="137">
        <f>apptab2!B48</f>
        <v>-0.25826025009155201</v>
      </c>
      <c r="F57" s="136">
        <f>apptab2!C48</f>
        <v>0.28160000000000002</v>
      </c>
      <c r="G57" s="138">
        <f>apptab2!F48</f>
        <v>2.1394784999999999E-3</v>
      </c>
    </row>
    <row r="58" spans="2:7">
      <c r="B58">
        <f>apptab2!E49</f>
        <v>3119</v>
      </c>
      <c r="C58" t="s">
        <v>691</v>
      </c>
      <c r="D58" s="136">
        <f>apptab2!A49</f>
        <v>9.3729999999999993</v>
      </c>
      <c r="E58" s="137">
        <f>apptab2!B49</f>
        <v>-0.15726025402545901</v>
      </c>
      <c r="F58" s="136">
        <f>apptab2!C49</f>
        <v>0.3261</v>
      </c>
      <c r="G58" s="138">
        <f>apptab2!F49</f>
        <v>1.7178905999999999E-3</v>
      </c>
    </row>
    <row r="59" spans="2:7">
      <c r="B59">
        <f>apptab2!E50</f>
        <v>3121</v>
      </c>
      <c r="C59" t="s">
        <v>690</v>
      </c>
      <c r="D59" s="136">
        <f>apptab2!A50</f>
        <v>9.452</v>
      </c>
      <c r="E59" s="137">
        <f>apptab2!B50</f>
        <v>-6.12602457404137E-2</v>
      </c>
      <c r="F59" s="136">
        <f>apptab2!C50</f>
        <v>0.31019999999999998</v>
      </c>
      <c r="G59" s="138">
        <f>apptab2!F50</f>
        <v>1.8264813999999999E-3</v>
      </c>
    </row>
    <row r="60" spans="2:7">
      <c r="B60">
        <f>apptab2!E51</f>
        <v>3122</v>
      </c>
      <c r="C60" t="s">
        <v>689</v>
      </c>
      <c r="D60" s="136">
        <f>apptab2!A51</f>
        <v>9.702</v>
      </c>
      <c r="E60" s="137">
        <f>apptab2!B51</f>
        <v>-3.4260246902704197E-2</v>
      </c>
      <c r="F60" s="136">
        <f>apptab2!C51</f>
        <v>0.53300000000000003</v>
      </c>
      <c r="G60" s="138">
        <f>apptab2!F51</f>
        <v>1.3454082E-4</v>
      </c>
    </row>
    <row r="61" spans="2:7">
      <c r="B61">
        <f>apptab2!E52</f>
        <v>3131</v>
      </c>
      <c r="C61" t="s">
        <v>688</v>
      </c>
      <c r="D61" s="136">
        <f>apptab2!A52</f>
        <v>9.0570000000000004</v>
      </c>
      <c r="E61" s="137">
        <f>apptab2!B52</f>
        <v>-0.39926025271415699</v>
      </c>
      <c r="F61" s="136">
        <f>apptab2!C52</f>
        <v>0.24049999999999999</v>
      </c>
      <c r="G61" s="138">
        <f>apptab2!F52</f>
        <v>2.6748472000000001E-4</v>
      </c>
    </row>
    <row r="62" spans="2:7">
      <c r="B62">
        <f>apptab2!E53</f>
        <v>3132</v>
      </c>
      <c r="C62" t="s">
        <v>687</v>
      </c>
      <c r="D62" s="136">
        <f>apptab2!A53</f>
        <v>9.1940000000000008</v>
      </c>
      <c r="E62" s="137">
        <f>apptab2!B53</f>
        <v>-0.28226023912429798</v>
      </c>
      <c r="F62" s="136">
        <f>apptab2!C53</f>
        <v>0.26989999999999997</v>
      </c>
      <c r="G62" s="138">
        <f>apptab2!F53</f>
        <v>5.2738405000000001E-4</v>
      </c>
    </row>
    <row r="63" spans="2:7">
      <c r="B63">
        <f>apptab2!E54</f>
        <v>3133</v>
      </c>
      <c r="C63" t="s">
        <v>754</v>
      </c>
      <c r="D63" s="136">
        <f>apptab2!A54</f>
        <v>9.2189999999999994</v>
      </c>
      <c r="E63" s="137">
        <f>apptab2!B54</f>
        <v>-0.208260253071785</v>
      </c>
      <c r="F63" s="136">
        <f>apptab2!C54</f>
        <v>0.23250000000000001</v>
      </c>
      <c r="G63" s="138">
        <f>apptab2!F54</f>
        <v>2.8584934999999998E-4</v>
      </c>
    </row>
    <row r="64" spans="2:7">
      <c r="B64">
        <f>apptab2!E55</f>
        <v>3141</v>
      </c>
      <c r="C64" t="s">
        <v>685</v>
      </c>
      <c r="D64" s="136">
        <f>apptab2!A55</f>
        <v>9.1349999999999998</v>
      </c>
      <c r="E64" s="137">
        <f>apptab2!B55</f>
        <v>-0.32226026058196999</v>
      </c>
      <c r="F64" s="136">
        <f>apptab2!C55</f>
        <v>0.24629999999999999</v>
      </c>
      <c r="G64" s="138">
        <f>apptab2!F55</f>
        <v>4.9704249000000005E-4</v>
      </c>
    </row>
    <row r="65" spans="2:7">
      <c r="B65">
        <f>apptab2!E56</f>
        <v>3149</v>
      </c>
      <c r="C65" t="s">
        <v>684</v>
      </c>
      <c r="D65" s="136">
        <f>apptab2!A56</f>
        <v>9.0739999999999998</v>
      </c>
      <c r="E65" s="137">
        <f>apptab2!B56</f>
        <v>-0.26126024127006497</v>
      </c>
      <c r="F65" s="136">
        <f>apptab2!C56</f>
        <v>0.1351</v>
      </c>
      <c r="G65" s="138">
        <f>apptab2!F56</f>
        <v>4.9624406000000005E-4</v>
      </c>
    </row>
    <row r="66" spans="2:7">
      <c r="B66">
        <f>apptab2!E57</f>
        <v>3151</v>
      </c>
      <c r="C66" t="s">
        <v>683</v>
      </c>
      <c r="D66" s="136">
        <f>apptab2!A57</f>
        <v>8.9819999999999993</v>
      </c>
      <c r="E66" s="137">
        <f>apptab2!B57</f>
        <v>-0.36526024341583202</v>
      </c>
      <c r="F66" s="136">
        <f>apptab2!C57</f>
        <v>0.14430000000000001</v>
      </c>
      <c r="G66" s="138">
        <f>apptab2!F57</f>
        <v>1.1018774E-4</v>
      </c>
    </row>
    <row r="67" spans="2:7">
      <c r="B67">
        <f>apptab2!E58</f>
        <v>3152</v>
      </c>
      <c r="C67" t="s">
        <v>682</v>
      </c>
      <c r="D67" s="136">
        <f>apptab2!A58</f>
        <v>9.1219999999999999</v>
      </c>
      <c r="E67" s="137">
        <f>apptab2!B58</f>
        <v>-0.194260239601135</v>
      </c>
      <c r="F67" s="136">
        <f>apptab2!C58</f>
        <v>0.1434</v>
      </c>
      <c r="G67" s="138">
        <f>apptab2!F58</f>
        <v>7.3298793999999998E-4</v>
      </c>
    </row>
    <row r="68" spans="2:7">
      <c r="B68">
        <f>apptab2!E59</f>
        <v>3159</v>
      </c>
      <c r="C68" t="s">
        <v>755</v>
      </c>
      <c r="D68" s="136">
        <f>apptab2!A59</f>
        <v>9.0719999999999992</v>
      </c>
      <c r="E68" s="137">
        <f>apptab2!B59</f>
        <v>-0.25226023793220498</v>
      </c>
      <c r="F68" s="136">
        <f>apptab2!C59</f>
        <v>0.13830000000000001</v>
      </c>
      <c r="G68" s="138">
        <f>apptab2!F59</f>
        <v>9.5016956000000001E-5</v>
      </c>
    </row>
    <row r="69" spans="2:7">
      <c r="B69">
        <f>apptab2!E60</f>
        <v>3161</v>
      </c>
      <c r="C69" t="s">
        <v>680</v>
      </c>
      <c r="D69" s="136">
        <f>apptab2!A60</f>
        <v>9.2430000000000003</v>
      </c>
      <c r="E69" s="137">
        <f>apptab2!B60</f>
        <v>-0.20926024019718101</v>
      </c>
      <c r="F69" s="136">
        <f>apptab2!C60</f>
        <v>0.25790000000000002</v>
      </c>
      <c r="G69" s="138">
        <f>apptab2!F60</f>
        <v>3.5930781E-5</v>
      </c>
    </row>
    <row r="70" spans="2:7">
      <c r="B70">
        <f>apptab2!E61</f>
        <v>3162</v>
      </c>
      <c r="C70" t="s">
        <v>679</v>
      </c>
      <c r="D70" s="136">
        <f>apptab2!A61</f>
        <v>9.0939999999999994</v>
      </c>
      <c r="E70" s="137">
        <f>apptab2!B61</f>
        <v>-0.26426023244857699</v>
      </c>
      <c r="F70" s="136">
        <f>apptab2!C61</f>
        <v>0.16220000000000001</v>
      </c>
      <c r="G70" s="138">
        <f>apptab2!F61</f>
        <v>1.2216467E-4</v>
      </c>
    </row>
    <row r="71" spans="2:7">
      <c r="B71">
        <f>apptab2!E62</f>
        <v>3169</v>
      </c>
      <c r="C71" t="s">
        <v>756</v>
      </c>
      <c r="D71" s="136">
        <f>apptab2!A62</f>
        <v>9.0299999999999994</v>
      </c>
      <c r="E71" s="137">
        <f>apptab2!B62</f>
        <v>-0.28126025199890098</v>
      </c>
      <c r="F71" s="136">
        <f>apptab2!C62</f>
        <v>0.11840000000000001</v>
      </c>
      <c r="G71" s="138">
        <f>apptab2!F62</f>
        <v>8.8230030000000003E-5</v>
      </c>
    </row>
    <row r="72" spans="2:7">
      <c r="B72">
        <f>apptab2!E63</f>
        <v>3211</v>
      </c>
      <c r="C72" t="s">
        <v>677</v>
      </c>
      <c r="D72" s="136">
        <f>apptab2!A63</f>
        <v>9.2520000000000007</v>
      </c>
      <c r="E72" s="137">
        <f>apptab2!B63</f>
        <v>-0.20426024496555301</v>
      </c>
      <c r="F72" s="136">
        <f>apptab2!C63</f>
        <v>0.24959999999999999</v>
      </c>
      <c r="G72" s="138">
        <f>apptab2!F63</f>
        <v>7.8608566999999999E-4</v>
      </c>
    </row>
    <row r="73" spans="2:7">
      <c r="B73">
        <f>apptab2!E64</f>
        <v>3212</v>
      </c>
      <c r="C73" t="s">
        <v>757</v>
      </c>
      <c r="D73" s="136">
        <f>apptab2!A64</f>
        <v>9.2970000000000006</v>
      </c>
      <c r="E73" s="137">
        <f>apptab2!B64</f>
        <v>-0.208260253071785</v>
      </c>
      <c r="F73" s="136">
        <f>apptab2!C64</f>
        <v>0.29149999999999998</v>
      </c>
      <c r="G73" s="138">
        <f>apptab2!F64</f>
        <v>6.5234332999999998E-4</v>
      </c>
    </row>
    <row r="74" spans="2:7">
      <c r="B74">
        <f>apptab2!E65</f>
        <v>3219</v>
      </c>
      <c r="C74" t="s">
        <v>675</v>
      </c>
      <c r="D74" s="136">
        <f>apptab2!A65</f>
        <v>9.1460000000000008</v>
      </c>
      <c r="E74" s="137">
        <f>apptab2!B65</f>
        <v>-0.23926024138927399</v>
      </c>
      <c r="F74" s="136">
        <f>apptab2!C65</f>
        <v>0.1757</v>
      </c>
      <c r="G74" s="138">
        <f>apptab2!F65</f>
        <v>1.7406468E-3</v>
      </c>
    </row>
    <row r="75" spans="2:7">
      <c r="B75">
        <f>apptab2!E66</f>
        <v>3221</v>
      </c>
      <c r="C75" t="s">
        <v>674</v>
      </c>
      <c r="D75" s="136">
        <f>apptab2!A66</f>
        <v>9.7639999999999993</v>
      </c>
      <c r="E75" s="137">
        <f>apptab2!B66</f>
        <v>3.7397532723843999E-3</v>
      </c>
      <c r="F75" s="136">
        <f>apptab2!C66</f>
        <v>0.56100000000000005</v>
      </c>
      <c r="G75" s="138">
        <f>apptab2!F66</f>
        <v>1.2016850999999999E-3</v>
      </c>
    </row>
    <row r="76" spans="2:7">
      <c r="B76">
        <f>apptab2!E67</f>
        <v>3222</v>
      </c>
      <c r="C76" t="s">
        <v>673</v>
      </c>
      <c r="D76" s="136">
        <f>apptab2!A67</f>
        <v>9.4350000000000005</v>
      </c>
      <c r="E76" s="137">
        <f>apptab2!B67</f>
        <v>-0.13726024329662301</v>
      </c>
      <c r="F76" s="136">
        <f>apptab2!C67</f>
        <v>0.37240000000000001</v>
      </c>
      <c r="G76" s="138">
        <f>apptab2!F67</f>
        <v>2.8513072E-3</v>
      </c>
    </row>
    <row r="77" spans="2:7">
      <c r="B77">
        <f>apptab2!E68</f>
        <v>3231</v>
      </c>
      <c r="C77" t="s">
        <v>403</v>
      </c>
      <c r="D77" s="136">
        <f>apptab2!A68</f>
        <v>9.282</v>
      </c>
      <c r="E77" s="137">
        <f>apptab2!B68</f>
        <v>-0.12726025283336601</v>
      </c>
      <c r="F77" s="136">
        <f>apptab2!C68</f>
        <v>0.21629999999999999</v>
      </c>
      <c r="G77" s="138">
        <f>apptab2!F68</f>
        <v>4.219871E-3</v>
      </c>
    </row>
    <row r="78" spans="2:7">
      <c r="B78">
        <f>apptab2!E69</f>
        <v>3241</v>
      </c>
      <c r="C78" t="s">
        <v>758</v>
      </c>
      <c r="D78" s="136">
        <f>apptab2!A69</f>
        <v>10.050000000000001</v>
      </c>
      <c r="E78" s="137">
        <f>apptab2!B69</f>
        <v>0.219739750027656</v>
      </c>
      <c r="F78" s="136">
        <f>apptab2!C69</f>
        <v>0.62139999999999995</v>
      </c>
      <c r="G78" s="138">
        <f>apptab2!F69</f>
        <v>1.3050857999999999E-3</v>
      </c>
    </row>
    <row r="79" spans="2:7">
      <c r="B79">
        <f>apptab2!E70</f>
        <v>3251</v>
      </c>
      <c r="C79" t="s">
        <v>672</v>
      </c>
      <c r="D79" s="136">
        <f>apptab2!A70</f>
        <v>9.8919999999999995</v>
      </c>
      <c r="E79" s="137">
        <f>apptab2!B70</f>
        <v>0.13573975861072499</v>
      </c>
      <c r="F79" s="136">
        <f>apptab2!C70</f>
        <v>0.5454</v>
      </c>
      <c r="G79" s="138">
        <f>apptab2!F70</f>
        <v>1.6368468E-3</v>
      </c>
    </row>
    <row r="80" spans="2:7">
      <c r="B80">
        <f>apptab2!E71</f>
        <v>3252</v>
      </c>
      <c r="C80" t="s">
        <v>759</v>
      </c>
      <c r="D80" s="136">
        <f>apptab2!A71</f>
        <v>9.7959999999999994</v>
      </c>
      <c r="E80" s="137">
        <f>apptab2!B71</f>
        <v>6.1739753931760802E-2</v>
      </c>
      <c r="F80" s="136">
        <f>apptab2!C71</f>
        <v>0.51980000000000004</v>
      </c>
      <c r="G80" s="138">
        <f>apptab2!F71</f>
        <v>1.0360043E-3</v>
      </c>
    </row>
    <row r="81" spans="2:7">
      <c r="B81">
        <f>apptab2!E72</f>
        <v>3253</v>
      </c>
      <c r="C81" t="s">
        <v>760</v>
      </c>
      <c r="D81" s="136">
        <f>apptab2!A72</f>
        <v>9.7270000000000003</v>
      </c>
      <c r="E81" s="137">
        <f>apptab2!B72</f>
        <v>5.2739754319191E-2</v>
      </c>
      <c r="F81" s="136">
        <f>apptab2!C72</f>
        <v>0.46400000000000002</v>
      </c>
      <c r="G81" s="138">
        <f>apptab2!F72</f>
        <v>3.6609476000000002E-4</v>
      </c>
    </row>
    <row r="82" spans="2:7">
      <c r="B82">
        <f>apptab2!E73</f>
        <v>3254</v>
      </c>
      <c r="C82" t="s">
        <v>761</v>
      </c>
      <c r="D82" s="136">
        <f>apptab2!A73</f>
        <v>9.9120000000000008</v>
      </c>
      <c r="E82" s="137">
        <f>apptab2!B73</f>
        <v>0.21273975074291199</v>
      </c>
      <c r="F82" s="136">
        <f>apptab2!C73</f>
        <v>0.49340000000000001</v>
      </c>
      <c r="G82" s="138">
        <f>apptab2!F73</f>
        <v>3.0589073000000001E-3</v>
      </c>
    </row>
    <row r="83" spans="2:7">
      <c r="B83">
        <f>apptab2!E74</f>
        <v>3255</v>
      </c>
      <c r="C83" t="s">
        <v>762</v>
      </c>
      <c r="D83" s="136">
        <f>apptab2!A74</f>
        <v>9.5679999999999996</v>
      </c>
      <c r="E83" s="137">
        <f>apptab2!B74</f>
        <v>1.7739754170179398E-2</v>
      </c>
      <c r="F83" s="136">
        <f>apptab2!C74</f>
        <v>0.3493</v>
      </c>
      <c r="G83" s="138">
        <f>apptab2!F74</f>
        <v>6.0523406000000004E-4</v>
      </c>
    </row>
    <row r="84" spans="2:7">
      <c r="B84">
        <f>apptab2!E75</f>
        <v>3256</v>
      </c>
      <c r="C84" t="s">
        <v>763</v>
      </c>
      <c r="D84" s="136">
        <f>apptab2!A75</f>
        <v>9.4990000000000006</v>
      </c>
      <c r="E84" s="137">
        <f>apptab2!B75</f>
        <v>-3.9260245859622997E-2</v>
      </c>
      <c r="F84" s="136">
        <f>apptab2!C75</f>
        <v>0.33939999999999998</v>
      </c>
      <c r="G84" s="138">
        <f>apptab2!F75</f>
        <v>1.0268218999999999E-3</v>
      </c>
    </row>
    <row r="85" spans="2:7">
      <c r="B85">
        <f>apptab2!E76</f>
        <v>3259</v>
      </c>
      <c r="C85" t="s">
        <v>764</v>
      </c>
      <c r="D85" s="136">
        <f>apptab2!A76</f>
        <v>9.5549999999999997</v>
      </c>
      <c r="E85" s="137">
        <f>apptab2!B76</f>
        <v>-2.4260247126221698E-2</v>
      </c>
      <c r="F85" s="136">
        <f>apptab2!C76</f>
        <v>0.37959999999999999</v>
      </c>
      <c r="G85" s="138">
        <f>apptab2!F76</f>
        <v>8.5475342000000004E-4</v>
      </c>
    </row>
    <row r="86" spans="2:7">
      <c r="B86">
        <f>apptab2!E77</f>
        <v>3261</v>
      </c>
      <c r="C86" t="s">
        <v>665</v>
      </c>
      <c r="D86" s="136">
        <f>apptab2!A77</f>
        <v>9.2919999999999998</v>
      </c>
      <c r="E86" s="137">
        <f>apptab2!B77</f>
        <v>-0.19626024365425099</v>
      </c>
      <c r="F86" s="136">
        <f>apptab2!C77</f>
        <v>0.28139999999999998</v>
      </c>
      <c r="G86" s="138">
        <f>apptab2!F77</f>
        <v>5.2818251E-3</v>
      </c>
    </row>
    <row r="87" spans="2:7">
      <c r="B87">
        <f>apptab2!E78</f>
        <v>3262</v>
      </c>
      <c r="C87" t="s">
        <v>664</v>
      </c>
      <c r="D87" s="136">
        <f>apptab2!A78</f>
        <v>9.4269999999999996</v>
      </c>
      <c r="E87" s="137">
        <f>apptab2!B78</f>
        <v>-0.17226023972034399</v>
      </c>
      <c r="F87" s="136">
        <f>apptab2!C78</f>
        <v>0.38419999999999999</v>
      </c>
      <c r="G87" s="138">
        <f>apptab2!F78</f>
        <v>1.4116805E-3</v>
      </c>
    </row>
    <row r="88" spans="2:7">
      <c r="B88">
        <f>apptab2!E79</f>
        <v>3271</v>
      </c>
      <c r="C88" t="s">
        <v>765</v>
      </c>
      <c r="D88" s="136">
        <f>apptab2!A79</f>
        <v>9.3490000000000002</v>
      </c>
      <c r="E88" s="137">
        <f>apptab2!B79</f>
        <v>-0.154260247945785</v>
      </c>
      <c r="F88" s="136">
        <f>apptab2!C79</f>
        <v>0.2994</v>
      </c>
      <c r="G88" s="138">
        <f>apptab2!F79</f>
        <v>3.952386E-4</v>
      </c>
    </row>
    <row r="89" spans="2:7">
      <c r="B89">
        <f>apptab2!E80</f>
        <v>3272</v>
      </c>
      <c r="C89" t="s">
        <v>662</v>
      </c>
      <c r="D89" s="136">
        <f>apptab2!A80</f>
        <v>9.4269999999999996</v>
      </c>
      <c r="E89" s="137">
        <f>apptab2!B80</f>
        <v>-0.164260253310203</v>
      </c>
      <c r="F89" s="136">
        <f>apptab2!C80</f>
        <v>0.3891</v>
      </c>
      <c r="G89" s="138">
        <f>apptab2!F80</f>
        <v>8.4916414999999996E-4</v>
      </c>
    </row>
    <row r="90" spans="2:7">
      <c r="B90">
        <f>apptab2!E81</f>
        <v>3273</v>
      </c>
      <c r="C90" t="s">
        <v>766</v>
      </c>
      <c r="D90" s="136">
        <f>apptab2!A81</f>
        <v>9.42</v>
      </c>
      <c r="E90" s="137">
        <f>apptab2!B81</f>
        <v>-0.104260243475437</v>
      </c>
      <c r="F90" s="136">
        <f>apptab2!C81</f>
        <v>0.31459999999999999</v>
      </c>
      <c r="G90" s="138">
        <f>apptab2!F81</f>
        <v>1.6991268000000001E-3</v>
      </c>
    </row>
    <row r="91" spans="2:7">
      <c r="B91">
        <f>apptab2!E82</f>
        <v>3274</v>
      </c>
      <c r="C91" t="s">
        <v>767</v>
      </c>
      <c r="D91" s="136">
        <f>apptab2!A82</f>
        <v>9.5969999999999995</v>
      </c>
      <c r="E91" s="137">
        <f>apptab2!B82</f>
        <v>-0.110260248184204</v>
      </c>
      <c r="F91" s="136">
        <f>apptab2!C82</f>
        <v>0.49940000000000001</v>
      </c>
      <c r="G91" s="138">
        <f>apptab2!F82</f>
        <v>1.5849467E-4</v>
      </c>
    </row>
    <row r="92" spans="2:7">
      <c r="B92">
        <f>apptab2!E83</f>
        <v>3279</v>
      </c>
      <c r="C92" t="s">
        <v>768</v>
      </c>
      <c r="D92" s="136">
        <f>apptab2!A83</f>
        <v>9.4139999999999997</v>
      </c>
      <c r="E92" s="137">
        <f>apptab2!B83</f>
        <v>-0.110260248184204</v>
      </c>
      <c r="F92" s="136">
        <f>apptab2!C83</f>
        <v>0.31459999999999999</v>
      </c>
      <c r="G92" s="138">
        <f>apptab2!F83</f>
        <v>6.8787484999999996E-4</v>
      </c>
    </row>
    <row r="93" spans="2:7">
      <c r="B93">
        <f>apptab2!E84</f>
        <v>3311</v>
      </c>
      <c r="C93" t="s">
        <v>769</v>
      </c>
      <c r="D93" s="136">
        <f>apptab2!A84</f>
        <v>9.8219999999999992</v>
      </c>
      <c r="E93" s="137">
        <f>apptab2!B84</f>
        <v>-4.0260247886180899E-2</v>
      </c>
      <c r="F93" s="136">
        <f>apptab2!C84</f>
        <v>0.66100000000000003</v>
      </c>
      <c r="G93" s="138">
        <f>apptab2!F84</f>
        <v>9.8610041000000005E-4</v>
      </c>
    </row>
    <row r="94" spans="2:7">
      <c r="B94" s="26" t="s">
        <v>867</v>
      </c>
    </row>
    <row r="95" spans="2:7">
      <c r="B95" s="4"/>
      <c r="C95" s="4"/>
      <c r="D95" s="4"/>
      <c r="E95" s="4"/>
      <c r="F95" s="4"/>
      <c r="G95" s="4"/>
    </row>
    <row r="96" spans="2:7" ht="42" customHeight="1">
      <c r="B96" s="139" t="s">
        <v>335</v>
      </c>
      <c r="C96" s="139" t="s">
        <v>330</v>
      </c>
      <c r="D96" s="140" t="s">
        <v>740</v>
      </c>
      <c r="E96" s="140" t="s">
        <v>741</v>
      </c>
      <c r="F96" s="140" t="s">
        <v>293</v>
      </c>
      <c r="G96" s="140" t="s">
        <v>742</v>
      </c>
    </row>
    <row r="97" spans="2:7">
      <c r="B97" s="141"/>
      <c r="C97" s="141"/>
      <c r="D97" s="142" t="s">
        <v>271</v>
      </c>
      <c r="E97" s="142" t="s">
        <v>272</v>
      </c>
      <c r="F97" s="142" t="s">
        <v>273</v>
      </c>
      <c r="G97" s="142" t="s">
        <v>274</v>
      </c>
    </row>
    <row r="98" spans="2:7">
      <c r="B98">
        <f>apptab2!E85</f>
        <v>3312</v>
      </c>
      <c r="C98" t="s">
        <v>770</v>
      </c>
      <c r="D98" s="136">
        <f>apptab2!A85</f>
        <v>9.5259999999999998</v>
      </c>
      <c r="E98" s="137">
        <f>apptab2!B85</f>
        <v>-0.111260250210762</v>
      </c>
      <c r="F98" s="136">
        <f>apptab2!C85</f>
        <v>0.43180000000000002</v>
      </c>
      <c r="G98" s="138">
        <f>apptab2!F85</f>
        <v>6.0323794999999996E-4</v>
      </c>
    </row>
    <row r="99" spans="2:7">
      <c r="B99">
        <f>apptab2!E86</f>
        <v>3313</v>
      </c>
      <c r="C99" t="s">
        <v>771</v>
      </c>
      <c r="D99" s="136">
        <f>apptab2!A86</f>
        <v>9.5459999999999994</v>
      </c>
      <c r="E99" s="137">
        <f>apptab2!B86</f>
        <v>-0.15226024389266901</v>
      </c>
      <c r="F99" s="136">
        <f>apptab2!C86</f>
        <v>0.49109999999999998</v>
      </c>
      <c r="G99" s="138">
        <f>apptab2!F86</f>
        <v>6.3078484000000002E-4</v>
      </c>
    </row>
    <row r="100" spans="2:7">
      <c r="B100">
        <f>apptab2!E87</f>
        <v>3314</v>
      </c>
      <c r="C100" t="s">
        <v>772</v>
      </c>
      <c r="D100" s="136">
        <f>apptab2!A87</f>
        <v>9.5589999999999993</v>
      </c>
      <c r="E100" s="137">
        <f>apptab2!B87</f>
        <v>-8.3260245621204404E-2</v>
      </c>
      <c r="F100" s="136">
        <f>apptab2!C87</f>
        <v>0.44119999999999998</v>
      </c>
      <c r="G100" s="138">
        <f>apptab2!F87</f>
        <v>6.5913021999999995E-4</v>
      </c>
    </row>
    <row r="101" spans="2:7">
      <c r="B101">
        <f>apptab2!E88</f>
        <v>3315</v>
      </c>
      <c r="C101" t="s">
        <v>654</v>
      </c>
      <c r="D101" s="136">
        <f>apptab2!A88</f>
        <v>9.3940000000000001</v>
      </c>
      <c r="E101" s="137">
        <f>apptab2!B88</f>
        <v>-0.18026024103164601</v>
      </c>
      <c r="F101" s="136">
        <f>apptab2!C88</f>
        <v>0.3755</v>
      </c>
      <c r="G101" s="138">
        <f>apptab2!F88</f>
        <v>1.2420074E-3</v>
      </c>
    </row>
    <row r="102" spans="2:7">
      <c r="B102">
        <f>apptab2!E89</f>
        <v>3321</v>
      </c>
      <c r="C102" t="s">
        <v>653</v>
      </c>
      <c r="D102" s="136">
        <f>apptab2!A89</f>
        <v>9.3919999999999995</v>
      </c>
      <c r="E102" s="137">
        <f>apptab2!B89</f>
        <v>-0.110260248184204</v>
      </c>
      <c r="F102" s="136">
        <f>apptab2!C89</f>
        <v>0.30640000000000001</v>
      </c>
      <c r="G102" s="138">
        <f>apptab2!F89</f>
        <v>9.8649960000000004E-4</v>
      </c>
    </row>
    <row r="103" spans="2:7">
      <c r="B103">
        <f>apptab2!E90</f>
        <v>3322</v>
      </c>
      <c r="C103" t="s">
        <v>652</v>
      </c>
      <c r="D103" s="136">
        <f>apptab2!A90</f>
        <v>9.3940000000000001</v>
      </c>
      <c r="E103" s="137">
        <f>apptab2!B90</f>
        <v>-9.4260245561599704E-2</v>
      </c>
      <c r="F103" s="136">
        <f>apptab2!C90</f>
        <v>0.30059999999999998</v>
      </c>
      <c r="G103" s="138">
        <f>apptab2!F90</f>
        <v>3.8765320999999998E-4</v>
      </c>
    </row>
    <row r="104" spans="2:7">
      <c r="B104">
        <f>apptab2!E91</f>
        <v>3323</v>
      </c>
      <c r="C104" t="s">
        <v>773</v>
      </c>
      <c r="D104" s="136">
        <f>apptab2!A91</f>
        <v>9.3490000000000002</v>
      </c>
      <c r="E104" s="137">
        <f>apptab2!B91</f>
        <v>-0.112260244786739</v>
      </c>
      <c r="F104" s="136">
        <f>apptab2!C91</f>
        <v>0.25779999999999997</v>
      </c>
      <c r="G104" s="138">
        <f>apptab2!F91</f>
        <v>3.3343766999999998E-3</v>
      </c>
    </row>
    <row r="105" spans="2:7">
      <c r="B105">
        <f>apptab2!E92</f>
        <v>3324</v>
      </c>
      <c r="C105" t="s">
        <v>774</v>
      </c>
      <c r="D105" s="136">
        <f>apptab2!A92</f>
        <v>9.5079999999999991</v>
      </c>
      <c r="E105" s="137">
        <f>apptab2!B92</f>
        <v>-7.7260248363017994E-2</v>
      </c>
      <c r="F105" s="136">
        <f>apptab2!C92</f>
        <v>0.38329999999999997</v>
      </c>
      <c r="G105" s="138">
        <f>apptab2!F92</f>
        <v>9.3260342999999996E-4</v>
      </c>
    </row>
    <row r="106" spans="2:7">
      <c r="B106">
        <f>apptab2!E93</f>
        <v>3325</v>
      </c>
      <c r="C106" t="s">
        <v>649</v>
      </c>
      <c r="D106" s="136">
        <f>apptab2!A93</f>
        <v>9.3580000000000005</v>
      </c>
      <c r="E106" s="137">
        <f>apptab2!B93</f>
        <v>-0.117260247468948</v>
      </c>
      <c r="F106" s="136">
        <f>apptab2!C93</f>
        <v>0.2742</v>
      </c>
      <c r="G106" s="138">
        <f>apptab2!F93</f>
        <v>2.4153470999999999E-4</v>
      </c>
    </row>
    <row r="107" spans="2:7">
      <c r="B107">
        <f>apptab2!E94</f>
        <v>3326</v>
      </c>
      <c r="C107" t="s">
        <v>648</v>
      </c>
      <c r="D107" s="136">
        <f>apptab2!A94</f>
        <v>9.2959999999999994</v>
      </c>
      <c r="E107" s="137">
        <f>apptab2!B94</f>
        <v>-0.15326024591922699</v>
      </c>
      <c r="F107" s="136">
        <f>apptab2!C94</f>
        <v>0.25069999999999998</v>
      </c>
      <c r="G107" s="138">
        <f>apptab2!F94</f>
        <v>4.1400245E-4</v>
      </c>
    </row>
    <row r="108" spans="2:7">
      <c r="B108">
        <f>apptab2!E95</f>
        <v>3327</v>
      </c>
      <c r="C108" t="s">
        <v>775</v>
      </c>
      <c r="D108" s="136">
        <f>apptab2!A95</f>
        <v>9.3829999999999991</v>
      </c>
      <c r="E108" s="137">
        <f>apptab2!B95</f>
        <v>-5.5260248482227298E-2</v>
      </c>
      <c r="F108" s="136">
        <f>apptab2!C95</f>
        <v>0.24560000000000001</v>
      </c>
      <c r="G108" s="138">
        <f>apptab2!F95</f>
        <v>3.3531404999999999E-3</v>
      </c>
    </row>
    <row r="109" spans="2:7">
      <c r="B109">
        <f>apptab2!E96</f>
        <v>3328</v>
      </c>
      <c r="C109" t="s">
        <v>776</v>
      </c>
      <c r="D109" s="136">
        <f>apptab2!A96</f>
        <v>9.2750000000000004</v>
      </c>
      <c r="E109" s="137">
        <f>apptab2!B96</f>
        <v>-0.17526024580001801</v>
      </c>
      <c r="F109" s="136">
        <f>apptab2!C96</f>
        <v>0.25409999999999999</v>
      </c>
      <c r="G109" s="138">
        <f>apptab2!F96</f>
        <v>1.2128635E-3</v>
      </c>
    </row>
    <row r="110" spans="2:7">
      <c r="B110">
        <f>apptab2!E97</f>
        <v>3329</v>
      </c>
      <c r="C110" t="s">
        <v>777</v>
      </c>
      <c r="D110" s="136">
        <f>apptab2!A97</f>
        <v>9.4580000000000002</v>
      </c>
      <c r="E110" s="137">
        <f>apptab2!B97</f>
        <v>-7.7260248363017994E-2</v>
      </c>
      <c r="F110" s="136">
        <f>apptab2!C97</f>
        <v>0.33410000000000001</v>
      </c>
      <c r="G110" s="138">
        <f>apptab2!F97</f>
        <v>2.7003980000000001E-3</v>
      </c>
    </row>
    <row r="111" spans="2:7">
      <c r="B111">
        <f>apptab2!E98</f>
        <v>3331</v>
      </c>
      <c r="C111" t="s">
        <v>778</v>
      </c>
      <c r="D111" s="136">
        <f>apptab2!A98</f>
        <v>9.5980000000000008</v>
      </c>
      <c r="E111" s="137">
        <f>apptab2!B98</f>
        <v>-1.9260246306657802E-2</v>
      </c>
      <c r="F111" s="136">
        <f>apptab2!C98</f>
        <v>0.4088</v>
      </c>
      <c r="G111" s="138">
        <f>apptab2!F98</f>
        <v>2.4604601999999999E-3</v>
      </c>
    </row>
    <row r="112" spans="2:7">
      <c r="B112">
        <f>apptab2!E99</f>
        <v>3332</v>
      </c>
      <c r="C112" t="s">
        <v>643</v>
      </c>
      <c r="D112" s="136">
        <f>apptab2!A99</f>
        <v>9.641</v>
      </c>
      <c r="E112" s="137">
        <f>apptab2!B99</f>
        <v>0.11773975193500499</v>
      </c>
      <c r="F112" s="136">
        <f>apptab2!C99</f>
        <v>0.33200000000000002</v>
      </c>
      <c r="G112" s="138">
        <f>apptab2!F99</f>
        <v>1.1098620000000001E-3</v>
      </c>
    </row>
    <row r="113" spans="2:7">
      <c r="B113">
        <f>apptab2!E100</f>
        <v>3333</v>
      </c>
      <c r="C113" t="s">
        <v>779</v>
      </c>
      <c r="D113" s="136">
        <f>apptab2!A100</f>
        <v>9.5570000000000004</v>
      </c>
      <c r="E113" s="137">
        <f>apptab2!B100</f>
        <v>5.2739754319191E-2</v>
      </c>
      <c r="F113" s="136">
        <f>apptab2!C100</f>
        <v>0.31209999999999999</v>
      </c>
      <c r="G113" s="138">
        <f>apptab2!F100</f>
        <v>9.3420036000000002E-4</v>
      </c>
    </row>
    <row r="114" spans="2:7">
      <c r="B114">
        <f>apptab2!E101</f>
        <v>3334</v>
      </c>
      <c r="C114" t="s">
        <v>780</v>
      </c>
      <c r="D114" s="136">
        <f>apptab2!A101</f>
        <v>9.3510000000000009</v>
      </c>
      <c r="E114" s="137">
        <f>apptab2!B101</f>
        <v>-0.14826025068759899</v>
      </c>
      <c r="F114" s="136">
        <f>apptab2!C101</f>
        <v>0.29099999999999998</v>
      </c>
      <c r="G114" s="138">
        <f>apptab2!F101</f>
        <v>1.3154658999999999E-3</v>
      </c>
    </row>
    <row r="115" spans="2:7">
      <c r="B115">
        <f>apptab2!E102</f>
        <v>3335</v>
      </c>
      <c r="C115" t="s">
        <v>640</v>
      </c>
      <c r="D115" s="136">
        <f>apptab2!A102</f>
        <v>9.4749999999999996</v>
      </c>
      <c r="E115" s="137">
        <f>apptab2!B102</f>
        <v>2.7397533413022999E-3</v>
      </c>
      <c r="F115" s="136">
        <f>apptab2!C102</f>
        <v>0.27410000000000001</v>
      </c>
      <c r="G115" s="138">
        <f>apptab2!F102</f>
        <v>1.7777752E-3</v>
      </c>
    </row>
    <row r="116" spans="2:7">
      <c r="B116">
        <f>apptab2!E103</f>
        <v>3336</v>
      </c>
      <c r="C116" t="s">
        <v>781</v>
      </c>
      <c r="D116" s="136">
        <f>apptab2!A103</f>
        <v>9.6750000000000007</v>
      </c>
      <c r="E116" s="137">
        <f>apptab2!B103</f>
        <v>5.1739752292633098E-2</v>
      </c>
      <c r="F116" s="136">
        <f>apptab2!C103</f>
        <v>0.41980000000000001</v>
      </c>
      <c r="G116" s="138">
        <f>apptab2!F103</f>
        <v>1.0491789000000001E-3</v>
      </c>
    </row>
    <row r="117" spans="2:7">
      <c r="B117">
        <f>apptab2!E104</f>
        <v>3339</v>
      </c>
      <c r="C117" t="s">
        <v>782</v>
      </c>
      <c r="D117" s="136">
        <f>apptab2!A104</f>
        <v>9.5359999999999996</v>
      </c>
      <c r="E117" s="137">
        <f>apptab2!B104</f>
        <v>-3.2602467108517998E-3</v>
      </c>
      <c r="F117" s="136">
        <f>apptab2!C104</f>
        <v>0.33839999999999998</v>
      </c>
      <c r="G117" s="138">
        <f>apptab2!F104</f>
        <v>2.6884208999999998E-3</v>
      </c>
    </row>
    <row r="118" spans="2:7">
      <c r="B118">
        <f>apptab2!E105</f>
        <v>3341</v>
      </c>
      <c r="C118" t="s">
        <v>783</v>
      </c>
      <c r="D118" s="136">
        <f>apptab2!A105</f>
        <v>10.19</v>
      </c>
      <c r="E118" s="137">
        <f>apptab2!B105</f>
        <v>0.48673975467681801</v>
      </c>
      <c r="F118" s="136">
        <f>apptab2!C105</f>
        <v>0.52949999999999997</v>
      </c>
      <c r="G118" s="138">
        <f>apptab2!F105</f>
        <v>1.7917483E-3</v>
      </c>
    </row>
    <row r="119" spans="2:7">
      <c r="B119">
        <f>apptab2!E106</f>
        <v>3342</v>
      </c>
      <c r="C119" t="s">
        <v>784</v>
      </c>
      <c r="D119" s="136">
        <f>apptab2!A106</f>
        <v>9.8810000000000002</v>
      </c>
      <c r="E119" s="137">
        <f>apptab2!B106</f>
        <v>0.300739765167236</v>
      </c>
      <c r="F119" s="136">
        <f>apptab2!C106</f>
        <v>0.40339999999999998</v>
      </c>
      <c r="G119" s="138">
        <f>apptab2!F106</f>
        <v>1.0615550000000001E-3</v>
      </c>
    </row>
    <row r="120" spans="2:7">
      <c r="B120">
        <f>apptab2!E107</f>
        <v>3343</v>
      </c>
      <c r="C120" t="s">
        <v>785</v>
      </c>
      <c r="D120" s="136">
        <f>apptab2!A107</f>
        <v>9.6920000000000002</v>
      </c>
      <c r="E120" s="137">
        <f>apptab2!B107</f>
        <v>0.17273975908756201</v>
      </c>
      <c r="F120" s="136">
        <f>apptab2!C107</f>
        <v>0.33260000000000001</v>
      </c>
      <c r="G120" s="138">
        <f>apptab2!F107</f>
        <v>2.0879777999999999E-4</v>
      </c>
    </row>
    <row r="121" spans="2:7">
      <c r="B121">
        <f>apptab2!E108</f>
        <v>3344</v>
      </c>
      <c r="C121" t="s">
        <v>786</v>
      </c>
      <c r="D121" s="136">
        <f>apptab2!A108</f>
        <v>9.7629999999999999</v>
      </c>
      <c r="E121" s="137">
        <f>apptab2!B108</f>
        <v>0.176739752292633</v>
      </c>
      <c r="F121" s="136">
        <f>apptab2!C108</f>
        <v>0.40479999999999999</v>
      </c>
      <c r="G121" s="138">
        <f>apptab2!F108</f>
        <v>4.0042860999999997E-3</v>
      </c>
    </row>
    <row r="122" spans="2:7">
      <c r="B122">
        <f>apptab2!E109</f>
        <v>3345</v>
      </c>
      <c r="C122" t="s">
        <v>787</v>
      </c>
      <c r="D122" s="136">
        <f>apptab2!A109</f>
        <v>9.8260000000000005</v>
      </c>
      <c r="E122" s="137">
        <f>apptab2!B109</f>
        <v>0.24273975193500499</v>
      </c>
      <c r="F122" s="136">
        <f>apptab2!C109</f>
        <v>0.40200000000000002</v>
      </c>
      <c r="G122" s="138">
        <f>apptab2!F109</f>
        <v>4.3755709000000004E-3</v>
      </c>
    </row>
    <row r="123" spans="2:7">
      <c r="B123">
        <f>apptab2!E110</f>
        <v>3346</v>
      </c>
      <c r="C123" t="s">
        <v>788</v>
      </c>
      <c r="D123" s="136">
        <f>apptab2!A110</f>
        <v>9.7279999999999998</v>
      </c>
      <c r="E123" s="137">
        <f>apptab2!B110</f>
        <v>0.17373974621295901</v>
      </c>
      <c r="F123" s="136">
        <f>apptab2!C110</f>
        <v>0.37780000000000002</v>
      </c>
      <c r="G123" s="138">
        <f>apptab2!F110</f>
        <v>1.8085161E-4</v>
      </c>
    </row>
    <row r="124" spans="2:7">
      <c r="B124">
        <f>apptab2!E111</f>
        <v>3351</v>
      </c>
      <c r="C124" t="s">
        <v>631</v>
      </c>
      <c r="D124" s="136">
        <f>apptab2!A111</f>
        <v>9.4009999999999998</v>
      </c>
      <c r="E124" s="137">
        <f>apptab2!B111</f>
        <v>-9.5260247588157695E-2</v>
      </c>
      <c r="F124" s="136">
        <f>apptab2!C111</f>
        <v>0.30020000000000002</v>
      </c>
      <c r="G124" s="138">
        <f>apptab2!F111</f>
        <v>4.6550325000000001E-4</v>
      </c>
    </row>
    <row r="125" spans="2:7">
      <c r="B125">
        <f>apptab2!E112</f>
        <v>3352</v>
      </c>
      <c r="C125" t="s">
        <v>630</v>
      </c>
      <c r="D125" s="136">
        <f>apptab2!A112</f>
        <v>9.3859999999999992</v>
      </c>
      <c r="E125" s="137">
        <f>apptab2!B112</f>
        <v>-0.154260247945785</v>
      </c>
      <c r="F125" s="136">
        <f>apptab2!C112</f>
        <v>0.32679999999999998</v>
      </c>
      <c r="G125" s="138">
        <f>apptab2!F112</f>
        <v>6.5833179000000005E-4</v>
      </c>
    </row>
    <row r="126" spans="2:7">
      <c r="B126">
        <f>apptab2!E113</f>
        <v>3353</v>
      </c>
      <c r="C126" t="s">
        <v>629</v>
      </c>
      <c r="D126" s="136">
        <f>apptab2!A113</f>
        <v>9.5380000000000003</v>
      </c>
      <c r="E126" s="137">
        <f>apptab2!B113</f>
        <v>-4.2602466419338998E-3</v>
      </c>
      <c r="F126" s="136">
        <f>apptab2!C113</f>
        <v>0.34350000000000003</v>
      </c>
      <c r="G126" s="138">
        <f>apptab2!F113</f>
        <v>1.5154806E-3</v>
      </c>
    </row>
    <row r="127" spans="2:7">
      <c r="B127">
        <f>apptab2!E114</f>
        <v>3359</v>
      </c>
      <c r="C127" t="s">
        <v>789</v>
      </c>
      <c r="D127" s="136">
        <f>apptab2!A114</f>
        <v>9.4809999999999999</v>
      </c>
      <c r="E127" s="137">
        <f>apptab2!B114</f>
        <v>-7.3260247707366902E-2</v>
      </c>
      <c r="F127" s="136">
        <f>apptab2!C114</f>
        <v>0.35639999999999999</v>
      </c>
      <c r="G127" s="138">
        <f>apptab2!F114</f>
        <v>1.3585829E-3</v>
      </c>
    </row>
    <row r="128" spans="2:7">
      <c r="B128">
        <f>apptab2!E115</f>
        <v>3361</v>
      </c>
      <c r="C128" t="s">
        <v>627</v>
      </c>
      <c r="D128" s="136">
        <f>apptab2!A115</f>
        <v>9.7959999999999994</v>
      </c>
      <c r="E128" s="137">
        <f>apptab2!B115</f>
        <v>3.4739755094051403E-2</v>
      </c>
      <c r="F128" s="136">
        <f>apptab2!C115</f>
        <v>0.53969999999999996</v>
      </c>
      <c r="G128" s="138">
        <f>apptab2!F115</f>
        <v>2.2221194E-3</v>
      </c>
    </row>
    <row r="129" spans="2:7">
      <c r="B129">
        <f>apptab2!E116</f>
        <v>3362</v>
      </c>
      <c r="C129" t="s">
        <v>790</v>
      </c>
      <c r="D129" s="136">
        <f>apptab2!A116</f>
        <v>9.3109999999999999</v>
      </c>
      <c r="E129" s="137">
        <f>apptab2!B116</f>
        <v>-0.20626024901866899</v>
      </c>
      <c r="F129" s="136">
        <f>apptab2!C116</f>
        <v>0.29499999999999998</v>
      </c>
      <c r="G129" s="138">
        <f>apptab2!F116</f>
        <v>1.2204488999999999E-3</v>
      </c>
    </row>
    <row r="130" spans="2:7">
      <c r="B130">
        <f>apptab2!E117</f>
        <v>3363</v>
      </c>
      <c r="C130" t="s">
        <v>625</v>
      </c>
      <c r="D130" s="136">
        <f>apptab2!A117</f>
        <v>9.4339999999999993</v>
      </c>
      <c r="E130" s="137">
        <f>apptab2!B117</f>
        <v>-0.169260248541832</v>
      </c>
      <c r="F130" s="136">
        <f>apptab2!C117</f>
        <v>0.38440000000000002</v>
      </c>
      <c r="G130" s="138">
        <f>apptab2!F117</f>
        <v>5.5173714999999998E-3</v>
      </c>
    </row>
    <row r="131" spans="2:7">
      <c r="B131">
        <f>apptab2!E118</f>
        <v>3364</v>
      </c>
      <c r="C131" t="s">
        <v>791</v>
      </c>
      <c r="D131" s="136">
        <f>apptab2!A118</f>
        <v>9.9109999999999996</v>
      </c>
      <c r="E131" s="137">
        <f>apptab2!B118</f>
        <v>0.27773976325988697</v>
      </c>
      <c r="F131" s="136">
        <f>apptab2!C118</f>
        <v>0.45879999999999999</v>
      </c>
      <c r="G131" s="138">
        <f>apptab2!F118</f>
        <v>5.6291557999999997E-3</v>
      </c>
    </row>
    <row r="132" spans="2:7">
      <c r="B132">
        <f>apptab2!E119</f>
        <v>3365</v>
      </c>
      <c r="C132" t="s">
        <v>623</v>
      </c>
      <c r="D132" s="136">
        <f>apptab2!A119</f>
        <v>9.5690000000000008</v>
      </c>
      <c r="E132" s="137">
        <f>apptab2!B119</f>
        <v>-8.6260244250297505E-2</v>
      </c>
      <c r="F132" s="136">
        <f>apptab2!C119</f>
        <v>0.4471</v>
      </c>
      <c r="G132" s="138">
        <f>apptab2!F119</f>
        <v>2.5670548000000001E-4</v>
      </c>
    </row>
    <row r="133" spans="2:7">
      <c r="B133">
        <f>apptab2!E120</f>
        <v>3366</v>
      </c>
      <c r="C133" t="s">
        <v>622</v>
      </c>
      <c r="D133" s="136">
        <f>apptab2!A120</f>
        <v>9.5109999999999992</v>
      </c>
      <c r="E133" s="137">
        <f>apptab2!B120</f>
        <v>-8.4260247647762299E-2</v>
      </c>
      <c r="F133" s="136">
        <f>apptab2!C120</f>
        <v>0.38840000000000002</v>
      </c>
      <c r="G133" s="138">
        <f>apptab2!F120</f>
        <v>1.3170628E-3</v>
      </c>
    </row>
    <row r="134" spans="2:7">
      <c r="B134">
        <f>apptab2!E121</f>
        <v>3369</v>
      </c>
      <c r="C134" t="s">
        <v>792</v>
      </c>
      <c r="D134" s="136">
        <f>apptab2!A121</f>
        <v>9.4949999999999992</v>
      </c>
      <c r="E134" s="137">
        <f>apptab2!B121</f>
        <v>-7.4260249733924893E-2</v>
      </c>
      <c r="F134" s="136">
        <f>apptab2!C121</f>
        <v>0.36870000000000003</v>
      </c>
      <c r="G134" s="138">
        <f>apptab2!F121</f>
        <v>3.3934630000000002E-4</v>
      </c>
    </row>
    <row r="135" spans="2:7">
      <c r="B135">
        <f>apptab2!E122</f>
        <v>3371</v>
      </c>
      <c r="C135" t="s">
        <v>793</v>
      </c>
      <c r="D135" s="136">
        <f>apptab2!A122</f>
        <v>9.1270000000000007</v>
      </c>
      <c r="E135" s="137">
        <f>apptab2!B122</f>
        <v>-0.24526025354862199</v>
      </c>
      <c r="F135" s="136">
        <f>apptab2!C122</f>
        <v>0.1623</v>
      </c>
      <c r="G135" s="138">
        <f>apptab2!F122</f>
        <v>2.041667E-3</v>
      </c>
    </row>
    <row r="136" spans="2:7">
      <c r="B136">
        <f>apptab2!E123</f>
        <v>3372</v>
      </c>
      <c r="C136" t="s">
        <v>794</v>
      </c>
      <c r="D136" s="136">
        <f>apptab2!A123</f>
        <v>9.3119999999999994</v>
      </c>
      <c r="E136" s="137">
        <f>apptab2!B123</f>
        <v>-0.126260250806808</v>
      </c>
      <c r="F136" s="136">
        <f>apptab2!C123</f>
        <v>0.23899999999999999</v>
      </c>
      <c r="G136" s="138">
        <f>apptab2!F123</f>
        <v>1.0036665E-3</v>
      </c>
    </row>
    <row r="137" spans="2:7">
      <c r="B137">
        <f>apptab2!E124</f>
        <v>3379</v>
      </c>
      <c r="C137" t="s">
        <v>795</v>
      </c>
      <c r="D137" s="136">
        <f>apptab2!A124</f>
        <v>9.1859999999999999</v>
      </c>
      <c r="E137" s="137">
        <f>apptab2!B124</f>
        <v>-0.25026023387908902</v>
      </c>
      <c r="F137" s="136">
        <f>apptab2!C124</f>
        <v>0.2359</v>
      </c>
      <c r="G137" s="138">
        <f>apptab2!F124</f>
        <v>3.2178012999999999E-4</v>
      </c>
    </row>
    <row r="138" spans="2:7">
      <c r="B138">
        <f>apptab2!E125</f>
        <v>3391</v>
      </c>
      <c r="C138" t="s">
        <v>796</v>
      </c>
      <c r="D138" s="136">
        <f>apptab2!A125</f>
        <v>9.5180000000000007</v>
      </c>
      <c r="E138" s="137">
        <f>apptab2!B125</f>
        <v>-1.12602468580008E-2</v>
      </c>
      <c r="F138" s="136">
        <f>apptab2!C125</f>
        <v>0.33479999999999999</v>
      </c>
      <c r="G138" s="138">
        <f>apptab2!F125</f>
        <v>3.0764734999999999E-3</v>
      </c>
    </row>
    <row r="139" spans="2:7">
      <c r="B139">
        <f>apptab2!E126</f>
        <v>3399</v>
      </c>
      <c r="C139" t="s">
        <v>616</v>
      </c>
      <c r="D139" s="136">
        <f>apptab2!A126</f>
        <v>9.3109999999999999</v>
      </c>
      <c r="E139" s="137">
        <f>apptab2!B126</f>
        <v>-0.10726024955511</v>
      </c>
      <c r="F139" s="136">
        <f>apptab2!C126</f>
        <v>0.21959999999999999</v>
      </c>
      <c r="G139" s="138">
        <f>apptab2!F126</f>
        <v>2.5227403E-3</v>
      </c>
    </row>
    <row r="140" spans="2:7">
      <c r="B140" s="26" t="s">
        <v>867</v>
      </c>
    </row>
    <row r="141" spans="2:7">
      <c r="B141" s="4"/>
      <c r="C141" s="4"/>
      <c r="D141" s="4"/>
      <c r="E141" s="4"/>
      <c r="F141" s="4"/>
      <c r="G141" s="4"/>
    </row>
    <row r="142" spans="2:7" ht="42" customHeight="1">
      <c r="B142" s="139" t="s">
        <v>335</v>
      </c>
      <c r="C142" s="139" t="s">
        <v>330</v>
      </c>
      <c r="D142" s="140" t="s">
        <v>740</v>
      </c>
      <c r="E142" s="140" t="s">
        <v>741</v>
      </c>
      <c r="F142" s="140" t="s">
        <v>293</v>
      </c>
      <c r="G142" s="140" t="s">
        <v>742</v>
      </c>
    </row>
    <row r="143" spans="2:7">
      <c r="B143" s="141"/>
      <c r="C143" s="141"/>
      <c r="D143" s="142" t="s">
        <v>271</v>
      </c>
      <c r="E143" s="142" t="s">
        <v>272</v>
      </c>
      <c r="F143" s="142" t="s">
        <v>273</v>
      </c>
      <c r="G143" s="142" t="s">
        <v>274</v>
      </c>
    </row>
    <row r="144" spans="2:7">
      <c r="B144">
        <f>apptab2!E127</f>
        <v>4231</v>
      </c>
      <c r="C144" t="s">
        <v>797</v>
      </c>
      <c r="D144" s="136">
        <f>apptab2!A127</f>
        <v>9.39</v>
      </c>
      <c r="E144" s="137">
        <f>apptab2!B127</f>
        <v>-3.4260246902704197E-2</v>
      </c>
      <c r="F144" s="136">
        <f>apptab2!C127</f>
        <v>0.2233</v>
      </c>
      <c r="G144" s="138">
        <f>apptab2!F127</f>
        <v>2.8465164E-3</v>
      </c>
    </row>
    <row r="145" spans="2:7">
      <c r="B145">
        <f>apptab2!E128</f>
        <v>4232</v>
      </c>
      <c r="C145" t="s">
        <v>798</v>
      </c>
      <c r="D145" s="136">
        <f>apptab2!A128</f>
        <v>9.423</v>
      </c>
      <c r="E145" s="137">
        <f>apptab2!B128</f>
        <v>8.7397536262870008E-3</v>
      </c>
      <c r="F145" s="136">
        <f>apptab2!C128</f>
        <v>0.2172</v>
      </c>
      <c r="G145" s="138">
        <f>apptab2!F128</f>
        <v>9.0585497999999998E-4</v>
      </c>
    </row>
    <row r="146" spans="2:7">
      <c r="B146">
        <f>apptab2!E129</f>
        <v>4233</v>
      </c>
      <c r="C146" t="s">
        <v>799</v>
      </c>
      <c r="D146" s="136">
        <f>apptab2!A129</f>
        <v>9.4239999999999995</v>
      </c>
      <c r="E146" s="137">
        <f>apptab2!B129</f>
        <v>-2.3260246962308901E-2</v>
      </c>
      <c r="F146" s="136">
        <f>apptab2!C129</f>
        <v>0.23830000000000001</v>
      </c>
      <c r="G146" s="138">
        <f>apptab2!F129</f>
        <v>1.8787807000000001E-3</v>
      </c>
    </row>
    <row r="147" spans="2:7">
      <c r="B147">
        <f>apptab2!E130</f>
        <v>4234</v>
      </c>
      <c r="C147" t="s">
        <v>800</v>
      </c>
      <c r="D147" s="136">
        <f>apptab2!A130</f>
        <v>9.7880000000000003</v>
      </c>
      <c r="E147" s="137">
        <f>apptab2!B130</f>
        <v>0.238739758729934</v>
      </c>
      <c r="F147" s="136">
        <f>apptab2!C130</f>
        <v>0.3498</v>
      </c>
      <c r="G147" s="138">
        <f>apptab2!F130</f>
        <v>6.2838946000000001E-3</v>
      </c>
    </row>
    <row r="148" spans="2:7">
      <c r="B148">
        <f>apptab2!E131</f>
        <v>4235</v>
      </c>
      <c r="C148" t="s">
        <v>801</v>
      </c>
      <c r="D148" s="136">
        <f>apptab2!A131</f>
        <v>9.4909999999999997</v>
      </c>
      <c r="E148" s="137">
        <f>apptab2!B131</f>
        <v>-1.42602464184165E-2</v>
      </c>
      <c r="F148" s="136">
        <f>apptab2!C131</f>
        <v>0.30349999999999999</v>
      </c>
      <c r="G148" s="138">
        <f>apptab2!F131</f>
        <v>1.2220459E-3</v>
      </c>
    </row>
    <row r="149" spans="2:7">
      <c r="B149">
        <f>apptab2!E132</f>
        <v>4236</v>
      </c>
      <c r="C149" t="s">
        <v>802</v>
      </c>
      <c r="D149" s="136">
        <f>apptab2!A132</f>
        <v>9.6669999999999998</v>
      </c>
      <c r="E149" s="137">
        <f>apptab2!B132</f>
        <v>0.166739746928215</v>
      </c>
      <c r="F149" s="136">
        <f>apptab2!C132</f>
        <v>0.30270000000000002</v>
      </c>
      <c r="G149" s="138">
        <f>apptab2!F132</f>
        <v>3.2026303999999998E-3</v>
      </c>
    </row>
    <row r="150" spans="2:7">
      <c r="B150">
        <f>apptab2!E133</f>
        <v>4237</v>
      </c>
      <c r="C150" t="s">
        <v>803</v>
      </c>
      <c r="D150" s="136">
        <f>apptab2!A133</f>
        <v>9.4770000000000003</v>
      </c>
      <c r="E150" s="137">
        <f>apptab2!B133</f>
        <v>3.8739752024412197E-2</v>
      </c>
      <c r="F150" s="136">
        <f>apptab2!C133</f>
        <v>0.23549999999999999</v>
      </c>
      <c r="G150" s="138">
        <f>apptab2!F133</f>
        <v>2.2939809E-3</v>
      </c>
    </row>
    <row r="151" spans="2:7">
      <c r="B151">
        <f>apptab2!E134</f>
        <v>4238</v>
      </c>
      <c r="C151" t="s">
        <v>804</v>
      </c>
      <c r="D151" s="136">
        <f>apptab2!A134</f>
        <v>9.5470000000000006</v>
      </c>
      <c r="E151" s="137">
        <f>apptab2!B134</f>
        <v>6.4739756286144298E-2</v>
      </c>
      <c r="F151" s="136">
        <f>apptab2!C134</f>
        <v>0.27929999999999999</v>
      </c>
      <c r="G151" s="138">
        <f>apptab2!F134</f>
        <v>6.2679253000000002E-3</v>
      </c>
    </row>
    <row r="152" spans="2:7">
      <c r="B152">
        <f>apptab2!E135</f>
        <v>4239</v>
      </c>
      <c r="C152" t="s">
        <v>805</v>
      </c>
      <c r="D152" s="136">
        <f>apptab2!A135</f>
        <v>9.3520000000000003</v>
      </c>
      <c r="E152" s="137">
        <f>apptab2!B135</f>
        <v>-5.8260247111320503E-2</v>
      </c>
      <c r="F152" s="136">
        <f>apptab2!C135</f>
        <v>0.21579999999999999</v>
      </c>
      <c r="G152" s="138">
        <f>apptab2!F135</f>
        <v>2.4197386E-3</v>
      </c>
    </row>
    <row r="153" spans="2:7">
      <c r="B153">
        <f>apptab2!E136</f>
        <v>4241</v>
      </c>
      <c r="C153" t="s">
        <v>806</v>
      </c>
      <c r="D153" s="136">
        <f>apptab2!A136</f>
        <v>9.4819999999999993</v>
      </c>
      <c r="E153" s="137">
        <f>apptab2!B136</f>
        <v>3.2739754766225801E-2</v>
      </c>
      <c r="F153" s="136">
        <f>apptab2!C136</f>
        <v>0.25829999999999997</v>
      </c>
      <c r="G153" s="138">
        <f>apptab2!F136</f>
        <v>1.0547681E-3</v>
      </c>
    </row>
    <row r="154" spans="2:7">
      <c r="B154">
        <f>apptab2!E137</f>
        <v>4242</v>
      </c>
      <c r="C154" t="s">
        <v>807</v>
      </c>
      <c r="D154" s="136">
        <f>apptab2!A137</f>
        <v>9.8879999999999999</v>
      </c>
      <c r="E154" s="137">
        <f>apptab2!B137</f>
        <v>0.253739744424819</v>
      </c>
      <c r="F154" s="136">
        <f>apptab2!C137</f>
        <v>0.42109999999999997</v>
      </c>
      <c r="G154" s="138">
        <f>apptab2!F137</f>
        <v>1.9498438E-3</v>
      </c>
    </row>
    <row r="155" spans="2:7">
      <c r="B155">
        <f>apptab2!E138</f>
        <v>4243</v>
      </c>
      <c r="C155" t="s">
        <v>808</v>
      </c>
      <c r="D155" s="136">
        <f>apptab2!A138</f>
        <v>9.4469999999999992</v>
      </c>
      <c r="E155" s="137">
        <f>apptab2!B138</f>
        <v>5.7739753276109702E-2</v>
      </c>
      <c r="F155" s="136">
        <f>apptab2!C138</f>
        <v>0.214</v>
      </c>
      <c r="G155" s="138">
        <f>apptab2!F138</f>
        <v>1.1889095999999999E-3</v>
      </c>
    </row>
    <row r="156" spans="2:7">
      <c r="B156">
        <f>apptab2!E139</f>
        <v>4244</v>
      </c>
      <c r="C156" t="s">
        <v>809</v>
      </c>
      <c r="D156" s="136">
        <f>apptab2!A139</f>
        <v>9.4160000000000004</v>
      </c>
      <c r="E156" s="137">
        <f>apptab2!B139</f>
        <v>-8.6260244250297505E-2</v>
      </c>
      <c r="F156" s="136">
        <f>apptab2!C139</f>
        <v>0.30220000000000002</v>
      </c>
      <c r="G156" s="138">
        <f>apptab2!F139</f>
        <v>6.6112638000000003E-3</v>
      </c>
    </row>
    <row r="157" spans="2:7">
      <c r="B157">
        <f>apptab2!E140</f>
        <v>4245</v>
      </c>
      <c r="C157" t="s">
        <v>810</v>
      </c>
      <c r="D157" s="136">
        <f>apptab2!A140</f>
        <v>9.41</v>
      </c>
      <c r="E157" s="137">
        <f>apptab2!B140</f>
        <v>-5.4260246455669403E-2</v>
      </c>
      <c r="F157" s="136">
        <f>apptab2!C140</f>
        <v>0.2656</v>
      </c>
      <c r="G157" s="138">
        <f>apptab2!F140</f>
        <v>5.2578711999999995E-4</v>
      </c>
    </row>
    <row r="158" spans="2:7">
      <c r="B158">
        <f>apptab2!E141</f>
        <v>4246</v>
      </c>
      <c r="C158" t="s">
        <v>811</v>
      </c>
      <c r="D158" s="136">
        <f>apptab2!A141</f>
        <v>9.6709999999999994</v>
      </c>
      <c r="E158" s="137">
        <f>apptab2!B141</f>
        <v>0.113739751279354</v>
      </c>
      <c r="F158" s="136">
        <f>apptab2!C141</f>
        <v>0.35170000000000001</v>
      </c>
      <c r="G158" s="138">
        <f>apptab2!F141</f>
        <v>1.2248404E-3</v>
      </c>
    </row>
    <row r="159" spans="2:7">
      <c r="B159">
        <f>apptab2!E142</f>
        <v>4247</v>
      </c>
      <c r="C159" t="s">
        <v>812</v>
      </c>
      <c r="D159" s="136">
        <f>apptab2!A142</f>
        <v>9.5839999999999996</v>
      </c>
      <c r="E159" s="137">
        <f>apptab2!B142</f>
        <v>2.67397537827492E-2</v>
      </c>
      <c r="F159" s="136">
        <f>apptab2!C142</f>
        <v>0.3493</v>
      </c>
      <c r="G159" s="138">
        <f>apptab2!F142</f>
        <v>8.3678804000000004E-4</v>
      </c>
    </row>
    <row r="160" spans="2:7">
      <c r="B160">
        <f>apptab2!E143</f>
        <v>4248</v>
      </c>
      <c r="C160" t="s">
        <v>813</v>
      </c>
      <c r="D160" s="136">
        <f>apptab2!A143</f>
        <v>9.5090000000000003</v>
      </c>
      <c r="E160" s="137">
        <f>apptab2!B143</f>
        <v>8.7397536262870008E-3</v>
      </c>
      <c r="F160" s="136">
        <f>apptab2!C143</f>
        <v>0.29530000000000001</v>
      </c>
      <c r="G160" s="138">
        <f>apptab2!F143</f>
        <v>1.8540284000000001E-3</v>
      </c>
    </row>
    <row r="161" spans="2:7">
      <c r="B161">
        <f>apptab2!E144</f>
        <v>4249</v>
      </c>
      <c r="C161" t="s">
        <v>814</v>
      </c>
      <c r="D161" s="136">
        <f>apptab2!A144</f>
        <v>9.3480000000000008</v>
      </c>
      <c r="E161" s="137">
        <f>apptab2!B144</f>
        <v>-4.5260246843099601E-2</v>
      </c>
      <c r="F161" s="136">
        <f>apptab2!C144</f>
        <v>0.19850000000000001</v>
      </c>
      <c r="G161" s="138">
        <f>apptab2!F144</f>
        <v>2.5718456999999999E-3</v>
      </c>
    </row>
    <row r="162" spans="2:7">
      <c r="B162">
        <f>apptab2!E145</f>
        <v>4251</v>
      </c>
      <c r="C162" t="s">
        <v>815</v>
      </c>
      <c r="D162" s="136">
        <f>apptab2!A145</f>
        <v>9.8309999999999995</v>
      </c>
      <c r="E162" s="137">
        <f>apptab2!B145</f>
        <v>0.26973974704742398</v>
      </c>
      <c r="F162" s="136">
        <f>apptab2!C145</f>
        <v>0.35749999999999998</v>
      </c>
      <c r="G162" s="138">
        <f>apptab2!F145</f>
        <v>7.0144873999999999E-3</v>
      </c>
    </row>
    <row r="163" spans="2:7">
      <c r="B163">
        <f>apptab2!E146</f>
        <v>4411</v>
      </c>
      <c r="C163" t="s">
        <v>596</v>
      </c>
      <c r="D163" s="136">
        <f>apptab2!A146</f>
        <v>9.4480000000000004</v>
      </c>
      <c r="E163" s="137">
        <f>apptab2!B146</f>
        <v>3.4739755094051403E-2</v>
      </c>
      <c r="F163" s="136">
        <f>apptab2!C146</f>
        <v>0.21510000000000001</v>
      </c>
      <c r="G163" s="138">
        <f>apptab2!F146</f>
        <v>9.8610035999999995E-3</v>
      </c>
    </row>
    <row r="164" spans="2:7">
      <c r="B164">
        <f>apptab2!E147</f>
        <v>4412</v>
      </c>
      <c r="C164" t="s">
        <v>595</v>
      </c>
      <c r="D164" s="136">
        <f>apptab2!A147</f>
        <v>9.26</v>
      </c>
      <c r="E164" s="137">
        <f>apptab2!B147</f>
        <v>-5.8260247111320503E-2</v>
      </c>
      <c r="F164" s="136">
        <f>apptab2!C147</f>
        <v>0.1132</v>
      </c>
      <c r="G164" s="138">
        <f>apptab2!F147</f>
        <v>1.1094627000000001E-3</v>
      </c>
    </row>
    <row r="165" spans="2:7">
      <c r="B165">
        <f>apptab2!E148</f>
        <v>4413</v>
      </c>
      <c r="C165" t="s">
        <v>816</v>
      </c>
      <c r="D165" s="136">
        <f>apptab2!A148</f>
        <v>9.1340000000000003</v>
      </c>
      <c r="E165" s="137">
        <f>apptab2!B148</f>
        <v>-0.169260248541832</v>
      </c>
      <c r="F165" s="136">
        <f>apptab2!C148</f>
        <v>0.1105</v>
      </c>
      <c r="G165" s="138">
        <f>apptab2!F148</f>
        <v>3.6521645E-3</v>
      </c>
    </row>
    <row r="166" spans="2:7">
      <c r="B166">
        <f>apptab2!E149</f>
        <v>4421</v>
      </c>
      <c r="C166" t="s">
        <v>593</v>
      </c>
      <c r="D166" s="136">
        <f>apptab2!A149</f>
        <v>9.2089999999999996</v>
      </c>
      <c r="E166" s="137">
        <f>apptab2!B149</f>
        <v>-0.13226024806499401</v>
      </c>
      <c r="F166" s="136">
        <f>apptab2!C149</f>
        <v>0.14879999999999999</v>
      </c>
      <c r="G166" s="138">
        <f>apptab2!F149</f>
        <v>1.5797567000000001E-3</v>
      </c>
    </row>
    <row r="167" spans="2:7">
      <c r="B167">
        <f>apptab2!E150</f>
        <v>4422</v>
      </c>
      <c r="C167" t="s">
        <v>592</v>
      </c>
      <c r="D167" s="136">
        <f>apptab2!A150</f>
        <v>9.2780000000000005</v>
      </c>
      <c r="E167" s="137">
        <f>apptab2!B150</f>
        <v>-3.5260245203971897E-2</v>
      </c>
      <c r="F167" s="136">
        <f>apptab2!C150</f>
        <v>0.1206</v>
      </c>
      <c r="G167" s="138">
        <f>apptab2!F150</f>
        <v>1.3206559000000001E-3</v>
      </c>
    </row>
    <row r="168" spans="2:7">
      <c r="B168">
        <f>apptab2!E151</f>
        <v>4431</v>
      </c>
      <c r="C168" t="s">
        <v>591</v>
      </c>
      <c r="D168" s="136">
        <f>apptab2!A151</f>
        <v>9.3539999999999992</v>
      </c>
      <c r="E168" s="137">
        <f>apptab2!B151</f>
        <v>-4.8260245472192799E-2</v>
      </c>
      <c r="F168" s="136">
        <f>apptab2!C151</f>
        <v>0.23019999999999999</v>
      </c>
      <c r="G168" s="138">
        <f>apptab2!F151</f>
        <v>3.6130399000000001E-3</v>
      </c>
    </row>
    <row r="169" spans="2:7">
      <c r="B169">
        <f>apptab2!E152</f>
        <v>4441</v>
      </c>
      <c r="C169" t="s">
        <v>590</v>
      </c>
      <c r="D169" s="136">
        <f>apptab2!A152</f>
        <v>9.1219999999999999</v>
      </c>
      <c r="E169" s="137">
        <f>apptab2!B152</f>
        <v>-0.15326024591922699</v>
      </c>
      <c r="F169" s="136">
        <f>apptab2!C152</f>
        <v>8.6879999999999999E-2</v>
      </c>
      <c r="G169" s="138">
        <f>apptab2!F152</f>
        <v>7.4536413999999997E-3</v>
      </c>
    </row>
    <row r="170" spans="2:7">
      <c r="B170">
        <f>apptab2!E153</f>
        <v>4442</v>
      </c>
      <c r="C170" t="s">
        <v>817</v>
      </c>
      <c r="D170" s="136">
        <f>apptab2!A153</f>
        <v>9.1180000000000003</v>
      </c>
      <c r="E170" s="137">
        <f>apptab2!B153</f>
        <v>-0.140260249376297</v>
      </c>
      <c r="F170" s="136">
        <f>apptab2!C153</f>
        <v>6.0490000000000002E-2</v>
      </c>
      <c r="G170" s="138">
        <f>apptab2!F153</f>
        <v>8.6712954000000002E-4</v>
      </c>
    </row>
    <row r="171" spans="2:7">
      <c r="B171">
        <f>apptab2!E154</f>
        <v>4451</v>
      </c>
      <c r="C171" t="s">
        <v>588</v>
      </c>
      <c r="D171" s="136">
        <f>apptab2!A154</f>
        <v>9.0259999999999998</v>
      </c>
      <c r="E171" s="137">
        <f>apptab2!B154</f>
        <v>-0.222260251641273</v>
      </c>
      <c r="F171" s="136">
        <f>apptab2!C154</f>
        <v>6.6540000000000002E-2</v>
      </c>
      <c r="G171" s="138">
        <f>apptab2!F154</f>
        <v>1.3781452E-2</v>
      </c>
    </row>
    <row r="172" spans="2:7">
      <c r="B172">
        <f>apptab2!E155</f>
        <v>4452</v>
      </c>
      <c r="C172" t="s">
        <v>587</v>
      </c>
      <c r="D172" s="136">
        <f>apptab2!A155</f>
        <v>9.0679999999999996</v>
      </c>
      <c r="E172" s="137">
        <f>apptab2!B155</f>
        <v>-0.19126024842262199</v>
      </c>
      <c r="F172" s="136">
        <f>apptab2!C155</f>
        <v>7.7499999999999999E-2</v>
      </c>
      <c r="G172" s="138">
        <f>apptab2!F155</f>
        <v>9.3020807000000001E-4</v>
      </c>
    </row>
    <row r="173" spans="2:7">
      <c r="B173">
        <f>apptab2!E156</f>
        <v>4453</v>
      </c>
      <c r="C173" t="s">
        <v>586</v>
      </c>
      <c r="D173" s="136">
        <f>apptab2!A156</f>
        <v>9.0259999999999998</v>
      </c>
      <c r="E173" s="137">
        <f>apptab2!B156</f>
        <v>-0.15226024389266901</v>
      </c>
      <c r="F173" s="136">
        <f>apptab2!C156</f>
        <v>-9.4839999999999994E-3</v>
      </c>
      <c r="G173" s="138">
        <f>apptab2!F156</f>
        <v>6.6990946999999996E-4</v>
      </c>
    </row>
    <row r="174" spans="2:7">
      <c r="B174">
        <f>apptab2!E157</f>
        <v>4461</v>
      </c>
      <c r="C174" t="s">
        <v>585</v>
      </c>
      <c r="D174" s="136">
        <f>apptab2!A157</f>
        <v>9.2360000000000007</v>
      </c>
      <c r="E174" s="137">
        <f>apptab2!B157</f>
        <v>-6.4260244369506794E-2</v>
      </c>
      <c r="F174" s="136">
        <f>apptab2!C157</f>
        <v>0.1158</v>
      </c>
      <c r="G174" s="138">
        <f>apptab2!F157</f>
        <v>6.3477717000000001E-3</v>
      </c>
    </row>
    <row r="175" spans="2:7">
      <c r="B175">
        <f>apptab2!E158</f>
        <v>4471</v>
      </c>
      <c r="C175" t="s">
        <v>584</v>
      </c>
      <c r="D175" s="136">
        <f>apptab2!A158</f>
        <v>8.8949999999999996</v>
      </c>
      <c r="E175" s="137">
        <f>apptab2!B158</f>
        <v>-0.35426023602485601</v>
      </c>
      <c r="F175" s="136">
        <f>apptab2!C158</f>
        <v>4.8980000000000003E-2</v>
      </c>
      <c r="G175" s="138">
        <f>apptab2!F158</f>
        <v>3.7439875E-3</v>
      </c>
    </row>
    <row r="176" spans="2:7">
      <c r="B176">
        <f>apptab2!E159</f>
        <v>4481</v>
      </c>
      <c r="C176" t="s">
        <v>583</v>
      </c>
      <c r="D176" s="136">
        <f>apptab2!A159</f>
        <v>9.1679999999999993</v>
      </c>
      <c r="E176" s="137">
        <f>apptab2!B159</f>
        <v>-0.121260248124599</v>
      </c>
      <c r="F176" s="136">
        <f>apptab2!C159</f>
        <v>0.1295</v>
      </c>
      <c r="G176" s="138">
        <f>apptab2!F159</f>
        <v>3.1774788999999999E-3</v>
      </c>
    </row>
    <row r="177" spans="2:7">
      <c r="B177">
        <f>apptab2!E160</f>
        <v>4482</v>
      </c>
      <c r="C177" t="s">
        <v>582</v>
      </c>
      <c r="D177" s="136">
        <f>apptab2!A160</f>
        <v>9.1590000000000007</v>
      </c>
      <c r="E177" s="137">
        <f>apptab2!B160</f>
        <v>-0.14826025068759899</v>
      </c>
      <c r="F177" s="136">
        <f>apptab2!C160</f>
        <v>0.14680000000000001</v>
      </c>
      <c r="G177" s="138">
        <f>apptab2!F160</f>
        <v>6.4555642999999995E-4</v>
      </c>
    </row>
    <row r="178" spans="2:7">
      <c r="B178">
        <f>apptab2!E161</f>
        <v>4483</v>
      </c>
      <c r="C178" t="s">
        <v>818</v>
      </c>
      <c r="D178" s="136">
        <f>apptab2!A161</f>
        <v>9.282</v>
      </c>
      <c r="E178" s="137">
        <f>apptab2!B161</f>
        <v>-3.7260245531797402E-2</v>
      </c>
      <c r="F178" s="136">
        <f>apptab2!C161</f>
        <v>0.14249999999999999</v>
      </c>
      <c r="G178" s="138">
        <f>apptab2!F161</f>
        <v>7.7969796000000005E-4</v>
      </c>
    </row>
    <row r="179" spans="2:7">
      <c r="B179">
        <f>apptab2!E162</f>
        <v>4511</v>
      </c>
      <c r="C179" t="s">
        <v>819</v>
      </c>
      <c r="D179" s="136">
        <f>apptab2!A162</f>
        <v>9.0419999999999998</v>
      </c>
      <c r="E179" s="137">
        <f>apptab2!B162</f>
        <v>-0.15626025199890101</v>
      </c>
      <c r="F179" s="136">
        <f>apptab2!C162</f>
        <v>1.8970000000000001E-2</v>
      </c>
      <c r="G179" s="138">
        <f>apptab2!F162</f>
        <v>1.9909645999999998E-3</v>
      </c>
    </row>
    <row r="180" spans="2:7">
      <c r="B180">
        <f>apptab2!E163</f>
        <v>4512</v>
      </c>
      <c r="C180" t="s">
        <v>579</v>
      </c>
      <c r="D180" s="136">
        <f>apptab2!A163</f>
        <v>9.01</v>
      </c>
      <c r="E180" s="137">
        <f>apptab2!B163</f>
        <v>-0.208260253071785</v>
      </c>
      <c r="F180" s="136">
        <f>apptab2!C163</f>
        <v>4.6339999999999999E-2</v>
      </c>
      <c r="G180" s="138">
        <f>apptab2!F163</f>
        <v>3.6050550999999997E-4</v>
      </c>
    </row>
    <row r="181" spans="2:7">
      <c r="B181">
        <f>apptab2!E164</f>
        <v>4521</v>
      </c>
      <c r="C181" t="s">
        <v>820</v>
      </c>
      <c r="D181" s="136">
        <f>apptab2!A164</f>
        <v>8.9789999999999992</v>
      </c>
      <c r="E181" s="137">
        <f>apptab2!B164</f>
        <v>-0.25426024198532099</v>
      </c>
      <c r="F181" s="136">
        <f>apptab2!C164</f>
        <v>6.7349999999999993E-2</v>
      </c>
      <c r="G181" s="138">
        <f>apptab2!F164</f>
        <v>6.5433946000000003E-3</v>
      </c>
    </row>
    <row r="182" spans="2:7">
      <c r="B182">
        <f>apptab2!E165</f>
        <v>4529</v>
      </c>
      <c r="C182" t="s">
        <v>821</v>
      </c>
      <c r="D182" s="136">
        <f>apptab2!A165</f>
        <v>8.9469999999999992</v>
      </c>
      <c r="E182" s="137">
        <f>apptab2!B165</f>
        <v>-0.30126023292541498</v>
      </c>
      <c r="F182" s="136">
        <f>apptab2!C165</f>
        <v>5.1529999999999999E-2</v>
      </c>
      <c r="G182" s="138">
        <f>apptab2!F165</f>
        <v>1.0902996E-2</v>
      </c>
    </row>
    <row r="183" spans="2:7">
      <c r="B183">
        <f>apptab2!E166</f>
        <v>4531</v>
      </c>
      <c r="C183" t="s">
        <v>578</v>
      </c>
      <c r="D183" s="136">
        <f>apptab2!A166</f>
        <v>8.9</v>
      </c>
      <c r="E183" s="137">
        <f>apptab2!B166</f>
        <v>-0.22126024961471499</v>
      </c>
      <c r="F183" s="136">
        <f>apptab2!C166</f>
        <v>-6.3539999999999999E-2</v>
      </c>
      <c r="G183" s="138">
        <f>apptab2!F166</f>
        <v>2.3115470000000001E-4</v>
      </c>
    </row>
    <row r="184" spans="2:7">
      <c r="B184">
        <f>apptab2!E167</f>
        <v>4532</v>
      </c>
      <c r="C184" t="s">
        <v>577</v>
      </c>
      <c r="D184" s="136">
        <f>apptab2!A167</f>
        <v>9.1539999999999999</v>
      </c>
      <c r="E184" s="137">
        <f>apptab2!B167</f>
        <v>-0.135260239243507</v>
      </c>
      <c r="F184" s="136">
        <f>apptab2!C167</f>
        <v>0.1105</v>
      </c>
      <c r="G184" s="138">
        <f>apptab2!F167</f>
        <v>1.2795351000000001E-3</v>
      </c>
    </row>
    <row r="185" spans="2:7">
      <c r="B185">
        <f>apptab2!E168</f>
        <v>4533</v>
      </c>
      <c r="C185" t="s">
        <v>576</v>
      </c>
      <c r="D185" s="136">
        <f>apptab2!A168</f>
        <v>8.8919999999999995</v>
      </c>
      <c r="E185" s="137">
        <f>apptab2!B168</f>
        <v>-0.32526025176048201</v>
      </c>
      <c r="F185" s="136">
        <f>apptab2!C168</f>
        <v>2.4590000000000001E-2</v>
      </c>
      <c r="G185" s="138">
        <f>apptab2!F168</f>
        <v>6.4595562000000005E-4</v>
      </c>
    </row>
    <row r="186" spans="2:7">
      <c r="B186" s="26" t="s">
        <v>867</v>
      </c>
    </row>
    <row r="187" spans="2:7">
      <c r="B187" s="4"/>
      <c r="C187" s="4"/>
      <c r="D187" s="4"/>
      <c r="E187" s="4"/>
      <c r="F187" s="4"/>
      <c r="G187" s="4"/>
    </row>
    <row r="188" spans="2:7" ht="42" customHeight="1">
      <c r="B188" s="139" t="s">
        <v>335</v>
      </c>
      <c r="C188" s="139" t="s">
        <v>330</v>
      </c>
      <c r="D188" s="140" t="s">
        <v>740</v>
      </c>
      <c r="E188" s="140" t="s">
        <v>741</v>
      </c>
      <c r="F188" s="140" t="s">
        <v>293</v>
      </c>
      <c r="G188" s="140" t="s">
        <v>742</v>
      </c>
    </row>
    <row r="189" spans="2:7">
      <c r="B189" s="141"/>
      <c r="C189" s="141"/>
      <c r="D189" s="142" t="s">
        <v>271</v>
      </c>
      <c r="E189" s="142" t="s">
        <v>272</v>
      </c>
      <c r="F189" s="142" t="s">
        <v>273</v>
      </c>
      <c r="G189" s="142" t="s">
        <v>274</v>
      </c>
    </row>
    <row r="190" spans="2:7">
      <c r="B190">
        <f>apptab2!E169</f>
        <v>4539</v>
      </c>
      <c r="C190" t="s">
        <v>575</v>
      </c>
      <c r="D190" s="136">
        <f>apptab2!A169</f>
        <v>9.1170000000000009</v>
      </c>
      <c r="E190" s="137">
        <f>apptab2!B169</f>
        <v>-0.155260249972343</v>
      </c>
      <c r="F190" s="136">
        <f>apptab2!C169</f>
        <v>8.5169999999999996E-2</v>
      </c>
      <c r="G190" s="138">
        <f>apptab2!F169</f>
        <v>1.5226668E-3</v>
      </c>
    </row>
    <row r="191" spans="2:7">
      <c r="B191">
        <f>apptab2!E170</f>
        <v>4541</v>
      </c>
      <c r="C191" t="s">
        <v>574</v>
      </c>
      <c r="D191" s="136">
        <f>apptab2!A170</f>
        <v>9.4540000000000006</v>
      </c>
      <c r="E191" s="137">
        <f>apptab2!B170</f>
        <v>1.57397538423538E-2</v>
      </c>
      <c r="F191" s="136">
        <f>apptab2!C170</f>
        <v>0.2424</v>
      </c>
      <c r="G191" s="138">
        <f>apptab2!F170</f>
        <v>2.5658569999999999E-3</v>
      </c>
    </row>
    <row r="192" spans="2:7">
      <c r="B192">
        <f>apptab2!E171</f>
        <v>4542</v>
      </c>
      <c r="C192" t="s">
        <v>573</v>
      </c>
      <c r="D192" s="136">
        <f>apptab2!A171</f>
        <v>9.0960000000000001</v>
      </c>
      <c r="E192" s="137">
        <f>apptab2!B171</f>
        <v>-0.23826023936271601</v>
      </c>
      <c r="F192" s="136">
        <f>apptab2!C171</f>
        <v>0.13489999999999999</v>
      </c>
      <c r="G192" s="138">
        <f>apptab2!F171</f>
        <v>2.7427164999999998E-4</v>
      </c>
    </row>
    <row r="193" spans="2:7">
      <c r="B193">
        <f>apptab2!E172</f>
        <v>4543</v>
      </c>
      <c r="C193" t="s">
        <v>572</v>
      </c>
      <c r="D193" s="136">
        <f>apptab2!A172</f>
        <v>9.359</v>
      </c>
      <c r="E193" s="137">
        <f>apptab2!B172</f>
        <v>-6.7260242998600006E-2</v>
      </c>
      <c r="F193" s="136">
        <f>apptab2!C172</f>
        <v>0.22919999999999999</v>
      </c>
      <c r="G193" s="138">
        <f>apptab2!F172</f>
        <v>1.0871057999999999E-3</v>
      </c>
    </row>
    <row r="194" spans="2:7">
      <c r="B194">
        <f>apptab2!E173</f>
        <v>4811</v>
      </c>
      <c r="C194" t="s">
        <v>571</v>
      </c>
      <c r="D194" s="136">
        <f>apptab2!A173</f>
        <v>9.6270000000000007</v>
      </c>
      <c r="E194" s="137">
        <f>apptab2!B173</f>
        <v>0.24973975121974901</v>
      </c>
      <c r="F194" s="136">
        <f>apptab2!C173</f>
        <v>0.1883</v>
      </c>
      <c r="G194" s="138">
        <f>apptab2!F173</f>
        <v>4.2438246000000004E-3</v>
      </c>
    </row>
    <row r="195" spans="2:7">
      <c r="B195">
        <f>apptab2!E174</f>
        <v>4812</v>
      </c>
      <c r="C195" t="s">
        <v>570</v>
      </c>
      <c r="D195" s="136">
        <f>apptab2!A174</f>
        <v>9.7449999999999992</v>
      </c>
      <c r="E195" s="137">
        <f>apptab2!B174</f>
        <v>0.24673976004123599</v>
      </c>
      <c r="F195" s="136">
        <f>apptab2!C174</f>
        <v>0.29260000000000003</v>
      </c>
      <c r="G195" s="138">
        <f>apptab2!F174</f>
        <v>3.7288167999999998E-4</v>
      </c>
    </row>
    <row r="196" spans="2:7">
      <c r="B196">
        <f>apptab2!E175</f>
        <v>4821</v>
      </c>
      <c r="C196" t="s">
        <v>569</v>
      </c>
      <c r="D196" s="136">
        <f>apptab2!A175</f>
        <v>9.4849999999999994</v>
      </c>
      <c r="E196" s="137">
        <f>apptab2!B175</f>
        <v>-1.0260246694088E-2</v>
      </c>
      <c r="F196" s="136">
        <f>apptab2!C175</f>
        <v>0.3382</v>
      </c>
      <c r="G196" s="138">
        <f>apptab2!F175</f>
        <v>1.0779235000000001E-5</v>
      </c>
    </row>
    <row r="197" spans="2:7">
      <c r="B197">
        <f>apptab2!E176</f>
        <v>4831</v>
      </c>
      <c r="C197" t="s">
        <v>822</v>
      </c>
      <c r="D197" s="136">
        <f>apptab2!A176</f>
        <v>9.7460000000000004</v>
      </c>
      <c r="E197" s="137">
        <f>apptab2!B176</f>
        <v>0.181739747524261</v>
      </c>
      <c r="F197" s="136">
        <f>apptab2!C176</f>
        <v>0.3775</v>
      </c>
      <c r="G197" s="138">
        <f>apptab2!F176</f>
        <v>4.0362246000000002E-4</v>
      </c>
    </row>
    <row r="198" spans="2:7">
      <c r="B198">
        <f>apptab2!E177</f>
        <v>4832</v>
      </c>
      <c r="C198" t="s">
        <v>567</v>
      </c>
      <c r="D198" s="136">
        <f>apptab2!A177</f>
        <v>9.7059999999999995</v>
      </c>
      <c r="E198" s="137">
        <f>apptab2!B177</f>
        <v>7.3739752173423795E-2</v>
      </c>
      <c r="F198" s="136">
        <f>apptab2!C177</f>
        <v>0.42880000000000001</v>
      </c>
      <c r="G198" s="138">
        <f>apptab2!F177</f>
        <v>2.5670548000000001E-4</v>
      </c>
    </row>
    <row r="199" spans="2:7">
      <c r="B199">
        <f>apptab2!E178</f>
        <v>4841</v>
      </c>
      <c r="C199" t="s">
        <v>566</v>
      </c>
      <c r="D199" s="136">
        <f>apptab2!A178</f>
        <v>9.375</v>
      </c>
      <c r="E199" s="137">
        <f>apptab2!B178</f>
        <v>-0.119260244071483</v>
      </c>
      <c r="F199" s="136">
        <f>apptab2!C178</f>
        <v>0.2863</v>
      </c>
      <c r="G199" s="138">
        <f>apptab2!F178</f>
        <v>8.3359414999999992E-3</v>
      </c>
    </row>
    <row r="200" spans="2:7">
      <c r="B200">
        <f>apptab2!E179</f>
        <v>4842</v>
      </c>
      <c r="C200" t="s">
        <v>565</v>
      </c>
      <c r="D200" s="136">
        <f>apptab2!A179</f>
        <v>9.3670000000000009</v>
      </c>
      <c r="E200" s="137">
        <f>apptab2!B179</f>
        <v>-0.126260250806808</v>
      </c>
      <c r="F200" s="136">
        <f>apptab2!C179</f>
        <v>0.28539999999999999</v>
      </c>
      <c r="G200" s="138">
        <f>apptab2!F179</f>
        <v>3.4250020999999999E-3</v>
      </c>
    </row>
    <row r="201" spans="2:7">
      <c r="B201">
        <f>apptab2!E180</f>
        <v>4851</v>
      </c>
      <c r="C201" t="s">
        <v>564</v>
      </c>
      <c r="D201" s="136">
        <f>apptab2!A180</f>
        <v>9.6020000000000003</v>
      </c>
      <c r="E201" s="137">
        <f>apptab2!B180</f>
        <v>2.5739753618836399E-2</v>
      </c>
      <c r="F201" s="136">
        <f>apptab2!C180</f>
        <v>0.39500000000000002</v>
      </c>
      <c r="G201" s="138">
        <f>apptab2!F180</f>
        <v>2.5319224E-3</v>
      </c>
    </row>
    <row r="202" spans="2:7">
      <c r="B202">
        <f>apptab2!E181</f>
        <v>4852</v>
      </c>
      <c r="C202" t="s">
        <v>563</v>
      </c>
      <c r="D202" s="136">
        <f>apptab2!A181</f>
        <v>9.2759999999999998</v>
      </c>
      <c r="E202" s="137">
        <f>apptab2!B181</f>
        <v>-0.17626024782657601</v>
      </c>
      <c r="F202" s="136">
        <f>apptab2!C181</f>
        <v>0.2626</v>
      </c>
      <c r="G202" s="138">
        <f>apptab2!F181</f>
        <v>1.924293E-4</v>
      </c>
    </row>
    <row r="203" spans="2:7">
      <c r="B203">
        <f>apptab2!E182</f>
        <v>4853</v>
      </c>
      <c r="C203" t="s">
        <v>562</v>
      </c>
      <c r="D203" s="136">
        <f>apptab2!A182</f>
        <v>9.077</v>
      </c>
      <c r="E203" s="137">
        <f>apptab2!B182</f>
        <v>-0.18126024305820401</v>
      </c>
      <c r="F203" s="136">
        <f>apptab2!C182</f>
        <v>6.6350000000000006E-2</v>
      </c>
      <c r="G203" s="138">
        <f>apptab2!F182</f>
        <v>4.2797555000000001E-4</v>
      </c>
    </row>
    <row r="204" spans="2:7">
      <c r="B204">
        <f>apptab2!E183</f>
        <v>4854</v>
      </c>
      <c r="C204" t="s">
        <v>561</v>
      </c>
      <c r="D204" s="136">
        <f>apptab2!A183</f>
        <v>9.0540000000000003</v>
      </c>
      <c r="E204" s="137">
        <f>apptab2!B183</f>
        <v>-0.16626024246215801</v>
      </c>
      <c r="F204" s="136">
        <f>apptab2!C183</f>
        <v>2.444E-2</v>
      </c>
      <c r="G204" s="138">
        <f>apptab2!F183</f>
        <v>1.4324406000000001E-3</v>
      </c>
    </row>
    <row r="205" spans="2:7">
      <c r="B205">
        <f>apptab2!E184</f>
        <v>4855</v>
      </c>
      <c r="C205" t="s">
        <v>560</v>
      </c>
      <c r="D205" s="136">
        <f>apptab2!A184</f>
        <v>9.1150000000000002</v>
      </c>
      <c r="E205" s="137">
        <f>apptab2!B184</f>
        <v>-0.184260249137878</v>
      </c>
      <c r="F205" s="136">
        <f>apptab2!C184</f>
        <v>0.1173</v>
      </c>
      <c r="G205" s="138">
        <f>apptab2!F184</f>
        <v>1.7246776000000001E-4</v>
      </c>
    </row>
    <row r="206" spans="2:7">
      <c r="B206">
        <f>apptab2!E185</f>
        <v>4859</v>
      </c>
      <c r="C206" t="s">
        <v>823</v>
      </c>
      <c r="D206" s="136">
        <f>apptab2!A185</f>
        <v>9.0030000000000001</v>
      </c>
      <c r="E206" s="137">
        <f>apptab2!B185</f>
        <v>-0.284260243177413</v>
      </c>
      <c r="F206" s="136">
        <f>apptab2!C185</f>
        <v>0.1007</v>
      </c>
      <c r="G206" s="138">
        <f>apptab2!F185</f>
        <v>6.0802866999999997E-4</v>
      </c>
    </row>
    <row r="207" spans="2:7">
      <c r="B207">
        <f>apptab2!E186</f>
        <v>4861</v>
      </c>
      <c r="C207" t="s">
        <v>558</v>
      </c>
      <c r="D207" s="136">
        <f>apptab2!A186</f>
        <v>10.17</v>
      </c>
      <c r="E207" s="137">
        <f>apptab2!B186</f>
        <v>0.29873976111411998</v>
      </c>
      <c r="F207" s="136">
        <f>apptab2!C186</f>
        <v>0.64870000000000005</v>
      </c>
      <c r="G207" s="138">
        <f>apptab2!F186</f>
        <v>1.1298234999999999E-4</v>
      </c>
    </row>
    <row r="208" spans="2:7">
      <c r="B208">
        <f>apptab2!E187</f>
        <v>4862</v>
      </c>
      <c r="C208" t="s">
        <v>557</v>
      </c>
      <c r="D208" s="136">
        <f>apptab2!A187</f>
        <v>10.050000000000001</v>
      </c>
      <c r="E208" s="137">
        <f>apptab2!B187</f>
        <v>0.26673975586891102</v>
      </c>
      <c r="F208" s="136">
        <f>apptab2!C187</f>
        <v>0.5706</v>
      </c>
      <c r="G208" s="138">
        <f>apptab2!F187</f>
        <v>3.2138088000000002E-4</v>
      </c>
    </row>
    <row r="209" spans="2:7">
      <c r="B209">
        <f>apptab2!E188</f>
        <v>4869</v>
      </c>
      <c r="C209" t="s">
        <v>556</v>
      </c>
      <c r="D209" s="136">
        <f>apptab2!A188</f>
        <v>10.07</v>
      </c>
      <c r="E209" s="137">
        <f>apptab2!B188</f>
        <v>0.244739755988121</v>
      </c>
      <c r="F209" s="136">
        <f>apptab2!C188</f>
        <v>0.60499999999999998</v>
      </c>
      <c r="G209" s="138">
        <f>apptab2!F188</f>
        <v>8.3439263000000005E-5</v>
      </c>
    </row>
    <row r="210" spans="2:7">
      <c r="B210">
        <f>apptab2!E189</f>
        <v>4871</v>
      </c>
      <c r="C210" t="s">
        <v>824</v>
      </c>
      <c r="D210" s="136">
        <f>apptab2!A189</f>
        <v>9.2029999999999994</v>
      </c>
      <c r="E210" s="137">
        <f>apptab2!B189</f>
        <v>-0.119260244071483</v>
      </c>
      <c r="F210" s="136">
        <f>apptab2!C189</f>
        <v>0.14399999999999999</v>
      </c>
      <c r="G210" s="138">
        <f>apptab2!F189</f>
        <v>7.6253105000000004E-5</v>
      </c>
    </row>
    <row r="211" spans="2:7">
      <c r="B211">
        <f>apptab2!E190</f>
        <v>4872</v>
      </c>
      <c r="C211" t="s">
        <v>825</v>
      </c>
      <c r="D211" s="136">
        <f>apptab2!A190</f>
        <v>9.1890000000000001</v>
      </c>
      <c r="E211" s="137">
        <f>apptab2!B190</f>
        <v>-4.3260246515273999E-2</v>
      </c>
      <c r="F211" s="136">
        <f>apptab2!C190</f>
        <v>5.466E-2</v>
      </c>
      <c r="G211" s="138">
        <f>apptab2!F190</f>
        <v>6.7070795999999997E-5</v>
      </c>
    </row>
    <row r="212" spans="2:7">
      <c r="B212">
        <f>apptab2!E191</f>
        <v>4879</v>
      </c>
      <c r="C212" t="s">
        <v>826</v>
      </c>
      <c r="D212" s="136">
        <f>apptab2!A191</f>
        <v>9.3889999999999993</v>
      </c>
      <c r="E212" s="137">
        <f>apptab2!B191</f>
        <v>1.073975302279E-2</v>
      </c>
      <c r="F212" s="136">
        <f>apptab2!C191</f>
        <v>0.1734</v>
      </c>
      <c r="G212" s="138">
        <f>apptab2!F191</f>
        <v>1.8963468000000001E-5</v>
      </c>
    </row>
    <row r="213" spans="2:7">
      <c r="B213">
        <f>apptab2!E192</f>
        <v>4881</v>
      </c>
      <c r="C213" t="s">
        <v>552</v>
      </c>
      <c r="D213" s="136">
        <f>apptab2!A192</f>
        <v>9.4209999999999994</v>
      </c>
      <c r="E213" s="137">
        <f>apptab2!B192</f>
        <v>-3.7260245531797402E-2</v>
      </c>
      <c r="F213" s="136">
        <f>apptab2!C192</f>
        <v>0.26119999999999999</v>
      </c>
      <c r="G213" s="138">
        <f>apptab2!F192</f>
        <v>1.7709882999999999E-3</v>
      </c>
    </row>
    <row r="214" spans="2:7">
      <c r="B214">
        <f>apptab2!E193</f>
        <v>4882</v>
      </c>
      <c r="C214" t="s">
        <v>551</v>
      </c>
      <c r="D214" s="136">
        <f>apptab2!A193</f>
        <v>9.4030000000000005</v>
      </c>
      <c r="E214" s="137">
        <f>apptab2!B193</f>
        <v>-0.15626025199890101</v>
      </c>
      <c r="F214" s="136">
        <f>apptab2!C193</f>
        <v>0.34910000000000002</v>
      </c>
      <c r="G214" s="138">
        <f>apptab2!F193</f>
        <v>2.7347317999999997E-4</v>
      </c>
    </row>
    <row r="215" spans="2:7">
      <c r="B215">
        <f>apptab2!E194</f>
        <v>4883</v>
      </c>
      <c r="C215" t="s">
        <v>550</v>
      </c>
      <c r="D215" s="136">
        <f>apptab2!A194</f>
        <v>9.7629999999999999</v>
      </c>
      <c r="E215" s="137">
        <f>apptab2!B194</f>
        <v>0.13773974776268</v>
      </c>
      <c r="F215" s="136">
        <f>apptab2!C194</f>
        <v>0.42699999999999999</v>
      </c>
      <c r="G215" s="138">
        <f>apptab2!F194</f>
        <v>7.6053489000000001E-4</v>
      </c>
    </row>
    <row r="216" spans="2:7">
      <c r="B216">
        <f>apptab2!E195</f>
        <v>4884</v>
      </c>
      <c r="C216" t="s">
        <v>549</v>
      </c>
      <c r="D216" s="136">
        <f>apptab2!A195</f>
        <v>9.2539999999999996</v>
      </c>
      <c r="E216" s="137">
        <f>apptab2!B195</f>
        <v>-0.159260243177413</v>
      </c>
      <c r="F216" s="136">
        <f>apptab2!C195</f>
        <v>0.2077</v>
      </c>
      <c r="G216" s="138">
        <f>apptab2!F195</f>
        <v>8.3479186000000002E-4</v>
      </c>
    </row>
    <row r="217" spans="2:7">
      <c r="B217">
        <f>apptab2!E196</f>
        <v>4885</v>
      </c>
      <c r="C217" t="s">
        <v>548</v>
      </c>
      <c r="D217" s="136">
        <f>apptab2!A196</f>
        <v>9.4480000000000004</v>
      </c>
      <c r="E217" s="137">
        <f>apptab2!B196</f>
        <v>-1.2602466158569E-3</v>
      </c>
      <c r="F217" s="136">
        <f>apptab2!C196</f>
        <v>0.24790000000000001</v>
      </c>
      <c r="G217" s="138">
        <f>apptab2!F196</f>
        <v>1.8316714999999999E-3</v>
      </c>
    </row>
    <row r="218" spans="2:7">
      <c r="B218">
        <f>apptab2!E197</f>
        <v>4889</v>
      </c>
      <c r="C218" t="s">
        <v>547</v>
      </c>
      <c r="D218" s="136">
        <f>apptab2!A197</f>
        <v>9.2609999999999992</v>
      </c>
      <c r="E218" s="137">
        <f>apptab2!B197</f>
        <v>-0.169260248541832</v>
      </c>
      <c r="F218" s="136">
        <f>apptab2!C197</f>
        <v>0.2263</v>
      </c>
      <c r="G218" s="138">
        <f>apptab2!F197</f>
        <v>2.3634470000000001E-4</v>
      </c>
    </row>
    <row r="219" spans="2:7">
      <c r="B219">
        <f>apptab2!E198</f>
        <v>4911</v>
      </c>
      <c r="C219" t="s">
        <v>546</v>
      </c>
      <c r="D219" s="136">
        <f>apptab2!A198</f>
        <v>9.1379999999999999</v>
      </c>
      <c r="E219" s="137">
        <f>apptab2!B198</f>
        <v>-0.25026023387908902</v>
      </c>
      <c r="F219" s="136">
        <f>apptab2!C198</f>
        <v>0.18049999999999999</v>
      </c>
      <c r="G219" s="138">
        <f>apptab2!F198</f>
        <v>2.9543087E-5</v>
      </c>
    </row>
    <row r="220" spans="2:7">
      <c r="B220">
        <f>apptab2!E199</f>
        <v>4921</v>
      </c>
      <c r="C220" t="s">
        <v>545</v>
      </c>
      <c r="D220" s="136">
        <f>apptab2!A199</f>
        <v>9.4719999999999995</v>
      </c>
      <c r="E220" s="137">
        <f>apptab2!B199</f>
        <v>0.11273975670337601</v>
      </c>
      <c r="F220" s="136">
        <f>apptab2!C199</f>
        <v>0.1522</v>
      </c>
      <c r="G220" s="138">
        <f>apptab2!F199</f>
        <v>4.2238631E-3</v>
      </c>
    </row>
    <row r="221" spans="2:7">
      <c r="B221">
        <f>apptab2!E200</f>
        <v>4922</v>
      </c>
      <c r="C221" t="s">
        <v>544</v>
      </c>
      <c r="D221" s="136">
        <f>apptab2!A200</f>
        <v>9.1379999999999999</v>
      </c>
      <c r="E221" s="137">
        <f>apptab2!B200</f>
        <v>-0.223260253667831</v>
      </c>
      <c r="F221" s="136">
        <f>apptab2!C200</f>
        <v>0.153</v>
      </c>
      <c r="G221" s="138">
        <f>apptab2!F200</f>
        <v>3.5252089999999997E-4</v>
      </c>
    </row>
    <row r="222" spans="2:7">
      <c r="B222">
        <f>apptab2!E201</f>
        <v>4931</v>
      </c>
      <c r="C222" t="s">
        <v>543</v>
      </c>
      <c r="D222" s="136">
        <f>apptab2!A201</f>
        <v>9.2100000000000009</v>
      </c>
      <c r="E222" s="137">
        <f>apptab2!B201</f>
        <v>-0.22126024961471499</v>
      </c>
      <c r="F222" s="136">
        <f>apptab2!C201</f>
        <v>0.22259999999999999</v>
      </c>
      <c r="G222" s="138">
        <f>apptab2!F201</f>
        <v>6.7709563000000004E-3</v>
      </c>
    </row>
    <row r="223" spans="2:7">
      <c r="B223">
        <f>apptab2!E202</f>
        <v>5111</v>
      </c>
      <c r="C223" t="s">
        <v>827</v>
      </c>
      <c r="D223" s="136">
        <f>apptab2!A202</f>
        <v>9.5180000000000007</v>
      </c>
      <c r="E223" s="137">
        <f>apptab2!B202</f>
        <v>7.2739750146865803E-2</v>
      </c>
      <c r="F223" s="136">
        <f>apptab2!C202</f>
        <v>0.27</v>
      </c>
      <c r="G223" s="138">
        <f>apptab2!F202</f>
        <v>3.7423905000000001E-3</v>
      </c>
    </row>
    <row r="224" spans="2:7">
      <c r="B224">
        <f>apptab2!E203</f>
        <v>5112</v>
      </c>
      <c r="C224" t="s">
        <v>541</v>
      </c>
      <c r="D224" s="136">
        <f>apptab2!A203</f>
        <v>10.15</v>
      </c>
      <c r="E224" s="137">
        <f>apptab2!B203</f>
        <v>0.48973974585533098</v>
      </c>
      <c r="F224" s="136">
        <f>apptab2!C203</f>
        <v>0.45450000000000002</v>
      </c>
      <c r="G224" s="138">
        <f>apptab2!F203</f>
        <v>3.2928567000000001E-3</v>
      </c>
    </row>
    <row r="225" spans="2:7">
      <c r="B225">
        <f>apptab2!E204</f>
        <v>5121</v>
      </c>
      <c r="C225" t="s">
        <v>540</v>
      </c>
      <c r="D225" s="136">
        <f>apptab2!A204</f>
        <v>9.7490000000000006</v>
      </c>
      <c r="E225" s="137">
        <f>apptab2!B204</f>
        <v>0.27473974227905201</v>
      </c>
      <c r="F225" s="136">
        <f>apptab2!C204</f>
        <v>0.29459999999999997</v>
      </c>
      <c r="G225" s="138">
        <f>apptab2!F204</f>
        <v>1.7186891000000001E-3</v>
      </c>
    </row>
    <row r="226" spans="2:7">
      <c r="B226">
        <f>apptab2!E205</f>
        <v>5122</v>
      </c>
      <c r="C226" t="s">
        <v>539</v>
      </c>
      <c r="D226" s="136">
        <f>apptab2!A205</f>
        <v>9.6170000000000009</v>
      </c>
      <c r="E226" s="137">
        <f>apptab2!B205</f>
        <v>0.190739750862121</v>
      </c>
      <c r="F226" s="136">
        <f>apptab2!C205</f>
        <v>0.2477</v>
      </c>
      <c r="G226" s="138">
        <f>apptab2!F205</f>
        <v>1.3613775E-4</v>
      </c>
    </row>
    <row r="227" spans="2:7">
      <c r="B227">
        <f>apptab2!E206</f>
        <v>5151</v>
      </c>
      <c r="C227" t="s">
        <v>538</v>
      </c>
      <c r="D227" s="136">
        <f>apptab2!A206</f>
        <v>9.65</v>
      </c>
      <c r="E227" s="137">
        <f>apptab2!B206</f>
        <v>0.19873975217342299</v>
      </c>
      <c r="F227" s="136">
        <f>apptab2!C206</f>
        <v>0.25569999999999998</v>
      </c>
      <c r="G227" s="138">
        <f>apptab2!F206</f>
        <v>1.9111184E-3</v>
      </c>
    </row>
    <row r="228" spans="2:7">
      <c r="B228">
        <f>apptab2!E207</f>
        <v>5152</v>
      </c>
      <c r="C228" t="s">
        <v>537</v>
      </c>
      <c r="D228" s="136">
        <f>apptab2!A207</f>
        <v>9.766</v>
      </c>
      <c r="E228" s="137">
        <f>apptab2!B207</f>
        <v>0.17073975503444599</v>
      </c>
      <c r="F228" s="136">
        <f>apptab2!C207</f>
        <v>0.41089999999999999</v>
      </c>
      <c r="G228" s="138">
        <f>apptab2!F207</f>
        <v>7.0104952000000001E-4</v>
      </c>
    </row>
    <row r="229" spans="2:7">
      <c r="B229">
        <f>apptab2!E208</f>
        <v>5171</v>
      </c>
      <c r="C229" t="s">
        <v>828</v>
      </c>
      <c r="D229" s="136">
        <f>apptab2!A208</f>
        <v>9.7460000000000004</v>
      </c>
      <c r="E229" s="137">
        <f>apptab2!B208</f>
        <v>5.2739754319191E-2</v>
      </c>
      <c r="F229" s="136">
        <f>apptab2!C208</f>
        <v>0.48899999999999999</v>
      </c>
      <c r="G229" s="138">
        <f>apptab2!F208</f>
        <v>6.3517638000000001E-3</v>
      </c>
    </row>
    <row r="230" spans="2:7">
      <c r="B230">
        <f>apptab2!E209</f>
        <v>5172</v>
      </c>
      <c r="C230" t="s">
        <v>829</v>
      </c>
      <c r="D230" s="136">
        <f>apptab2!A209</f>
        <v>9.6609999999999996</v>
      </c>
      <c r="E230" s="137">
        <f>apptab2!B209</f>
        <v>1.57397538423538E-2</v>
      </c>
      <c r="F230" s="136">
        <f>apptab2!C209</f>
        <v>0.45750000000000002</v>
      </c>
      <c r="G230" s="138">
        <f>apptab2!F209</f>
        <v>1.4559950999999999E-3</v>
      </c>
    </row>
    <row r="231" spans="2:7">
      <c r="B231">
        <f>apptab2!E210</f>
        <v>5174</v>
      </c>
      <c r="C231" t="s">
        <v>536</v>
      </c>
      <c r="D231" s="136">
        <f>apptab2!A210</f>
        <v>9.8729999999999993</v>
      </c>
      <c r="E231" s="137">
        <f>apptab2!B210</f>
        <v>0.25973975658416698</v>
      </c>
      <c r="F231" s="136">
        <f>apptab2!C210</f>
        <v>0.42849999999999999</v>
      </c>
      <c r="G231" s="138">
        <f>apptab2!F210</f>
        <v>1.0100543E-4</v>
      </c>
    </row>
    <row r="232" spans="2:7">
      <c r="B232" s="26" t="s">
        <v>867</v>
      </c>
    </row>
    <row r="233" spans="2:7">
      <c r="B233" s="4"/>
      <c r="C233" s="4"/>
      <c r="D233" s="4"/>
      <c r="E233" s="4"/>
      <c r="F233" s="4"/>
      <c r="G233" s="4"/>
    </row>
    <row r="234" spans="2:7" ht="42" customHeight="1">
      <c r="B234" s="139" t="s">
        <v>335</v>
      </c>
      <c r="C234" s="139" t="s">
        <v>330</v>
      </c>
      <c r="D234" s="140" t="s">
        <v>740</v>
      </c>
      <c r="E234" s="140" t="s">
        <v>741</v>
      </c>
      <c r="F234" s="140" t="s">
        <v>293</v>
      </c>
      <c r="G234" s="140" t="s">
        <v>742</v>
      </c>
    </row>
    <row r="235" spans="2:7">
      <c r="B235" s="141"/>
      <c r="C235" s="141"/>
      <c r="D235" s="142" t="s">
        <v>271</v>
      </c>
      <c r="E235" s="142" t="s">
        <v>272</v>
      </c>
      <c r="F235" s="142" t="s">
        <v>273</v>
      </c>
      <c r="G235" s="142" t="s">
        <v>274</v>
      </c>
    </row>
    <row r="236" spans="2:7">
      <c r="B236">
        <f>apptab2!E211</f>
        <v>5179</v>
      </c>
      <c r="C236" t="s">
        <v>535</v>
      </c>
      <c r="D236" s="136">
        <f>apptab2!A211</f>
        <v>9.7650000000000006</v>
      </c>
      <c r="E236" s="137">
        <f>apptab2!B211</f>
        <v>0.156739756464958</v>
      </c>
      <c r="F236" s="136">
        <f>apptab2!C211</f>
        <v>0.42070000000000002</v>
      </c>
      <c r="G236" s="138">
        <f>apptab2!F211</f>
        <v>9.0385879999999995E-4</v>
      </c>
    </row>
    <row r="237" spans="2:7">
      <c r="B237">
        <f>apptab2!E212</f>
        <v>5182</v>
      </c>
      <c r="C237" t="s">
        <v>830</v>
      </c>
      <c r="D237" s="136">
        <f>apptab2!A212</f>
        <v>9.8059999999999992</v>
      </c>
      <c r="E237" s="137">
        <f>apptab2!B212</f>
        <v>0.24573975801467901</v>
      </c>
      <c r="F237" s="136">
        <f>apptab2!C212</f>
        <v>0.35139999999999999</v>
      </c>
      <c r="G237" s="138">
        <f>apptab2!F212</f>
        <v>2.8006049999999998E-3</v>
      </c>
    </row>
    <row r="238" spans="2:7">
      <c r="B238">
        <f>apptab2!E213</f>
        <v>5191</v>
      </c>
      <c r="C238" t="s">
        <v>533</v>
      </c>
      <c r="D238" s="136">
        <f>apptab2!A213</f>
        <v>9.875</v>
      </c>
      <c r="E238" s="137">
        <f>apptab2!B213</f>
        <v>0.28973975777625999</v>
      </c>
      <c r="F238" s="136">
        <f>apptab2!C213</f>
        <v>0.39129999999999998</v>
      </c>
      <c r="G238" s="138">
        <f>apptab2!F213</f>
        <v>2.9028080999999998E-3</v>
      </c>
    </row>
    <row r="239" spans="2:7">
      <c r="B239">
        <f>apptab2!E214</f>
        <v>5211</v>
      </c>
      <c r="C239" t="s">
        <v>532</v>
      </c>
      <c r="D239" s="136">
        <f>apptab2!A214</f>
        <v>10.029999999999999</v>
      </c>
      <c r="E239" s="137">
        <f>apptab2!B214</f>
        <v>0.425739765167236</v>
      </c>
      <c r="F239" s="136">
        <f>apptab2!C214</f>
        <v>0.4103</v>
      </c>
      <c r="G239" s="138">
        <f>apptab2!F214</f>
        <v>2.1478624E-4</v>
      </c>
    </row>
    <row r="240" spans="2:7">
      <c r="B240">
        <f>apptab2!E215</f>
        <v>5221</v>
      </c>
      <c r="C240" t="s">
        <v>531</v>
      </c>
      <c r="D240" s="136">
        <f>apptab2!A215</f>
        <v>9.4930000000000003</v>
      </c>
      <c r="E240" s="137">
        <f>apptab2!B215</f>
        <v>4.4739753007888801E-2</v>
      </c>
      <c r="F240" s="136">
        <f>apptab2!C215</f>
        <v>0.25569999999999998</v>
      </c>
      <c r="G240" s="138">
        <f>apptab2!F215</f>
        <v>1.7111036999999999E-2</v>
      </c>
    </row>
    <row r="241" spans="2:7">
      <c r="B241">
        <f>apptab2!E216</f>
        <v>5222</v>
      </c>
      <c r="C241" t="s">
        <v>530</v>
      </c>
      <c r="D241" s="136">
        <f>apptab2!A216</f>
        <v>9.6630000000000003</v>
      </c>
      <c r="E241" s="137">
        <f>apptab2!B216</f>
        <v>0.120739750564098</v>
      </c>
      <c r="F241" s="136">
        <f>apptab2!C216</f>
        <v>0.33150000000000002</v>
      </c>
      <c r="G241" s="138">
        <f>apptab2!F216</f>
        <v>5.7369485000000001E-3</v>
      </c>
    </row>
    <row r="242" spans="2:7">
      <c r="B242">
        <f>apptab2!E217</f>
        <v>5223</v>
      </c>
      <c r="C242" t="s">
        <v>529</v>
      </c>
      <c r="D242" s="136">
        <f>apptab2!A217</f>
        <v>9.6020000000000003</v>
      </c>
      <c r="E242" s="137">
        <f>apptab2!B217</f>
        <v>8.9739754796028096E-2</v>
      </c>
      <c r="F242" s="136">
        <f>apptab2!C217</f>
        <v>0.30609999999999998</v>
      </c>
      <c r="G242" s="138">
        <f>apptab2!F217</f>
        <v>2.6664634000000001E-3</v>
      </c>
    </row>
    <row r="243" spans="2:7">
      <c r="B243">
        <f>apptab2!E218</f>
        <v>5231</v>
      </c>
      <c r="C243" t="s">
        <v>831</v>
      </c>
      <c r="D243" s="136">
        <f>apptab2!A218</f>
        <v>10.27</v>
      </c>
      <c r="E243" s="137">
        <f>apptab2!B218</f>
        <v>0.66373974084854104</v>
      </c>
      <c r="F243" s="136">
        <f>apptab2!C218</f>
        <v>0.4219</v>
      </c>
      <c r="G243" s="138">
        <f>apptab2!F218</f>
        <v>4.7668171999999997E-3</v>
      </c>
    </row>
    <row r="244" spans="2:7">
      <c r="B244">
        <f>apptab2!E219</f>
        <v>5232</v>
      </c>
      <c r="C244" t="s">
        <v>527</v>
      </c>
      <c r="D244" s="136">
        <f>apptab2!A219</f>
        <v>10.34</v>
      </c>
      <c r="E244" s="137">
        <f>apptab2!B219</f>
        <v>0.64373975992202703</v>
      </c>
      <c r="F244" s="136">
        <f>apptab2!C219</f>
        <v>0.51080000000000003</v>
      </c>
      <c r="G244" s="138">
        <f>apptab2!F219</f>
        <v>7.2260794999999997E-5</v>
      </c>
    </row>
    <row r="245" spans="2:7">
      <c r="B245">
        <f>apptab2!E220</f>
        <v>5239</v>
      </c>
      <c r="C245" t="s">
        <v>526</v>
      </c>
      <c r="D245" s="136">
        <f>apptab2!A220</f>
        <v>10.15</v>
      </c>
      <c r="E245" s="137">
        <f>apptab2!B220</f>
        <v>0.52173978090286199</v>
      </c>
      <c r="F245" s="136">
        <f>apptab2!C220</f>
        <v>0.4254</v>
      </c>
      <c r="G245" s="138">
        <f>apptab2!F220</f>
        <v>4.0681631999999997E-3</v>
      </c>
    </row>
    <row r="246" spans="2:7">
      <c r="B246">
        <f>apptab2!E221</f>
        <v>5241</v>
      </c>
      <c r="C246" t="s">
        <v>525</v>
      </c>
      <c r="D246" s="136">
        <f>apptab2!A221</f>
        <v>9.718</v>
      </c>
      <c r="E246" s="137">
        <f>apptab2!B221</f>
        <v>0.14373975992202701</v>
      </c>
      <c r="F246" s="136">
        <f>apptab2!C221</f>
        <v>0.36849999999999999</v>
      </c>
      <c r="G246" s="138">
        <f>apptab2!F221</f>
        <v>1.275942E-2</v>
      </c>
    </row>
    <row r="247" spans="2:7">
      <c r="B247">
        <f>apptab2!E222</f>
        <v>5242</v>
      </c>
      <c r="C247" t="s">
        <v>832</v>
      </c>
      <c r="D247" s="136">
        <f>apptab2!A222</f>
        <v>9.5530000000000008</v>
      </c>
      <c r="E247" s="137">
        <f>apptab2!B222</f>
        <v>9.7739756107330295E-2</v>
      </c>
      <c r="F247" s="136">
        <f>apptab2!C222</f>
        <v>0.2487</v>
      </c>
      <c r="G247" s="138">
        <f>apptab2!F222</f>
        <v>8.9268031999999997E-3</v>
      </c>
    </row>
    <row r="248" spans="2:7">
      <c r="B248">
        <f>apptab2!E223</f>
        <v>5251</v>
      </c>
      <c r="C248" t="s">
        <v>523</v>
      </c>
      <c r="D248" s="136">
        <f>apptab2!A223</f>
        <v>9.6189999999999998</v>
      </c>
      <c r="E248" s="137">
        <f>apptab2!B223</f>
        <v>0.14473974704742401</v>
      </c>
      <c r="F248" s="136">
        <f>apptab2!C223</f>
        <v>0.32400000000000001</v>
      </c>
      <c r="G248" s="138">
        <f>apptab2!F223</f>
        <v>2.6988011000000001E-4</v>
      </c>
    </row>
    <row r="249" spans="2:7">
      <c r="B249">
        <f>apptab2!E224</f>
        <v>5259</v>
      </c>
      <c r="C249" t="s">
        <v>522</v>
      </c>
      <c r="D249" s="136">
        <f>apptab2!A224</f>
        <v>9.9640000000000004</v>
      </c>
      <c r="E249" s="137">
        <f>apptab2!B224</f>
        <v>0.37073975801467901</v>
      </c>
      <c r="F249" s="136">
        <f>apptab2!C224</f>
        <v>0.43030000000000002</v>
      </c>
      <c r="G249" s="138">
        <f>apptab2!F224</f>
        <v>1.5170774999999999E-4</v>
      </c>
    </row>
    <row r="250" spans="2:7">
      <c r="B250">
        <f>apptab2!E225</f>
        <v>5311</v>
      </c>
      <c r="C250" t="s">
        <v>521</v>
      </c>
      <c r="D250" s="136">
        <f>apptab2!A225</f>
        <v>9.3330000000000002</v>
      </c>
      <c r="E250" s="137">
        <f>apptab2!B225</f>
        <v>-5.6260246783494901E-2</v>
      </c>
      <c r="F250" s="136">
        <f>apptab2!C225</f>
        <v>0.20169999999999999</v>
      </c>
      <c r="G250" s="138">
        <f>apptab2!F225</f>
        <v>4.1879322000000002E-3</v>
      </c>
    </row>
    <row r="251" spans="2:7">
      <c r="B251">
        <f>apptab2!E226</f>
        <v>5312</v>
      </c>
      <c r="C251" t="s">
        <v>520</v>
      </c>
      <c r="D251" s="136">
        <f>apptab2!A226</f>
        <v>9.4779999999999998</v>
      </c>
      <c r="E251" s="137">
        <f>apptab2!B226</f>
        <v>8.2739755511283902E-2</v>
      </c>
      <c r="F251" s="136">
        <f>apptab2!C226</f>
        <v>0.1956</v>
      </c>
      <c r="G251" s="138">
        <f>apptab2!F226</f>
        <v>1.9630184000000001E-3</v>
      </c>
    </row>
    <row r="252" spans="2:7">
      <c r="B252">
        <f>apptab2!E227</f>
        <v>5313</v>
      </c>
      <c r="C252" t="s">
        <v>519</v>
      </c>
      <c r="D252" s="136">
        <f>apptab2!A227</f>
        <v>9.39</v>
      </c>
      <c r="E252" s="137">
        <f>apptab2!B227</f>
        <v>-2.22602467983961E-2</v>
      </c>
      <c r="F252" s="136">
        <f>apptab2!C227</f>
        <v>0.21290000000000001</v>
      </c>
      <c r="G252" s="138">
        <f>apptab2!F227</f>
        <v>4.7588324999999999E-3</v>
      </c>
    </row>
    <row r="253" spans="2:7">
      <c r="B253">
        <f>apptab2!E228</f>
        <v>5321</v>
      </c>
      <c r="C253" t="s">
        <v>518</v>
      </c>
      <c r="D253" s="136">
        <f>apptab2!A228</f>
        <v>9.3480000000000008</v>
      </c>
      <c r="E253" s="137">
        <f>apptab2!B228</f>
        <v>-8.7260246276855497E-2</v>
      </c>
      <c r="F253" s="136">
        <f>apptab2!C228</f>
        <v>0.2475</v>
      </c>
      <c r="G253" s="138">
        <f>apptab2!F228</f>
        <v>1.374552E-3</v>
      </c>
    </row>
    <row r="254" spans="2:7">
      <c r="B254">
        <f>apptab2!E229</f>
        <v>5322</v>
      </c>
      <c r="C254" t="s">
        <v>517</v>
      </c>
      <c r="D254" s="136">
        <f>apptab2!A229</f>
        <v>9.1989999999999998</v>
      </c>
      <c r="E254" s="137">
        <f>apptab2!B229</f>
        <v>-0.19526024162769301</v>
      </c>
      <c r="F254" s="136">
        <f>apptab2!C229</f>
        <v>0.19950000000000001</v>
      </c>
      <c r="G254" s="138">
        <f>apptab2!F229</f>
        <v>1.1262304999999999E-3</v>
      </c>
    </row>
    <row r="255" spans="2:7">
      <c r="B255">
        <f>apptab2!E230</f>
        <v>5323</v>
      </c>
      <c r="C255" t="s">
        <v>516</v>
      </c>
      <c r="D255" s="136">
        <f>apptab2!A230</f>
        <v>9.3610000000000007</v>
      </c>
      <c r="E255" s="137">
        <f>apptab2!B230</f>
        <v>-5.5260248482227298E-2</v>
      </c>
      <c r="F255" s="136">
        <f>apptab2!C230</f>
        <v>0.21579999999999999</v>
      </c>
      <c r="G255" s="138">
        <f>apptab2!F230</f>
        <v>3.1419473999999998E-4</v>
      </c>
    </row>
    <row r="256" spans="2:7">
      <c r="B256">
        <f>apptab2!E231</f>
        <v>5324</v>
      </c>
      <c r="C256" t="s">
        <v>833</v>
      </c>
      <c r="D256" s="136">
        <f>apptab2!A231</f>
        <v>9.6180000000000003</v>
      </c>
      <c r="E256" s="137">
        <f>apptab2!B231</f>
        <v>4.1739754378795603E-2</v>
      </c>
      <c r="F256" s="136">
        <f>apptab2!C231</f>
        <v>0.35980000000000001</v>
      </c>
      <c r="G256" s="138">
        <f>apptab2!F231</f>
        <v>1.2479959000000001E-3</v>
      </c>
    </row>
    <row r="257" spans="2:7">
      <c r="B257">
        <f>apptab2!E232</f>
        <v>5331</v>
      </c>
      <c r="C257" t="s">
        <v>834</v>
      </c>
      <c r="D257" s="136">
        <f>apptab2!A232</f>
        <v>9.8000000000000007</v>
      </c>
      <c r="E257" s="137">
        <f>apptab2!B232</f>
        <v>0.30473974347114502</v>
      </c>
      <c r="F257" s="136">
        <f>apptab2!C232</f>
        <v>0.30259999999999998</v>
      </c>
      <c r="G257" s="138">
        <f>apptab2!F232</f>
        <v>2.155847E-4</v>
      </c>
    </row>
    <row r="258" spans="2:7">
      <c r="B258">
        <f>apptab2!E233</f>
        <v>5411</v>
      </c>
      <c r="C258" t="s">
        <v>513</v>
      </c>
      <c r="D258" s="136">
        <f>apptab2!A233</f>
        <v>9.7240000000000002</v>
      </c>
      <c r="E258" s="137">
        <f>apptab2!B233</f>
        <v>0.22373975813388799</v>
      </c>
      <c r="F258" s="136">
        <f>apptab2!C233</f>
        <v>0.30859999999999999</v>
      </c>
      <c r="G258" s="138">
        <f>apptab2!F233</f>
        <v>1.0427911999999999E-2</v>
      </c>
    </row>
    <row r="259" spans="2:7">
      <c r="B259">
        <f>apptab2!E234</f>
        <v>5412</v>
      </c>
      <c r="C259" t="s">
        <v>835</v>
      </c>
      <c r="D259" s="136">
        <f>apptab2!A234</f>
        <v>9.6479999999999997</v>
      </c>
      <c r="E259" s="137">
        <f>apptab2!B234</f>
        <v>0.20673975348472601</v>
      </c>
      <c r="F259" s="136">
        <f>apptab2!C234</f>
        <v>0.25480000000000003</v>
      </c>
      <c r="G259" s="138">
        <f>apptab2!F234</f>
        <v>7.6133338999999998E-3</v>
      </c>
    </row>
    <row r="260" spans="2:7">
      <c r="B260">
        <f>apptab2!E235</f>
        <v>5413</v>
      </c>
      <c r="C260" t="s">
        <v>836</v>
      </c>
      <c r="D260" s="136">
        <f>apptab2!A235</f>
        <v>9.7910000000000004</v>
      </c>
      <c r="E260" s="137">
        <f>apptab2!B235</f>
        <v>0.24073974788188901</v>
      </c>
      <c r="F260" s="136">
        <f>apptab2!C235</f>
        <v>0.3528</v>
      </c>
      <c r="G260" s="138">
        <f>apptab2!F235</f>
        <v>1.3314351E-2</v>
      </c>
    </row>
    <row r="261" spans="2:7">
      <c r="B261">
        <f>apptab2!E236</f>
        <v>5414</v>
      </c>
      <c r="C261" t="s">
        <v>510</v>
      </c>
      <c r="D261" s="136">
        <f>apptab2!A236</f>
        <v>9.57</v>
      </c>
      <c r="E261" s="137">
        <f>apptab2!B236</f>
        <v>0.156739756464958</v>
      </c>
      <c r="F261" s="136">
        <f>apptab2!C236</f>
        <v>0.22070000000000001</v>
      </c>
      <c r="G261" s="138">
        <f>apptab2!F236</f>
        <v>1.0487796000000001E-3</v>
      </c>
    </row>
    <row r="262" spans="2:7">
      <c r="B262">
        <f>apptab2!E237</f>
        <v>5415</v>
      </c>
      <c r="C262" t="s">
        <v>837</v>
      </c>
      <c r="D262" s="136">
        <f>apptab2!A237</f>
        <v>9.9600000000000009</v>
      </c>
      <c r="E262" s="137">
        <f>apptab2!B237</f>
        <v>0.377739757299423</v>
      </c>
      <c r="F262" s="136">
        <f>apptab2!C237</f>
        <v>0.37469999999999998</v>
      </c>
      <c r="G262" s="138">
        <f>apptab2!F237</f>
        <v>1.7570153000000002E-2</v>
      </c>
    </row>
    <row r="263" spans="2:7">
      <c r="B263">
        <f>apptab2!E238</f>
        <v>5416</v>
      </c>
      <c r="C263" t="s">
        <v>838</v>
      </c>
      <c r="D263" s="136">
        <f>apptab2!A238</f>
        <v>9.7959999999999994</v>
      </c>
      <c r="E263" s="137">
        <f>apptab2!B238</f>
        <v>0.272739768028259</v>
      </c>
      <c r="F263" s="136">
        <f>apptab2!C238</f>
        <v>0.32200000000000001</v>
      </c>
      <c r="G263" s="138">
        <f>apptab2!F238</f>
        <v>1.0232288000000001E-2</v>
      </c>
    </row>
    <row r="264" spans="2:7">
      <c r="B264">
        <f>apptab2!E239</f>
        <v>5417</v>
      </c>
      <c r="C264" t="s">
        <v>839</v>
      </c>
      <c r="D264" s="136">
        <f>apptab2!A239</f>
        <v>10.01</v>
      </c>
      <c r="E264" s="137">
        <f>apptab2!B239</f>
        <v>0.37273976206779402</v>
      </c>
      <c r="F264" s="136">
        <f>apptab2!C239</f>
        <v>0.44579999999999997</v>
      </c>
      <c r="G264" s="138">
        <f>apptab2!F239</f>
        <v>6.7869256999999999E-3</v>
      </c>
    </row>
    <row r="265" spans="2:7">
      <c r="B265">
        <f>apptab2!E240</f>
        <v>5418</v>
      </c>
      <c r="C265" t="s">
        <v>840</v>
      </c>
      <c r="D265" s="136">
        <f>apptab2!A240</f>
        <v>9.7070000000000007</v>
      </c>
      <c r="E265" s="137">
        <f>apptab2!B240</f>
        <v>0.25673976540565402</v>
      </c>
      <c r="F265" s="136">
        <f>apptab2!C240</f>
        <v>0.27329999999999999</v>
      </c>
      <c r="G265" s="138">
        <f>apptab2!F240</f>
        <v>3.801876E-3</v>
      </c>
    </row>
    <row r="266" spans="2:7">
      <c r="B266">
        <f>apptab2!E241</f>
        <v>5419</v>
      </c>
      <c r="C266" t="s">
        <v>841</v>
      </c>
      <c r="D266" s="136">
        <f>apptab2!A241</f>
        <v>9.3719999999999999</v>
      </c>
      <c r="E266" s="137">
        <f>apptab2!B241</f>
        <v>2.67397537827492E-2</v>
      </c>
      <c r="F266" s="136">
        <f>apptab2!C241</f>
        <v>0.14710000000000001</v>
      </c>
      <c r="G266" s="138">
        <f>apptab2!F241</f>
        <v>4.4554169000000001E-3</v>
      </c>
    </row>
    <row r="267" spans="2:7">
      <c r="B267">
        <f>apptab2!E242</f>
        <v>5511</v>
      </c>
      <c r="C267" t="s">
        <v>384</v>
      </c>
      <c r="D267" s="136">
        <f>apptab2!A242</f>
        <v>9.7210000000000001</v>
      </c>
      <c r="E267" s="137">
        <f>apptab2!B242</f>
        <v>0.18473975360393499</v>
      </c>
      <c r="F267" s="136">
        <f>apptab2!C242</f>
        <v>0.33679999999999999</v>
      </c>
      <c r="G267" s="138">
        <f>apptab2!F242</f>
        <v>2.1634324E-2</v>
      </c>
    </row>
    <row r="268" spans="2:7">
      <c r="B268">
        <f>apptab2!E243</f>
        <v>5611</v>
      </c>
      <c r="C268" t="s">
        <v>504</v>
      </c>
      <c r="D268" s="136">
        <f>apptab2!A243</f>
        <v>9.6129999999999995</v>
      </c>
      <c r="E268" s="137">
        <f>apptab2!B243</f>
        <v>0.127739757299423</v>
      </c>
      <c r="F268" s="136">
        <f>apptab2!C243</f>
        <v>0.28029999999999999</v>
      </c>
      <c r="G268" s="138">
        <f>apptab2!F243</f>
        <v>3.8601637E-3</v>
      </c>
    </row>
    <row r="269" spans="2:7">
      <c r="B269">
        <f>apptab2!E244</f>
        <v>5612</v>
      </c>
      <c r="C269" t="s">
        <v>503</v>
      </c>
      <c r="D269" s="136">
        <f>apptab2!A244</f>
        <v>9.3640000000000008</v>
      </c>
      <c r="E269" s="137">
        <f>apptab2!B244</f>
        <v>-0.16626024246215801</v>
      </c>
      <c r="F269" s="136">
        <f>apptab2!C244</f>
        <v>0.33400000000000002</v>
      </c>
      <c r="G269" s="138">
        <f>apptab2!F244</f>
        <v>1.1402036E-3</v>
      </c>
    </row>
    <row r="270" spans="2:7">
      <c r="B270">
        <f>apptab2!E245</f>
        <v>5613</v>
      </c>
      <c r="C270" t="s">
        <v>502</v>
      </c>
      <c r="D270" s="136">
        <f>apptab2!A245</f>
        <v>9.1929999999999996</v>
      </c>
      <c r="E270" s="137">
        <f>apptab2!B245</f>
        <v>-0.136260241270065</v>
      </c>
      <c r="F270" s="136">
        <f>apptab2!C245</f>
        <v>0.13969999999999999</v>
      </c>
      <c r="G270" s="138">
        <f>apptab2!F245</f>
        <v>1.2751436E-2</v>
      </c>
    </row>
    <row r="271" spans="2:7">
      <c r="B271">
        <f>apptab2!E246</f>
        <v>5614</v>
      </c>
      <c r="C271" t="s">
        <v>501</v>
      </c>
      <c r="D271" s="136">
        <f>apptab2!A246</f>
        <v>9.2040000000000006</v>
      </c>
      <c r="E271" s="137">
        <f>apptab2!B246</f>
        <v>-0.17726024985313399</v>
      </c>
      <c r="F271" s="136">
        <f>apptab2!C246</f>
        <v>0.18559999999999999</v>
      </c>
      <c r="G271" s="138">
        <f>apptab2!F246</f>
        <v>6.0443561999999999E-3</v>
      </c>
    </row>
    <row r="272" spans="2:7">
      <c r="B272">
        <f>apptab2!E247</f>
        <v>5615</v>
      </c>
      <c r="C272" t="s">
        <v>842</v>
      </c>
      <c r="D272" s="136">
        <f>apptab2!A247</f>
        <v>9.4090000000000007</v>
      </c>
      <c r="E272" s="137">
        <f>apptab2!B247</f>
        <v>-5.2602468058466998E-3</v>
      </c>
      <c r="F272" s="136">
        <f>apptab2!C247</f>
        <v>0.21479999999999999</v>
      </c>
      <c r="G272" s="138">
        <f>apptab2!F247</f>
        <v>1.663196E-3</v>
      </c>
    </row>
    <row r="273" spans="2:7">
      <c r="B273">
        <f>apptab2!E248</f>
        <v>5616</v>
      </c>
      <c r="C273" t="s">
        <v>499</v>
      </c>
      <c r="D273" s="136">
        <f>apptab2!A248</f>
        <v>9.0739999999999998</v>
      </c>
      <c r="E273" s="137">
        <f>apptab2!B248</f>
        <v>-0.236260250210762</v>
      </c>
      <c r="F273" s="136">
        <f>apptab2!C248</f>
        <v>0.1348</v>
      </c>
      <c r="G273" s="138">
        <f>apptab2!F248</f>
        <v>5.2219405999999998E-3</v>
      </c>
    </row>
    <row r="274" spans="2:7">
      <c r="B274">
        <f>apptab2!E249</f>
        <v>5617</v>
      </c>
      <c r="C274" t="s">
        <v>498</v>
      </c>
      <c r="D274" s="136">
        <f>apptab2!A249</f>
        <v>9.06</v>
      </c>
      <c r="E274" s="137">
        <f>apptab2!B249</f>
        <v>-0.25326025485992398</v>
      </c>
      <c r="F274" s="136">
        <f>apptab2!C249</f>
        <v>0.1125</v>
      </c>
      <c r="G274" s="138">
        <f>apptab2!F249</f>
        <v>9.8210806000000005E-3</v>
      </c>
    </row>
    <row r="275" spans="2:7">
      <c r="B275">
        <f>apptab2!E250</f>
        <v>5619</v>
      </c>
      <c r="C275" t="s">
        <v>497</v>
      </c>
      <c r="D275" s="136">
        <f>apptab2!A250</f>
        <v>9.3849999999999998</v>
      </c>
      <c r="E275" s="137">
        <f>apptab2!B250</f>
        <v>-4.2260248214006403E-2</v>
      </c>
      <c r="F275" s="136">
        <f>apptab2!C250</f>
        <v>0.22439999999999999</v>
      </c>
      <c r="G275" s="138">
        <f>apptab2!F250</f>
        <v>1.9071261999999999E-3</v>
      </c>
    </row>
    <row r="276" spans="2:7">
      <c r="B276">
        <f>apptab2!E251</f>
        <v>5621</v>
      </c>
      <c r="C276" t="s">
        <v>496</v>
      </c>
      <c r="D276" s="136">
        <f>apptab2!A251</f>
        <v>9.41</v>
      </c>
      <c r="E276" s="137">
        <f>apptab2!B251</f>
        <v>-0.136260241270065</v>
      </c>
      <c r="F276" s="136">
        <f>apptab2!C251</f>
        <v>0.3337</v>
      </c>
      <c r="G276" s="138">
        <f>apptab2!F251</f>
        <v>1.4703674999999999E-3</v>
      </c>
    </row>
    <row r="277" spans="2:7">
      <c r="B277">
        <f>apptab2!E252</f>
        <v>5622</v>
      </c>
      <c r="C277" t="s">
        <v>495</v>
      </c>
      <c r="D277" s="136">
        <f>apptab2!A252</f>
        <v>9.6120000000000001</v>
      </c>
      <c r="E277" s="137">
        <f>apptab2!B252</f>
        <v>8.7397536262870008E-3</v>
      </c>
      <c r="F277" s="136">
        <f>apptab2!C252</f>
        <v>0.40289999999999998</v>
      </c>
      <c r="G277" s="138">
        <f>apptab2!F252</f>
        <v>1.2671589000000001E-3</v>
      </c>
    </row>
    <row r="278" spans="2:7">
      <c r="B278" s="26" t="s">
        <v>867</v>
      </c>
    </row>
    <row r="279" spans="2:7">
      <c r="B279" s="4"/>
      <c r="C279" s="4"/>
      <c r="D279" s="4"/>
      <c r="E279" s="4"/>
      <c r="F279" s="4"/>
      <c r="G279" s="4"/>
    </row>
    <row r="280" spans="2:7" ht="42" customHeight="1">
      <c r="B280" s="139" t="s">
        <v>335</v>
      </c>
      <c r="C280" s="139" t="s">
        <v>330</v>
      </c>
      <c r="D280" s="140" t="s">
        <v>740</v>
      </c>
      <c r="E280" s="140" t="s">
        <v>741</v>
      </c>
      <c r="F280" s="140" t="s">
        <v>293</v>
      </c>
      <c r="G280" s="140" t="s">
        <v>742</v>
      </c>
    </row>
    <row r="281" spans="2:7">
      <c r="B281" s="141"/>
      <c r="C281" s="141"/>
      <c r="D281" s="142" t="s">
        <v>271</v>
      </c>
      <c r="E281" s="142" t="s">
        <v>272</v>
      </c>
      <c r="F281" s="142" t="s">
        <v>273</v>
      </c>
      <c r="G281" s="142" t="s">
        <v>274</v>
      </c>
    </row>
    <row r="282" spans="2:7">
      <c r="B282">
        <f>apptab2!E253</f>
        <v>5629</v>
      </c>
      <c r="C282" t="s">
        <v>843</v>
      </c>
      <c r="D282" s="136">
        <f>apptab2!A253</f>
        <v>9.4649999999999999</v>
      </c>
      <c r="E282" s="137">
        <f>apptab2!B253</f>
        <v>-5.8260247111320503E-2</v>
      </c>
      <c r="F282" s="136">
        <f>apptab2!C253</f>
        <v>0.31950000000000001</v>
      </c>
      <c r="G282" s="138">
        <f>apptab2!F253</f>
        <v>1.0795204E-3</v>
      </c>
    </row>
    <row r="283" spans="2:7">
      <c r="B283">
        <f>apptab2!E254</f>
        <v>6111</v>
      </c>
      <c r="C283" t="s">
        <v>493</v>
      </c>
      <c r="D283" s="136">
        <f>apptab2!A254</f>
        <v>9.3580000000000005</v>
      </c>
      <c r="E283" s="137">
        <f>apptab2!B254</f>
        <v>2.0739752799272499E-2</v>
      </c>
      <c r="F283" s="136">
        <f>apptab2!C254</f>
        <v>0.13239999999999999</v>
      </c>
      <c r="G283" s="138">
        <f>apptab2!F254</f>
        <v>7.2180948999999994E-2</v>
      </c>
    </row>
    <row r="284" spans="2:7">
      <c r="B284">
        <f>apptab2!E255</f>
        <v>6112</v>
      </c>
      <c r="C284" t="s">
        <v>492</v>
      </c>
      <c r="D284" s="136">
        <f>apptab2!A255</f>
        <v>9.4190000000000005</v>
      </c>
      <c r="E284" s="137">
        <f>apptab2!B255</f>
        <v>0.14973975718021301</v>
      </c>
      <c r="F284" s="136">
        <f>apptab2!C255</f>
        <v>7.51E-2</v>
      </c>
      <c r="G284" s="138">
        <f>apptab2!F255</f>
        <v>4.4713862999999996E-3</v>
      </c>
    </row>
    <row r="285" spans="2:7">
      <c r="B285">
        <f>apptab2!E256</f>
        <v>6113</v>
      </c>
      <c r="C285" t="s">
        <v>844</v>
      </c>
      <c r="D285" s="136">
        <f>apptab2!A256</f>
        <v>9.5419999999999998</v>
      </c>
      <c r="E285" s="137">
        <f>apptab2!B256</f>
        <v>0.20173975825309701</v>
      </c>
      <c r="F285" s="136">
        <f>apptab2!C256</f>
        <v>0.1421</v>
      </c>
      <c r="G285" s="138">
        <f>apptab2!F256</f>
        <v>2.4420956000000001E-2</v>
      </c>
    </row>
    <row r="286" spans="2:7">
      <c r="B286">
        <f>apptab2!E257</f>
        <v>6114</v>
      </c>
      <c r="C286" t="s">
        <v>845</v>
      </c>
      <c r="D286" s="136">
        <f>apptab2!A257</f>
        <v>9.5709999999999997</v>
      </c>
      <c r="E286" s="137">
        <f>apptab2!B257</f>
        <v>0.13573975861072499</v>
      </c>
      <c r="F286" s="136">
        <f>apptab2!C257</f>
        <v>0.24049999999999999</v>
      </c>
      <c r="G286" s="138">
        <f>apptab2!F257</f>
        <v>5.7968327999999996E-4</v>
      </c>
    </row>
    <row r="287" spans="2:7">
      <c r="B287">
        <f>apptab2!E258</f>
        <v>6115</v>
      </c>
      <c r="C287" t="s">
        <v>489</v>
      </c>
      <c r="D287" s="136">
        <f>apptab2!A258</f>
        <v>9.359</v>
      </c>
      <c r="E287" s="137">
        <f>apptab2!B258</f>
        <v>-2.1260246634483299E-2</v>
      </c>
      <c r="F287" s="136">
        <f>apptab2!C258</f>
        <v>0.18729999999999999</v>
      </c>
      <c r="G287" s="138">
        <f>apptab2!F258</f>
        <v>1.0324111E-3</v>
      </c>
    </row>
    <row r="288" spans="2:7">
      <c r="B288">
        <f>apptab2!E259</f>
        <v>6116</v>
      </c>
      <c r="C288" t="s">
        <v>488</v>
      </c>
      <c r="D288" s="136">
        <f>apptab2!A259</f>
        <v>9.2059999999999995</v>
      </c>
      <c r="E288" s="137">
        <f>apptab2!B259</f>
        <v>-2.9260246083140401E-2</v>
      </c>
      <c r="F288" s="136">
        <f>apptab2!C259</f>
        <v>4.9779999999999998E-2</v>
      </c>
      <c r="G288" s="138">
        <f>apptab2!F259</f>
        <v>1.2755428E-3</v>
      </c>
    </row>
    <row r="289" spans="2:7">
      <c r="B289">
        <f>apptab2!E260</f>
        <v>6117</v>
      </c>
      <c r="C289" t="s">
        <v>487</v>
      </c>
      <c r="D289" s="136">
        <f>apptab2!A260</f>
        <v>9.4640000000000004</v>
      </c>
      <c r="E289" s="137">
        <f>apptab2!B260</f>
        <v>7.5739756226539598E-2</v>
      </c>
      <c r="F289" s="136">
        <f>apptab2!C260</f>
        <v>0.18609999999999999</v>
      </c>
      <c r="G289" s="138">
        <f>apptab2!F260</f>
        <v>1.0212327E-3</v>
      </c>
    </row>
    <row r="290" spans="2:7">
      <c r="B290">
        <f>apptab2!E261</f>
        <v>6211</v>
      </c>
      <c r="C290" t="s">
        <v>486</v>
      </c>
      <c r="D290" s="136">
        <f>apptab2!A261</f>
        <v>9.5190000000000001</v>
      </c>
      <c r="E290" s="137">
        <f>apptab2!B261</f>
        <v>9.5739752054214505E-2</v>
      </c>
      <c r="F290" s="136">
        <f>apptab2!C261</f>
        <v>0.21890000000000001</v>
      </c>
      <c r="G290" s="138">
        <f>apptab2!F261</f>
        <v>2.1526529999999999E-2</v>
      </c>
    </row>
    <row r="291" spans="2:7">
      <c r="B291">
        <f>apptab2!E262</f>
        <v>6212</v>
      </c>
      <c r="C291" t="s">
        <v>485</v>
      </c>
      <c r="D291" s="136">
        <f>apptab2!A262</f>
        <v>9.2780000000000005</v>
      </c>
      <c r="E291" s="137">
        <f>apptab2!B262</f>
        <v>-5.0260245800018297E-2</v>
      </c>
      <c r="F291" s="136">
        <f>apptab2!C262</f>
        <v>0.12920000000000001</v>
      </c>
      <c r="G291" s="138">
        <f>apptab2!F262</f>
        <v>6.9585949999999997E-3</v>
      </c>
    </row>
    <row r="292" spans="2:7">
      <c r="B292">
        <f>apptab2!E263</f>
        <v>6213</v>
      </c>
      <c r="C292" t="s">
        <v>484</v>
      </c>
      <c r="D292" s="136">
        <f>apptab2!A263</f>
        <v>9.2780000000000005</v>
      </c>
      <c r="E292" s="137">
        <f>apptab2!B263</f>
        <v>-3.8260247558355297E-2</v>
      </c>
      <c r="F292" s="136">
        <f>apptab2!C263</f>
        <v>0.1087</v>
      </c>
      <c r="G292" s="138">
        <f>apptab2!F263</f>
        <v>5.2219405999999998E-3</v>
      </c>
    </row>
    <row r="293" spans="2:7">
      <c r="B293">
        <f>apptab2!E264</f>
        <v>6214</v>
      </c>
      <c r="C293" t="s">
        <v>483</v>
      </c>
      <c r="D293" s="136">
        <f>apptab2!A264</f>
        <v>9.4380000000000006</v>
      </c>
      <c r="E293" s="137">
        <f>apptab2!B264</f>
        <v>-1.8260246142745001E-2</v>
      </c>
      <c r="F293" s="136">
        <f>apptab2!C264</f>
        <v>0.249</v>
      </c>
      <c r="G293" s="138">
        <f>apptab2!F264</f>
        <v>6.7070797000000001E-3</v>
      </c>
    </row>
    <row r="294" spans="2:7">
      <c r="B294">
        <f>apptab2!E265</f>
        <v>6215</v>
      </c>
      <c r="C294" t="s">
        <v>482</v>
      </c>
      <c r="D294" s="136">
        <f>apptab2!A265</f>
        <v>9.43</v>
      </c>
      <c r="E294" s="137">
        <f>apptab2!B265</f>
        <v>-4.2260248214006403E-2</v>
      </c>
      <c r="F294" s="136">
        <f>apptab2!C265</f>
        <v>0.2712</v>
      </c>
      <c r="G294" s="138">
        <f>apptab2!F265</f>
        <v>2.3187330999999999E-3</v>
      </c>
    </row>
    <row r="295" spans="2:7">
      <c r="B295">
        <f>apptab2!E266</f>
        <v>6216</v>
      </c>
      <c r="C295" t="s">
        <v>481</v>
      </c>
      <c r="D295" s="136">
        <f>apptab2!A266</f>
        <v>9.1999999999999993</v>
      </c>
      <c r="E295" s="137">
        <f>apptab2!B266</f>
        <v>-0.14826025068759899</v>
      </c>
      <c r="F295" s="136">
        <f>apptab2!C266</f>
        <v>0.14249999999999999</v>
      </c>
      <c r="G295" s="138">
        <f>apptab2!F266</f>
        <v>5.9804791E-3</v>
      </c>
    </row>
    <row r="296" spans="2:7">
      <c r="B296">
        <f>apptab2!E267</f>
        <v>6219</v>
      </c>
      <c r="C296" t="s">
        <v>480</v>
      </c>
      <c r="D296" s="136">
        <f>apptab2!A267</f>
        <v>9.3109999999999999</v>
      </c>
      <c r="E296" s="137">
        <f>apptab2!B267</f>
        <v>-0.104260243475437</v>
      </c>
      <c r="F296" s="136">
        <f>apptab2!C267</f>
        <v>0.21909999999999999</v>
      </c>
      <c r="G296" s="138">
        <f>apptab2!F267</f>
        <v>2.1937738999999999E-3</v>
      </c>
    </row>
    <row r="297" spans="2:7">
      <c r="B297">
        <f>apptab2!E268</f>
        <v>6221</v>
      </c>
      <c r="C297" t="s">
        <v>479</v>
      </c>
      <c r="D297" s="136">
        <f>apptab2!A268</f>
        <v>9.4870000000000001</v>
      </c>
      <c r="E297" s="137">
        <f>apptab2!B268</f>
        <v>5.1739752292633098E-2</v>
      </c>
      <c r="F297" s="136">
        <f>apptab2!C268</f>
        <v>0.2382</v>
      </c>
      <c r="G297" s="138">
        <f>apptab2!F268</f>
        <v>5.0822098000000003E-2</v>
      </c>
    </row>
    <row r="298" spans="2:7">
      <c r="B298">
        <f>apptab2!E269</f>
        <v>6222</v>
      </c>
      <c r="C298" t="s">
        <v>478</v>
      </c>
      <c r="D298" s="136">
        <f>apptab2!A269</f>
        <v>9.3409999999999993</v>
      </c>
      <c r="E298" s="137">
        <f>apptab2!B269</f>
        <v>-9.9260248243808705E-2</v>
      </c>
      <c r="F298" s="136">
        <f>apptab2!C269</f>
        <v>0.24679999999999999</v>
      </c>
      <c r="G298" s="138">
        <f>apptab2!F269</f>
        <v>2.1474632000000001E-3</v>
      </c>
    </row>
    <row r="299" spans="2:7">
      <c r="B299">
        <f>apptab2!E270</f>
        <v>6223</v>
      </c>
      <c r="C299" t="s">
        <v>846</v>
      </c>
      <c r="D299" s="136">
        <f>apptab2!A270</f>
        <v>9.5359999999999996</v>
      </c>
      <c r="E299" s="137">
        <f>apptab2!B270</f>
        <v>7.8739754855632796E-2</v>
      </c>
      <c r="F299" s="136">
        <f>apptab2!C270</f>
        <v>0.25979999999999998</v>
      </c>
      <c r="G299" s="138">
        <f>apptab2!F270</f>
        <v>2.3275162E-3</v>
      </c>
    </row>
    <row r="300" spans="2:7">
      <c r="B300">
        <f>apptab2!E271</f>
        <v>6231</v>
      </c>
      <c r="C300" t="s">
        <v>847</v>
      </c>
      <c r="D300" s="136">
        <f>apptab2!A271</f>
        <v>9.0739999999999998</v>
      </c>
      <c r="E300" s="137">
        <f>apptab2!B271</f>
        <v>-0.28126025199890098</v>
      </c>
      <c r="F300" s="136">
        <f>apptab2!C271</f>
        <v>0.16300000000000001</v>
      </c>
      <c r="G300" s="138">
        <f>apptab2!F271</f>
        <v>1.1893089000000001E-2</v>
      </c>
    </row>
    <row r="301" spans="2:7">
      <c r="B301">
        <f>apptab2!E272</f>
        <v>6232</v>
      </c>
      <c r="C301" t="s">
        <v>848</v>
      </c>
      <c r="D301" s="136">
        <f>apptab2!A272</f>
        <v>9.06</v>
      </c>
      <c r="E301" s="137">
        <f>apptab2!B272</f>
        <v>-0.28626024723052901</v>
      </c>
      <c r="F301" s="136">
        <f>apptab2!C272</f>
        <v>0.1578</v>
      </c>
      <c r="G301" s="138">
        <f>apptab2!F272</f>
        <v>4.9464712000000001E-3</v>
      </c>
    </row>
    <row r="302" spans="2:7">
      <c r="B302">
        <f>apptab2!E273</f>
        <v>6233</v>
      </c>
      <c r="C302" t="s">
        <v>849</v>
      </c>
      <c r="D302" s="136">
        <f>apptab2!A273</f>
        <v>8.9719999999999995</v>
      </c>
      <c r="E302" s="137">
        <f>apptab2!B273</f>
        <v>-0.333260238170623</v>
      </c>
      <c r="F302" s="136">
        <f>apptab2!C273</f>
        <v>0.11260000000000001</v>
      </c>
      <c r="G302" s="138">
        <f>apptab2!F273</f>
        <v>4.8666246999999998E-3</v>
      </c>
    </row>
    <row r="303" spans="2:7">
      <c r="B303">
        <f>apptab2!E274</f>
        <v>6239</v>
      </c>
      <c r="C303" t="s">
        <v>473</v>
      </c>
      <c r="D303" s="136">
        <f>apptab2!A274</f>
        <v>9.0730000000000004</v>
      </c>
      <c r="E303" s="137">
        <f>apptab2!B274</f>
        <v>-0.25926023721694902</v>
      </c>
      <c r="F303" s="136">
        <f>apptab2!C274</f>
        <v>0.1434</v>
      </c>
      <c r="G303" s="138">
        <f>apptab2!F274</f>
        <v>1.2563798E-3</v>
      </c>
    </row>
    <row r="304" spans="2:7">
      <c r="B304">
        <f>apptab2!E275</f>
        <v>6241</v>
      </c>
      <c r="C304" t="s">
        <v>472</v>
      </c>
      <c r="D304" s="136">
        <f>apptab2!A275</f>
        <v>9.0809999999999995</v>
      </c>
      <c r="E304" s="137">
        <f>apptab2!B275</f>
        <v>-0.23526024818420399</v>
      </c>
      <c r="F304" s="136">
        <f>apptab2!C275</f>
        <v>0.11899999999999999</v>
      </c>
      <c r="G304" s="138">
        <f>apptab2!F275</f>
        <v>9.3819265999999998E-3</v>
      </c>
    </row>
    <row r="305" spans="2:7">
      <c r="B305">
        <f>apptab2!E276</f>
        <v>6242</v>
      </c>
      <c r="C305" t="s">
        <v>850</v>
      </c>
      <c r="D305" s="136">
        <f>apptab2!A276</f>
        <v>9.1829999999999998</v>
      </c>
      <c r="E305" s="137">
        <f>apptab2!B276</f>
        <v>-0.13926024734973899</v>
      </c>
      <c r="F305" s="136">
        <f>apptab2!C276</f>
        <v>0.12939999999999999</v>
      </c>
      <c r="G305" s="138">
        <f>apptab2!F276</f>
        <v>1.1370097E-3</v>
      </c>
    </row>
    <row r="306" spans="2:7">
      <c r="B306">
        <f>apptab2!E277</f>
        <v>6243</v>
      </c>
      <c r="C306" t="s">
        <v>470</v>
      </c>
      <c r="D306" s="136">
        <f>apptab2!A277</f>
        <v>9.0120000000000005</v>
      </c>
      <c r="E306" s="137">
        <f>apptab2!B277</f>
        <v>-0.28826025128364502</v>
      </c>
      <c r="F306" s="136">
        <f>apptab2!C277</f>
        <v>0.1119</v>
      </c>
      <c r="G306" s="138">
        <f>apptab2!F277</f>
        <v>2.1698199999999998E-3</v>
      </c>
    </row>
    <row r="307" spans="2:7">
      <c r="B307">
        <f>apptab2!E278</f>
        <v>6244</v>
      </c>
      <c r="C307" t="s">
        <v>469</v>
      </c>
      <c r="D307" s="136">
        <f>apptab2!A278</f>
        <v>8.827</v>
      </c>
      <c r="E307" s="137">
        <f>apptab2!B278</f>
        <v>-0.37526023387908902</v>
      </c>
      <c r="F307" s="136">
        <f>apptab2!C278</f>
        <v>1.376E-2</v>
      </c>
      <c r="G307" s="138">
        <f>apptab2!F278</f>
        <v>4.5432481000000002E-3</v>
      </c>
    </row>
    <row r="308" spans="2:7">
      <c r="B308">
        <f>apptab2!E279</f>
        <v>7111</v>
      </c>
      <c r="C308" t="s">
        <v>468</v>
      </c>
      <c r="D308" s="136">
        <f>apptab2!A279</f>
        <v>9.3740000000000006</v>
      </c>
      <c r="E308" s="137">
        <f>apptab2!B279</f>
        <v>6.07397519052029E-2</v>
      </c>
      <c r="F308" s="136">
        <f>apptab2!C279</f>
        <v>0.13400000000000001</v>
      </c>
      <c r="G308" s="138">
        <f>apptab2!F279</f>
        <v>5.5812486000000004E-4</v>
      </c>
    </row>
    <row r="309" spans="2:7">
      <c r="B309">
        <f>apptab2!E280</f>
        <v>7112</v>
      </c>
      <c r="C309" t="s">
        <v>467</v>
      </c>
      <c r="D309" s="136">
        <f>apptab2!A280</f>
        <v>9.6560000000000006</v>
      </c>
      <c r="E309" s="137">
        <f>apptab2!B280</f>
        <v>0.27973976731300298</v>
      </c>
      <c r="F309" s="136">
        <f>apptab2!C280</f>
        <v>0.1925</v>
      </c>
      <c r="G309" s="138">
        <f>apptab2!F280</f>
        <v>6.9426256E-4</v>
      </c>
    </row>
    <row r="310" spans="2:7">
      <c r="B310">
        <f>apptab2!E281</f>
        <v>7113</v>
      </c>
      <c r="C310" t="s">
        <v>851</v>
      </c>
      <c r="D310" s="136">
        <f>apptab2!A281</f>
        <v>9.4819999999999993</v>
      </c>
      <c r="E310" s="137">
        <f>apptab2!B281</f>
        <v>0.120739750564098</v>
      </c>
      <c r="F310" s="136">
        <f>apptab2!C281</f>
        <v>0.16969999999999999</v>
      </c>
      <c r="G310" s="138">
        <f>apptab2!F281</f>
        <v>5.0063558999999995E-4</v>
      </c>
    </row>
    <row r="311" spans="2:7">
      <c r="B311">
        <f>apptab2!E282</f>
        <v>7114</v>
      </c>
      <c r="C311" t="s">
        <v>852</v>
      </c>
      <c r="D311" s="136">
        <f>apptab2!A282</f>
        <v>9.7240000000000002</v>
      </c>
      <c r="E311" s="137">
        <f>apptab2!B282</f>
        <v>0.349739760160446</v>
      </c>
      <c r="F311" s="136">
        <f>apptab2!C282</f>
        <v>0.2215</v>
      </c>
      <c r="G311" s="138">
        <f>apptab2!F282</f>
        <v>1.6767698999999999E-4</v>
      </c>
    </row>
    <row r="312" spans="2:7">
      <c r="B312">
        <f>apptab2!E283</f>
        <v>7115</v>
      </c>
      <c r="C312" t="s">
        <v>853</v>
      </c>
      <c r="D312" s="136">
        <f>apptab2!A283</f>
        <v>9.5760000000000005</v>
      </c>
      <c r="E312" s="137">
        <f>apptab2!B283</f>
        <v>0.15473975241184201</v>
      </c>
      <c r="F312" s="136">
        <f>apptab2!C283</f>
        <v>0.2306</v>
      </c>
      <c r="G312" s="138">
        <f>apptab2!F283</f>
        <v>2.5071700999999998E-4</v>
      </c>
    </row>
    <row r="313" spans="2:7">
      <c r="B313">
        <f>apptab2!E284</f>
        <v>7121</v>
      </c>
      <c r="C313" t="s">
        <v>854</v>
      </c>
      <c r="D313" s="136">
        <f>apptab2!A284</f>
        <v>9.3230000000000004</v>
      </c>
      <c r="E313" s="137">
        <f>apptab2!B284</f>
        <v>-1.2602466158569E-3</v>
      </c>
      <c r="F313" s="136">
        <f>apptab2!C284</f>
        <v>0.13780000000000001</v>
      </c>
      <c r="G313" s="138">
        <f>apptab2!F284</f>
        <v>1.4599875E-3</v>
      </c>
    </row>
    <row r="314" spans="2:7">
      <c r="B314">
        <f>apptab2!E285</f>
        <v>7131</v>
      </c>
      <c r="C314" t="s">
        <v>462</v>
      </c>
      <c r="D314" s="136">
        <f>apptab2!A285</f>
        <v>9.1370000000000005</v>
      </c>
      <c r="E314" s="137">
        <f>apptab2!B285</f>
        <v>-0.106260247528553</v>
      </c>
      <c r="F314" s="136">
        <f>apptab2!C285</f>
        <v>6.046E-2</v>
      </c>
      <c r="G314" s="138">
        <f>apptab2!F285</f>
        <v>8.5116032000000002E-4</v>
      </c>
    </row>
    <row r="315" spans="2:7">
      <c r="B315">
        <f>apptab2!E286</f>
        <v>7132</v>
      </c>
      <c r="C315" t="s">
        <v>461</v>
      </c>
      <c r="D315" s="136">
        <f>apptab2!A286</f>
        <v>9.0649999999999995</v>
      </c>
      <c r="E315" s="137">
        <f>apptab2!B286</f>
        <v>-0.29226025938987699</v>
      </c>
      <c r="F315" s="136">
        <f>apptab2!C286</f>
        <v>0.16700000000000001</v>
      </c>
      <c r="G315" s="138">
        <f>apptab2!F286</f>
        <v>2.2245147000000002E-3</v>
      </c>
    </row>
    <row r="316" spans="2:7">
      <c r="B316">
        <f>apptab2!E287</f>
        <v>7139</v>
      </c>
      <c r="C316" t="s">
        <v>855</v>
      </c>
      <c r="D316" s="136">
        <f>apptab2!A287</f>
        <v>9.1989999999999998</v>
      </c>
      <c r="E316" s="137">
        <f>apptab2!B287</f>
        <v>-7.5260244309902205E-2</v>
      </c>
      <c r="F316" s="136">
        <f>apptab2!C287</f>
        <v>8.6629999999999999E-2</v>
      </c>
      <c r="G316" s="138">
        <f>apptab2!F287</f>
        <v>4.8386790000000002E-3</v>
      </c>
    </row>
    <row r="317" spans="2:7">
      <c r="B317">
        <f>apptab2!E288</f>
        <v>7211</v>
      </c>
      <c r="C317" t="s">
        <v>459</v>
      </c>
      <c r="D317" s="136">
        <f>apptab2!A288</f>
        <v>9.0719999999999992</v>
      </c>
      <c r="E317" s="137">
        <f>apptab2!B288</f>
        <v>-0.24926024675369199</v>
      </c>
      <c r="F317" s="136">
        <f>apptab2!C288</f>
        <v>0.12770000000000001</v>
      </c>
      <c r="G317" s="138">
        <f>apptab2!F288</f>
        <v>1.1457927999999999E-2</v>
      </c>
    </row>
    <row r="318" spans="2:7">
      <c r="B318">
        <f>apptab2!E289</f>
        <v>7212</v>
      </c>
      <c r="C318" t="s">
        <v>856</v>
      </c>
      <c r="D318" s="136">
        <f>apptab2!A289</f>
        <v>9.0709999999999997</v>
      </c>
      <c r="E318" s="137">
        <f>apptab2!B289</f>
        <v>-0.130260244011879</v>
      </c>
      <c r="F318" s="136">
        <f>apptab2!C289</f>
        <v>4.6759999999999996E-3</v>
      </c>
      <c r="G318" s="138">
        <f>apptab2!F289</f>
        <v>2.0001468999999999E-4</v>
      </c>
    </row>
    <row r="319" spans="2:7">
      <c r="B319">
        <f>apptab2!E290</f>
        <v>7213</v>
      </c>
      <c r="C319" t="s">
        <v>857</v>
      </c>
      <c r="D319" s="136">
        <f>apptab2!A290</f>
        <v>9.0269999999999992</v>
      </c>
      <c r="E319" s="137">
        <f>apptab2!B290</f>
        <v>-0.27426025271415699</v>
      </c>
      <c r="F319" s="136">
        <f>apptab2!C290</f>
        <v>0.1114</v>
      </c>
      <c r="G319" s="138">
        <f>apptab2!F290</f>
        <v>5.0303097000000001E-5</v>
      </c>
    </row>
    <row r="320" spans="2:7">
      <c r="B320">
        <f>apptab2!E291</f>
        <v>7223</v>
      </c>
      <c r="C320" t="s">
        <v>456</v>
      </c>
      <c r="D320" s="136">
        <f>apptab2!A291</f>
        <v>9.0190000000000001</v>
      </c>
      <c r="E320" s="137">
        <f>apptab2!B291</f>
        <v>-0.266260236501693</v>
      </c>
      <c r="F320" s="136">
        <f>apptab2!C291</f>
        <v>8.9760000000000006E-2</v>
      </c>
      <c r="G320" s="138">
        <f>apptab2!F291</f>
        <v>2.9315526999999998E-3</v>
      </c>
    </row>
    <row r="321" spans="2:7">
      <c r="B321">
        <f>apptab2!E292</f>
        <v>7224</v>
      </c>
      <c r="C321" t="s">
        <v>455</v>
      </c>
      <c r="D321" s="136">
        <f>apptab2!A292</f>
        <v>8.8849999999999998</v>
      </c>
      <c r="E321" s="137">
        <f>apptab2!B292</f>
        <v>-0.23026025295257499</v>
      </c>
      <c r="F321" s="136">
        <f>apptab2!C292</f>
        <v>-8.727E-2</v>
      </c>
      <c r="G321" s="138">
        <f>apptab2!F292</f>
        <v>9.9807732999999997E-4</v>
      </c>
    </row>
    <row r="322" spans="2:7">
      <c r="B322">
        <f>apptab2!E293</f>
        <v>7225</v>
      </c>
      <c r="C322" t="s">
        <v>454</v>
      </c>
      <c r="D322" s="136">
        <f>apptab2!A293</f>
        <v>8.8960000000000008</v>
      </c>
      <c r="E322" s="137">
        <f>apptab2!B293</f>
        <v>-0.28826025128364502</v>
      </c>
      <c r="F322" s="136">
        <f>apptab2!C293</f>
        <v>3.3489999999999999E-11</v>
      </c>
      <c r="G322" s="138">
        <f>apptab2!F293</f>
        <v>2.6628703E-2</v>
      </c>
    </row>
    <row r="323" spans="2:7">
      <c r="B323">
        <f>apptab2!E294</f>
        <v>8111</v>
      </c>
      <c r="C323" t="s">
        <v>453</v>
      </c>
      <c r="D323" s="136">
        <f>apptab2!A294</f>
        <v>9.2240000000000002</v>
      </c>
      <c r="E323" s="137">
        <f>apptab2!B294</f>
        <v>-9.8260246217250796E-2</v>
      </c>
      <c r="F323" s="136">
        <f>apptab2!C294</f>
        <v>0.12189999999999999</v>
      </c>
      <c r="G323" s="138">
        <f>apptab2!F294</f>
        <v>6.0243947000000004E-3</v>
      </c>
    </row>
    <row r="324" spans="2:7">
      <c r="B324" s="26" t="s">
        <v>867</v>
      </c>
    </row>
    <row r="325" spans="2:7">
      <c r="B325" s="4"/>
      <c r="C325" s="4"/>
      <c r="D325" s="4"/>
      <c r="E325" s="4"/>
      <c r="F325" s="4"/>
      <c r="G325" s="4"/>
    </row>
    <row r="326" spans="2:7" ht="42" customHeight="1">
      <c r="B326" s="139" t="s">
        <v>335</v>
      </c>
      <c r="C326" s="139" t="s">
        <v>330</v>
      </c>
      <c r="D326" s="140" t="s">
        <v>740</v>
      </c>
      <c r="E326" s="140" t="s">
        <v>741</v>
      </c>
      <c r="F326" s="140" t="s">
        <v>293</v>
      </c>
      <c r="G326" s="140" t="s">
        <v>742</v>
      </c>
    </row>
    <row r="327" spans="2:7">
      <c r="B327" s="141"/>
      <c r="C327" s="141"/>
      <c r="D327" s="142" t="s">
        <v>271</v>
      </c>
      <c r="E327" s="142" t="s">
        <v>272</v>
      </c>
      <c r="F327" s="142" t="s">
        <v>273</v>
      </c>
      <c r="G327" s="142" t="s">
        <v>274</v>
      </c>
    </row>
    <row r="328" spans="2:7">
      <c r="B328">
        <f>apptab2!E295</f>
        <v>8112</v>
      </c>
      <c r="C328" t="s">
        <v>858</v>
      </c>
      <c r="D328" s="136">
        <f>apptab2!A295</f>
        <v>9.4580000000000002</v>
      </c>
      <c r="E328" s="137">
        <f>apptab2!B295</f>
        <v>1.1739753186702701E-2</v>
      </c>
      <c r="F328" s="136">
        <f>apptab2!C295</f>
        <v>0.2495</v>
      </c>
      <c r="G328" s="138">
        <f>apptab2!F295</f>
        <v>8.6792803E-4</v>
      </c>
    </row>
    <row r="329" spans="2:7">
      <c r="B329">
        <f>apptab2!E296</f>
        <v>8113</v>
      </c>
      <c r="C329" t="s">
        <v>859</v>
      </c>
      <c r="D329" s="136">
        <f>apptab2!A296</f>
        <v>9.4939999999999998</v>
      </c>
      <c r="E329" s="137">
        <f>apptab2!B296</f>
        <v>6.7397532984613999E-3</v>
      </c>
      <c r="F329" s="136">
        <f>apptab2!C296</f>
        <v>0.28079999999999999</v>
      </c>
      <c r="G329" s="138">
        <f>apptab2!F296</f>
        <v>1.685553E-3</v>
      </c>
    </row>
    <row r="330" spans="2:7">
      <c r="B330">
        <f>apptab2!E297</f>
        <v>8114</v>
      </c>
      <c r="C330" t="s">
        <v>860</v>
      </c>
      <c r="D330" s="136">
        <f>apptab2!A297</f>
        <v>9.1560000000000006</v>
      </c>
      <c r="E330" s="137">
        <f>apptab2!B297</f>
        <v>-0.12526024878024999</v>
      </c>
      <c r="F330" s="136">
        <f>apptab2!C297</f>
        <v>8.4769999999999998E-2</v>
      </c>
      <c r="G330" s="138">
        <f>apptab2!F297</f>
        <v>4.4234786999999999E-4</v>
      </c>
    </row>
    <row r="331" spans="2:7">
      <c r="B331">
        <f>apptab2!E298</f>
        <v>8121</v>
      </c>
      <c r="C331" t="s">
        <v>449</v>
      </c>
      <c r="D331" s="136">
        <f>apptab2!A298</f>
        <v>8.9480000000000004</v>
      </c>
      <c r="E331" s="137">
        <f>apptab2!B298</f>
        <v>-0.227260246872901</v>
      </c>
      <c r="F331" s="136">
        <f>apptab2!C298</f>
        <v>-1.4829999999999999E-2</v>
      </c>
      <c r="G331" s="138">
        <f>apptab2!F298</f>
        <v>2.8964203999999999E-3</v>
      </c>
    </row>
    <row r="332" spans="2:7">
      <c r="B332">
        <f>apptab2!E299</f>
        <v>8122</v>
      </c>
      <c r="C332" t="s">
        <v>448</v>
      </c>
      <c r="D332" s="136">
        <f>apptab2!A299</f>
        <v>9.3119999999999994</v>
      </c>
      <c r="E332" s="137">
        <f>apptab2!B299</f>
        <v>-4.2602466419338998E-3</v>
      </c>
      <c r="F332" s="136">
        <f>apptab2!C299</f>
        <v>0.1236</v>
      </c>
      <c r="G332" s="138">
        <f>apptab2!F299</f>
        <v>7.3817797000000004E-4</v>
      </c>
    </row>
    <row r="333" spans="2:7">
      <c r="B333">
        <f>apptab2!E300</f>
        <v>8123</v>
      </c>
      <c r="C333" t="s">
        <v>447</v>
      </c>
      <c r="D333" s="136">
        <f>apptab2!A300</f>
        <v>9.0109999999999992</v>
      </c>
      <c r="E333" s="137">
        <f>apptab2!B300</f>
        <v>-0.332260251045227</v>
      </c>
      <c r="F333" s="136">
        <f>apptab2!C300</f>
        <v>0.1444</v>
      </c>
      <c r="G333" s="138">
        <f>apptab2!F300</f>
        <v>1.7689921999999999E-3</v>
      </c>
    </row>
    <row r="334" spans="2:7">
      <c r="B334">
        <f>apptab2!E301</f>
        <v>8129</v>
      </c>
      <c r="C334" t="s">
        <v>446</v>
      </c>
      <c r="D334" s="136">
        <f>apptab2!A301</f>
        <v>9.0340000000000007</v>
      </c>
      <c r="E334" s="137">
        <f>apptab2!B301</f>
        <v>-0.208260253071785</v>
      </c>
      <c r="F334" s="136">
        <f>apptab2!C301</f>
        <v>5.9020000000000003E-2</v>
      </c>
      <c r="G334" s="138">
        <f>apptab2!F301</f>
        <v>1.3438113E-3</v>
      </c>
    </row>
    <row r="335" spans="2:7">
      <c r="B335">
        <f>apptab2!E302</f>
        <v>8131</v>
      </c>
      <c r="C335" t="s">
        <v>445</v>
      </c>
      <c r="D335" s="136">
        <f>apptab2!A302</f>
        <v>9.1489999999999991</v>
      </c>
      <c r="E335" s="137">
        <f>apptab2!B302</f>
        <v>-5.1260247826576198E-2</v>
      </c>
      <c r="F335" s="136">
        <f>apptab2!C302</f>
        <v>2.7720000000000002E-2</v>
      </c>
      <c r="G335" s="138">
        <f>apptab2!F302</f>
        <v>9.4777421E-4</v>
      </c>
    </row>
    <row r="336" spans="2:7">
      <c r="B336">
        <f>apptab2!E303</f>
        <v>8132</v>
      </c>
      <c r="C336" t="s">
        <v>444</v>
      </c>
      <c r="D336" s="136">
        <f>apptab2!A303</f>
        <v>9.577</v>
      </c>
      <c r="E336" s="137">
        <f>apptab2!B303</f>
        <v>0.16373975574970201</v>
      </c>
      <c r="F336" s="136">
        <f>apptab2!C303</f>
        <v>0.2235</v>
      </c>
      <c r="G336" s="138">
        <f>apptab2!F303</f>
        <v>1.1601650999999999E-3</v>
      </c>
    </row>
    <row r="337" spans="2:7">
      <c r="B337">
        <f>apptab2!E304</f>
        <v>8133</v>
      </c>
      <c r="C337" t="s">
        <v>443</v>
      </c>
      <c r="D337" s="136">
        <f>apptab2!A304</f>
        <v>9.3510000000000009</v>
      </c>
      <c r="E337" s="137">
        <f>apptab2!B304</f>
        <v>-3.2602467108517998E-3</v>
      </c>
      <c r="F337" s="136">
        <f>apptab2!C304</f>
        <v>0.1646</v>
      </c>
      <c r="G337" s="138">
        <f>apptab2!F304</f>
        <v>1.6005167E-3</v>
      </c>
    </row>
    <row r="338" spans="2:7">
      <c r="B338">
        <f>apptab2!E305</f>
        <v>8134</v>
      </c>
      <c r="C338" t="s">
        <v>442</v>
      </c>
      <c r="D338" s="136">
        <f>apptab2!A305</f>
        <v>9.173</v>
      </c>
      <c r="E338" s="137">
        <f>apptab2!B305</f>
        <v>-9.7260244190692902E-2</v>
      </c>
      <c r="F338" s="136">
        <f>apptab2!C305</f>
        <v>9.0289999999999995E-2</v>
      </c>
      <c r="G338" s="138">
        <f>apptab2!F305</f>
        <v>1.2527866000000001E-3</v>
      </c>
    </row>
    <row r="339" spans="2:7">
      <c r="B339">
        <f>apptab2!E306</f>
        <v>8139</v>
      </c>
      <c r="C339" t="s">
        <v>861</v>
      </c>
      <c r="D339" s="136">
        <f>apptab2!A306</f>
        <v>9.6240000000000006</v>
      </c>
      <c r="E339" s="137">
        <f>apptab2!B306</f>
        <v>0.14873975515365601</v>
      </c>
      <c r="F339" s="136">
        <f>apptab2!C306</f>
        <v>0.28520000000000001</v>
      </c>
      <c r="G339" s="138">
        <f>apptab2!F306</f>
        <v>3.0804658E-3</v>
      </c>
    </row>
    <row r="340" spans="2:7">
      <c r="B340">
        <f>apptab2!E307</f>
        <v>8141</v>
      </c>
      <c r="C340" t="s">
        <v>440</v>
      </c>
      <c r="D340" s="136">
        <f>apptab2!A307</f>
        <v>9.0749999999999993</v>
      </c>
      <c r="E340" s="137">
        <f>apptab2!B307</f>
        <v>-0.30726024508476202</v>
      </c>
      <c r="F340" s="136">
        <f>apptab2!C307</f>
        <v>0.20610000000000001</v>
      </c>
      <c r="G340" s="138">
        <f>apptab2!F307</f>
        <v>6.7509948999999996E-4</v>
      </c>
    </row>
    <row r="341" spans="2:7">
      <c r="B341">
        <f>apptab2!E308</f>
        <v>9211</v>
      </c>
      <c r="C341" t="s">
        <v>862</v>
      </c>
      <c r="D341" s="136">
        <f>apptab2!A308</f>
        <v>9.4510000000000005</v>
      </c>
      <c r="E341" s="137">
        <f>apptab2!B308</f>
        <v>-2.22602467983961E-2</v>
      </c>
      <c r="F341" s="136">
        <f>apptab2!C308</f>
        <v>0.26800000000000002</v>
      </c>
      <c r="G341" s="138">
        <f>apptab2!F308</f>
        <v>2.6612733E-2</v>
      </c>
    </row>
    <row r="342" spans="2:7">
      <c r="B342">
        <f>apptab2!E309</f>
        <v>9221</v>
      </c>
      <c r="C342" t="s">
        <v>438</v>
      </c>
      <c r="D342" s="136">
        <f>apptab2!A309</f>
        <v>9.516</v>
      </c>
      <c r="E342" s="137">
        <f>apptab2!B309</f>
        <v>-1.12602468580008E-2</v>
      </c>
      <c r="F342" s="136">
        <f>apptab2!C309</f>
        <v>0.32350000000000001</v>
      </c>
      <c r="G342" s="138">
        <f>apptab2!F309</f>
        <v>1.6903438E-2</v>
      </c>
    </row>
    <row r="343" spans="2:7">
      <c r="B343">
        <f>apptab2!E310</f>
        <v>9231</v>
      </c>
      <c r="C343" t="s">
        <v>863</v>
      </c>
      <c r="D343" s="136">
        <f>apptab2!A310</f>
        <v>9.4280000000000008</v>
      </c>
      <c r="E343" s="137">
        <f>apptab2!B310</f>
        <v>-7.2602466680110004E-3</v>
      </c>
      <c r="F343" s="136">
        <f>apptab2!C310</f>
        <v>0.24249999999999999</v>
      </c>
      <c r="G343" s="138">
        <f>apptab2!F310</f>
        <v>6.3158329999999999E-3</v>
      </c>
    </row>
    <row r="344" spans="2:7">
      <c r="B344">
        <f>apptab2!E311</f>
        <v>9241</v>
      </c>
      <c r="C344" t="s">
        <v>864</v>
      </c>
      <c r="D344" s="136">
        <f>apptab2!A311</f>
        <v>9.5150000000000006</v>
      </c>
      <c r="E344" s="137">
        <f>apptab2!B311</f>
        <v>7.1739755570888505E-2</v>
      </c>
      <c r="F344" s="136">
        <f>apptab2!C311</f>
        <v>0.24660000000000001</v>
      </c>
      <c r="G344" s="138">
        <f>apptab2!F311</f>
        <v>2.0728068999999998E-3</v>
      </c>
    </row>
    <row r="345" spans="2:7">
      <c r="B345">
        <f>apptab2!E312</f>
        <v>9251</v>
      </c>
      <c r="C345" t="s">
        <v>865</v>
      </c>
      <c r="D345" s="136">
        <f>apptab2!A312</f>
        <v>9.4329999999999998</v>
      </c>
      <c r="E345" s="137">
        <f>apptab2!B312</f>
        <v>-1.12602468580008E-2</v>
      </c>
      <c r="F345" s="136">
        <f>apptab2!C312</f>
        <v>0.25109999999999999</v>
      </c>
      <c r="G345" s="138">
        <f>apptab2!F312</f>
        <v>7.9127570000000005E-4</v>
      </c>
    </row>
    <row r="346" spans="2:7">
      <c r="B346">
        <f>apptab2!E313</f>
        <v>9261</v>
      </c>
      <c r="C346" t="s">
        <v>434</v>
      </c>
      <c r="D346" s="136">
        <f>apptab2!A313</f>
        <v>9.4749999999999996</v>
      </c>
      <c r="E346" s="137">
        <f>apptab2!B313</f>
        <v>3.7739753723144497E-2</v>
      </c>
      <c r="F346" s="136">
        <f>apptab2!C313</f>
        <v>0.24460000000000001</v>
      </c>
      <c r="G346" s="138">
        <f>apptab2!F313</f>
        <v>3.7663445999999998E-3</v>
      </c>
    </row>
    <row r="347" spans="2:7">
      <c r="B347">
        <f>apptab2!E314</f>
        <v>9281</v>
      </c>
      <c r="C347" t="s">
        <v>433</v>
      </c>
      <c r="D347" s="136">
        <f>apptab2!A314</f>
        <v>9.2669999999999995</v>
      </c>
      <c r="E347" s="137">
        <f>apptab2!B314</f>
        <v>-0.126260250806808</v>
      </c>
      <c r="F347" s="136">
        <f>apptab2!C314</f>
        <v>0.19270000000000001</v>
      </c>
      <c r="G347" s="138">
        <f>apptab2!F314</f>
        <v>1.6168853E-4</v>
      </c>
    </row>
    <row r="349" spans="2:7">
      <c r="B349" t="s">
        <v>866</v>
      </c>
    </row>
  </sheetData>
  <pageMargins left="0.7" right="0.7" top="0.75" bottom="0.75" header="0.3" footer="0.3"/>
  <pageSetup orientation="portrait" horizontalDpi="0" verticalDpi="0"/>
  <rowBreaks count="7" manualBreakCount="7">
    <brk id="47" max="16383" man="1"/>
    <brk id="93" max="16383" man="1"/>
    <brk id="139" max="16383" man="1"/>
    <brk id="185" max="16383" man="1"/>
    <brk id="231" max="16383" man="1"/>
    <brk id="277" max="16383" man="1"/>
    <brk id="32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B3:AD36"/>
  <sheetViews>
    <sheetView tabSelected="1" workbookViewId="0">
      <selection activeCell="AE34" sqref="AE34"/>
    </sheetView>
  </sheetViews>
  <sheetFormatPr baseColWidth="10" defaultColWidth="10.83203125" defaultRowHeight="16"/>
  <cols>
    <col min="1" max="1" width="14.1640625" style="12" customWidth="1"/>
    <col min="2" max="2" width="2.5" style="12" hidden="1" customWidth="1"/>
    <col min="3" max="3" width="34.5" style="12" hidden="1" customWidth="1"/>
    <col min="4" max="4" width="13.33203125" style="12" hidden="1" customWidth="1"/>
    <col min="5" max="16" width="6.83203125" style="12" hidden="1" customWidth="1"/>
    <col min="17" max="17" width="0" style="12" hidden="1" customWidth="1"/>
    <col min="18" max="18" width="2.5" style="12" customWidth="1"/>
    <col min="19" max="19" width="32" style="12" customWidth="1"/>
    <col min="20" max="20" width="9.6640625" style="16" customWidth="1"/>
    <col min="21" max="21" width="8.83203125" style="16" hidden="1" customWidth="1"/>
    <col min="22" max="22" width="8.33203125" style="16" customWidth="1"/>
    <col min="23" max="23" width="1.83203125" style="16" customWidth="1"/>
    <col min="24" max="24" width="6.5" style="16" hidden="1" customWidth="1"/>
    <col min="25" max="25" width="8.83203125" style="16" hidden="1" customWidth="1"/>
    <col min="26" max="26" width="6.6640625" style="16" hidden="1" customWidth="1"/>
    <col min="27" max="27" width="1.6640625" style="16" hidden="1" customWidth="1"/>
    <col min="28" max="28" width="8.83203125" style="16" customWidth="1"/>
    <col min="29" max="29" width="6.6640625" style="16" hidden="1" customWidth="1"/>
    <col min="30" max="30" width="10" style="16" customWidth="1"/>
    <col min="31" max="16384" width="10.83203125" style="12"/>
  </cols>
  <sheetData>
    <row r="3" spans="2:30">
      <c r="B3" s="12" t="s">
        <v>415</v>
      </c>
      <c r="R3" s="12" t="s">
        <v>216</v>
      </c>
    </row>
    <row r="4" spans="2:30" ht="26" hidden="1" customHeight="1">
      <c r="E4" s="12" t="s">
        <v>110</v>
      </c>
      <c r="F4" s="16"/>
      <c r="I4" s="12" t="s">
        <v>109</v>
      </c>
      <c r="M4" s="12" t="s">
        <v>108</v>
      </c>
      <c r="T4" s="16" t="s">
        <v>110</v>
      </c>
      <c r="X4" s="16" t="s">
        <v>109</v>
      </c>
      <c r="AB4" s="16" t="s">
        <v>108</v>
      </c>
    </row>
    <row r="5" spans="2:30">
      <c r="E5" s="13"/>
      <c r="F5" s="15"/>
      <c r="G5" s="13"/>
      <c r="H5" s="13"/>
      <c r="I5" s="13"/>
      <c r="J5" s="13"/>
      <c r="K5" s="13"/>
      <c r="L5" s="13"/>
      <c r="M5" s="13"/>
      <c r="N5" s="13"/>
      <c r="O5" s="13"/>
      <c r="R5" s="15"/>
      <c r="S5" s="15"/>
      <c r="T5" s="15"/>
      <c r="U5" s="15"/>
      <c r="V5" s="15"/>
      <c r="W5" s="15"/>
      <c r="X5" s="15"/>
      <c r="Y5" s="15"/>
      <c r="Z5" s="15"/>
      <c r="AA5" s="15"/>
      <c r="AB5" s="15"/>
      <c r="AC5" s="15"/>
      <c r="AD5" s="15"/>
    </row>
    <row r="6" spans="2:30" ht="29.25" customHeight="1">
      <c r="E6" s="13"/>
      <c r="F6" s="15"/>
      <c r="G6" s="13"/>
      <c r="H6" s="13"/>
      <c r="I6" s="13"/>
      <c r="J6" s="13"/>
      <c r="K6" s="13"/>
      <c r="L6" s="13"/>
      <c r="M6" s="13"/>
      <c r="N6" s="13"/>
      <c r="O6" s="13"/>
      <c r="T6" s="15"/>
      <c r="U6" s="15"/>
      <c r="V6" s="15"/>
      <c r="W6" s="15"/>
      <c r="X6" s="15"/>
      <c r="Y6" s="15"/>
      <c r="Z6" s="15"/>
      <c r="AA6" s="15"/>
      <c r="AB6" s="15"/>
      <c r="AC6" s="15"/>
      <c r="AD6" s="15"/>
    </row>
    <row r="7" spans="2:30" ht="20.25" customHeight="1">
      <c r="E7" s="6">
        <v>-1</v>
      </c>
      <c r="F7" s="6">
        <v>-2</v>
      </c>
      <c r="G7" s="6">
        <v>-2</v>
      </c>
      <c r="I7" s="6">
        <v>-3</v>
      </c>
      <c r="K7" s="6">
        <v>-4</v>
      </c>
      <c r="M7" s="6">
        <v>-3</v>
      </c>
      <c r="O7" s="6">
        <v>-4</v>
      </c>
      <c r="R7" s="6"/>
      <c r="S7" s="6"/>
      <c r="T7" s="36">
        <v>-1</v>
      </c>
      <c r="U7" s="36">
        <v>-2</v>
      </c>
      <c r="V7" s="36">
        <v>-2</v>
      </c>
      <c r="X7" s="36">
        <v>-3</v>
      </c>
      <c r="Z7" s="36">
        <v>-4</v>
      </c>
      <c r="AB7" s="36">
        <v>-3</v>
      </c>
      <c r="AD7" s="36">
        <v>-4</v>
      </c>
    </row>
    <row r="8" spans="2:30" ht="23" customHeight="1">
      <c r="B8" s="12" t="s">
        <v>164</v>
      </c>
      <c r="F8" s="18"/>
      <c r="K8" s="20"/>
      <c r="R8" s="12" t="s">
        <v>172</v>
      </c>
      <c r="S8"/>
      <c r="U8" s="18"/>
      <c r="Z8" s="20"/>
    </row>
    <row r="9" spans="2:30" ht="18.75" customHeight="1">
      <c r="C9" s="12" t="s">
        <v>114</v>
      </c>
      <c r="D9" s="12" t="str">
        <f>'disclosed1-9b'!A13</f>
        <v>psi_c</v>
      </c>
      <c r="E9" s="18">
        <f>VALUE(SUBSTITUTE('disclosed1-9b'!J13,"*",""))</f>
        <v>1.7829999999999999</v>
      </c>
      <c r="F9" s="16"/>
      <c r="I9" s="18">
        <f>VALUE(SUBSTITUTE('disclosed1-9b'!J46,"*",""))</f>
        <v>0.75549999999999995</v>
      </c>
      <c r="J9" s="16"/>
      <c r="M9" s="18">
        <f>VALUE(SUBSTITUTE('disclosed1-9b'!J77,"*",""))</f>
        <v>0.65780000000000005</v>
      </c>
      <c r="N9" s="16"/>
      <c r="S9" s="12" t="s">
        <v>171</v>
      </c>
      <c r="T9" s="18">
        <f>+E9+E11</f>
        <v>2.2342999999999997</v>
      </c>
      <c r="X9" s="18">
        <f>+I9+I11</f>
        <v>4.5045000000000002</v>
      </c>
      <c r="AB9" s="18">
        <f>+M9+M11</f>
        <v>1.9727999999999999</v>
      </c>
    </row>
    <row r="10" spans="2:30">
      <c r="E10" s="20">
        <f>VALUE(SUBSTITUTE('disclosed1-9b'!J14,"*",""))</f>
        <v>-0.2366</v>
      </c>
      <c r="F10" s="18"/>
      <c r="I10" s="20">
        <f>VALUE(SUBSTITUTE('disclosed1-9b'!J47,"*",""))</f>
        <v>-0.39910000000000001</v>
      </c>
      <c r="J10" s="18"/>
      <c r="M10" s="20">
        <f>VALUE(SUBSTITUTE('disclosed1-9b'!J78,"*",""))</f>
        <v>-0.4173</v>
      </c>
      <c r="N10" s="18"/>
      <c r="T10" s="20">
        <f>-1*SQRT((E12)^2 - (E10)^2)</f>
        <v>-0.97778138660950176</v>
      </c>
      <c r="X10" s="20">
        <f>-1*SQRT((I12)^2 - (I10)^2)</f>
        <v>-1.2844236800993665</v>
      </c>
      <c r="AB10" s="20">
        <f>-1*SQRT((M12)^2 - (M10)^2)</f>
        <v>-0.86067006454273753</v>
      </c>
    </row>
    <row r="11" spans="2:30" ht="20.75" customHeight="1">
      <c r="C11" s="12" t="s">
        <v>113</v>
      </c>
      <c r="D11" s="12" t="str">
        <f>+'disclosed1-9b'!A15</f>
        <v>Epsi_c</v>
      </c>
      <c r="E11" s="18">
        <f>VALUE(SUBSTITUTE('disclosed1-9b'!J15,"*",""))</f>
        <v>0.45129999999999998</v>
      </c>
      <c r="F11" s="16"/>
      <c r="I11" s="18">
        <f>VALUE(SUBSTITUTE('disclosed1-9b'!J48,"*",""))</f>
        <v>3.7490000000000001</v>
      </c>
      <c r="J11" s="16"/>
      <c r="M11" s="18">
        <f>VALUE(SUBSTITUTE('disclosed1-9b'!J79,"*",""))</f>
        <v>1.3149999999999999</v>
      </c>
      <c r="N11" s="16"/>
      <c r="S11" s="12" t="s">
        <v>170</v>
      </c>
      <c r="T11" s="18">
        <f>+E9</f>
        <v>1.7829999999999999</v>
      </c>
      <c r="X11" s="18">
        <f>+I9</f>
        <v>0.75549999999999995</v>
      </c>
      <c r="AB11" s="18">
        <f>+M9</f>
        <v>0.65780000000000005</v>
      </c>
    </row>
    <row r="12" spans="2:30">
      <c r="E12" s="20">
        <f>VALUE(SUBSTITUTE('disclosed1-9b'!J16,"*",""))</f>
        <v>-1.006</v>
      </c>
      <c r="F12" s="18"/>
      <c r="I12" s="20">
        <f>VALUE(SUBSTITUTE('disclosed1-9b'!J49,"*",""))</f>
        <v>-1.345</v>
      </c>
      <c r="J12" s="18"/>
      <c r="M12" s="20">
        <f>VALUE(SUBSTITUTE('disclosed1-9b'!J80,"*",""))</f>
        <v>-0.95650000000000002</v>
      </c>
      <c r="N12" s="18"/>
      <c r="T12" s="20">
        <f>E10</f>
        <v>-0.2366</v>
      </c>
      <c r="W12" s="20"/>
      <c r="X12" s="20">
        <f>I10</f>
        <v>-0.39910000000000001</v>
      </c>
      <c r="AB12" s="20">
        <f>M10</f>
        <v>-0.4173</v>
      </c>
    </row>
    <row r="13" spans="2:30" hidden="1">
      <c r="B13" s="12" t="s">
        <v>106</v>
      </c>
      <c r="E13" s="20"/>
      <c r="F13" s="16"/>
      <c r="I13" s="20"/>
      <c r="J13" s="16"/>
      <c r="M13" s="20"/>
      <c r="N13" s="16"/>
    </row>
    <row r="14" spans="2:30" hidden="1">
      <c r="C14" s="12" t="s">
        <v>114</v>
      </c>
      <c r="D14" s="12" t="str">
        <f>+'disclosed1-9b'!A17</f>
        <v>s_psi_q1q5</v>
      </c>
      <c r="F14" s="18">
        <f>VALUE(SUBSTITUTE('disclosed1-9b'!M17,"*",""))</f>
        <v>0.80610000000000004</v>
      </c>
      <c r="J14" s="18">
        <f>VALUE(SUBSTITUTE('disclosed1-9b'!M50,"*",""))</f>
        <v>0.42920000000000003</v>
      </c>
      <c r="N14" s="18">
        <f>VALUE(SUBSTITUTE('disclosed1-9b'!M81,"*",""))</f>
        <v>0.43690000000000001</v>
      </c>
    </row>
    <row r="15" spans="2:30" hidden="1">
      <c r="F15" s="20">
        <f>VALUE(SUBSTITUTE('disclosed1-9b'!M18,"*",""))</f>
        <v>-0.1235</v>
      </c>
      <c r="J15" s="20">
        <f>VALUE(SUBSTITUTE('disclosed1-9b'!M51,"*",""))</f>
        <v>-0.15939999999999999</v>
      </c>
      <c r="N15" s="20">
        <f>VALUE(SUBSTITUTE('disclosed1-9b'!M82,"*",""))</f>
        <v>-0.13109999999999999</v>
      </c>
    </row>
    <row r="16" spans="2:30" hidden="1">
      <c r="C16" s="12" t="s">
        <v>113</v>
      </c>
      <c r="D16" s="12" t="str">
        <f>+'disclosed1-9b'!A19</f>
        <v>Es_psi_q1q5</v>
      </c>
      <c r="F16" s="18">
        <f>VALUE(SUBSTITUTE('disclosed1-9b'!M19,"*",""))</f>
        <v>0.4017</v>
      </c>
      <c r="J16" s="18">
        <f>VALUE(SUBSTITUTE('disclosed1-9b'!M52,"*",""))</f>
        <v>2.4049999999999998</v>
      </c>
      <c r="N16" s="18">
        <f>VALUE(SUBSTITUTE('disclosed1-9b'!M83,"*",""))</f>
        <v>0.94350000000000001</v>
      </c>
    </row>
    <row r="17" spans="2:30" hidden="1">
      <c r="F17" s="20">
        <f>VALUE(SUBSTITUTE('disclosed1-9b'!M20,"*",""))</f>
        <v>-0.4592</v>
      </c>
      <c r="J17" s="20">
        <f>VALUE(SUBSTITUTE('disclosed1-9b'!M53,"*",""))</f>
        <v>-0.61180000000000001</v>
      </c>
      <c r="N17" s="20">
        <f>VALUE(SUBSTITUTE('disclosed1-9b'!M84,"*",""))</f>
        <v>-0.46550000000000002</v>
      </c>
    </row>
    <row r="18" spans="2:30" ht="32.75" customHeight="1">
      <c r="B18" s="12" t="s">
        <v>165</v>
      </c>
      <c r="C18" s="21"/>
      <c r="E18" s="18"/>
      <c r="F18" s="18"/>
      <c r="I18" s="18"/>
      <c r="J18" s="18"/>
      <c r="M18" s="18"/>
      <c r="N18" s="18"/>
      <c r="R18" s="12" t="s">
        <v>165</v>
      </c>
      <c r="T18" s="12"/>
      <c r="U18" s="12"/>
      <c r="V18" s="12"/>
      <c r="W18" s="12"/>
      <c r="X18" s="12"/>
      <c r="Y18" s="12"/>
      <c r="Z18" s="12"/>
      <c r="AA18" s="12"/>
      <c r="AB18" s="12"/>
    </row>
    <row r="19" spans="2:30" ht="20" customHeight="1">
      <c r="C19" s="12" t="s">
        <v>114</v>
      </c>
      <c r="D19" s="12" t="str">
        <f>+'disclosed1-9b'!A5</f>
        <v>alpha_c</v>
      </c>
      <c r="F19" s="18"/>
      <c r="G19" s="18">
        <f>VALUE(SUBSTITUTE('disclosed1-9b'!D5,"*",""))</f>
        <v>-0.23050000000000001</v>
      </c>
      <c r="J19" s="18"/>
      <c r="K19" s="18">
        <f>VALUE(SUBSTITUTE('disclosed1-9b'!D38,"*",""))</f>
        <v>0.38900000000000001</v>
      </c>
      <c r="N19" s="18"/>
      <c r="O19" s="18">
        <f>VALUE(SUBSTITUTE('disclosed1-9b'!D69,"*",""))</f>
        <v>0.61890000000000001</v>
      </c>
      <c r="S19" s="12" t="s">
        <v>171</v>
      </c>
      <c r="V19" s="18">
        <f>+G19+G21</f>
        <v>1.9225000000000001</v>
      </c>
      <c r="Z19" s="18">
        <f>+K19+K21</f>
        <v>2.4349999999999996</v>
      </c>
      <c r="AD19" s="18">
        <f>+O19+O21</f>
        <v>0.83499999999999996</v>
      </c>
    </row>
    <row r="20" spans="2:30">
      <c r="F20" s="16"/>
      <c r="G20" s="20">
        <f>VALUE(SUBSTITUTE('disclosed1-9b'!D6,"*",""))</f>
        <v>-0.39050000000000001</v>
      </c>
      <c r="H20" s="18"/>
      <c r="J20" s="16"/>
      <c r="K20" s="20">
        <f>VALUE(SUBSTITUTE('disclosed1-9b'!D39,"*",""))</f>
        <v>-0.2155</v>
      </c>
      <c r="L20" s="18"/>
      <c r="N20" s="16"/>
      <c r="O20" s="20">
        <f>VALUE(SUBSTITUTE('disclosed1-9b'!D70,"*",""))</f>
        <v>-0.10879999999999999</v>
      </c>
      <c r="P20" s="18"/>
      <c r="V20" s="20">
        <f>-1*SQRT((G22)^2 - (G20)^2)</f>
        <v>-1.2347205149344527</v>
      </c>
      <c r="Z20" s="20">
        <f>-1*SQRT((K22)^2 - (K20)^2)</f>
        <v>-0.72682553615018242</v>
      </c>
      <c r="AD20" s="20">
        <f>-1*SQRT((O22)^2 - (O20)^2)</f>
        <v>-0.33423765497023222</v>
      </c>
    </row>
    <row r="21" spans="2:30" ht="24" customHeight="1">
      <c r="C21" s="12" t="s">
        <v>113</v>
      </c>
      <c r="D21" s="12" t="str">
        <f>+'disclosed1-9b'!A7</f>
        <v>Ealpha_c</v>
      </c>
      <c r="F21" s="18"/>
      <c r="G21" s="18">
        <f>VALUE(SUBSTITUTE('disclosed1-9b'!D7,"*",""))</f>
        <v>2.153</v>
      </c>
      <c r="H21" s="20"/>
      <c r="J21" s="18"/>
      <c r="K21" s="18">
        <f>VALUE(SUBSTITUTE('disclosed1-9b'!D40,"*",""))</f>
        <v>2.0459999999999998</v>
      </c>
      <c r="L21" s="20"/>
      <c r="N21" s="18"/>
      <c r="O21" s="18">
        <f>VALUE(SUBSTITUTE('disclosed1-9b'!D71,"*",""))</f>
        <v>0.21609999999999999</v>
      </c>
      <c r="P21" s="20"/>
      <c r="S21" s="12" t="s">
        <v>170</v>
      </c>
      <c r="V21" s="18">
        <f>+G19</f>
        <v>-0.23050000000000001</v>
      </c>
      <c r="Z21" s="18">
        <f>+K19</f>
        <v>0.38900000000000001</v>
      </c>
      <c r="AD21" s="18">
        <f>+O19</f>
        <v>0.61890000000000001</v>
      </c>
    </row>
    <row r="22" spans="2:30">
      <c r="F22" s="16"/>
      <c r="G22" s="20">
        <f>VALUE(SUBSTITUTE('disclosed1-9b'!D8,"*",""))</f>
        <v>-1.2949999999999999</v>
      </c>
      <c r="H22" s="18"/>
      <c r="J22" s="16"/>
      <c r="K22" s="20">
        <f>VALUE(SUBSTITUTE('disclosed1-9b'!D41,"*",""))</f>
        <v>-0.7581</v>
      </c>
      <c r="L22" s="18"/>
      <c r="N22" s="16"/>
      <c r="O22" s="20">
        <f>VALUE(SUBSTITUTE('disclosed1-9b'!D72,"*",""))</f>
        <v>-0.35149999999999998</v>
      </c>
      <c r="P22" s="18"/>
      <c r="V22" s="20">
        <f>G20</f>
        <v>-0.39050000000000001</v>
      </c>
      <c r="Z22" s="20">
        <f>K20</f>
        <v>-0.2155</v>
      </c>
      <c r="AD22" s="20">
        <f>O20</f>
        <v>-0.10879999999999999</v>
      </c>
    </row>
    <row r="23" spans="2:30" hidden="1">
      <c r="B23" s="12" t="s">
        <v>105</v>
      </c>
      <c r="F23" s="18"/>
      <c r="H23" s="20"/>
      <c r="J23" s="18"/>
      <c r="L23" s="20"/>
      <c r="N23" s="18"/>
      <c r="P23" s="20"/>
    </row>
    <row r="24" spans="2:30" hidden="1">
      <c r="C24" s="12" t="s">
        <v>114</v>
      </c>
      <c r="D24" s="12" t="str">
        <f>+'disclosed1-9b'!A9</f>
        <v>s_alpha_q1q5</v>
      </c>
      <c r="F24" s="16"/>
      <c r="H24" s="18">
        <f>VALUE(SUBSTITUTE('disclosed1-9b'!G9,"*",""))</f>
        <v>0.45090000000000002</v>
      </c>
      <c r="J24" s="16"/>
      <c r="L24" s="18">
        <f>VALUE(SUBSTITUTE('disclosed1-9b'!G42,"*",""))</f>
        <v>1.1779999999999999</v>
      </c>
      <c r="N24" s="16"/>
      <c r="P24" s="18">
        <f>VALUE(SUBSTITUTE('disclosed1-9b'!G73,"*",""))</f>
        <v>1.4650000000000001</v>
      </c>
    </row>
    <row r="25" spans="2:30" hidden="1">
      <c r="F25" s="18"/>
      <c r="H25" s="20">
        <f>VALUE(SUBSTITUTE('disclosed1-9b'!G10,"*",""))</f>
        <v>-0.84309999999999996</v>
      </c>
      <c r="J25" s="18"/>
      <c r="L25" s="20">
        <f>VALUE(SUBSTITUTE('disclosed1-9b'!G43,"*",""))</f>
        <v>-0.7429</v>
      </c>
      <c r="N25" s="18"/>
      <c r="P25" s="20">
        <f>VALUE(SUBSTITUTE('disclosed1-9b'!G74,"*",""))</f>
        <v>-0.39860000000000001</v>
      </c>
    </row>
    <row r="26" spans="2:30" hidden="1">
      <c r="C26" s="12" t="s">
        <v>113</v>
      </c>
      <c r="D26" s="12" t="str">
        <f>+'disclosed1-9b'!A11</f>
        <v>Es_alpha_q1q5</v>
      </c>
      <c r="F26" s="16"/>
      <c r="H26" s="18">
        <f>VALUE(SUBSTITUTE('disclosed1-9b'!G11,"*",""))</f>
        <v>0.91700000000000004</v>
      </c>
      <c r="J26" s="16"/>
      <c r="L26" s="18">
        <f>VALUE(SUBSTITUTE('disclosed1-9b'!G44,"*",""))</f>
        <v>5.875</v>
      </c>
      <c r="N26" s="16"/>
      <c r="P26" s="18">
        <f>VALUE(SUBSTITUTE('disclosed1-9b'!G75,"*",""))</f>
        <v>3.6389999999999998</v>
      </c>
    </row>
    <row r="27" spans="2:30" hidden="1">
      <c r="F27" s="18"/>
      <c r="H27" s="20">
        <f>VALUE(SUBSTITUTE('disclosed1-9b'!G12,"*",""))</f>
        <v>-2.8079999999999998</v>
      </c>
      <c r="J27" s="18"/>
      <c r="L27" s="20">
        <f>VALUE(SUBSTITUTE('disclosed1-9b'!G45,"*",""))</f>
        <v>-3.9569999999999999</v>
      </c>
      <c r="N27" s="18"/>
      <c r="P27" s="20">
        <f>VALUE(SUBSTITUTE('disclosed1-9b'!G76,"*",""))</f>
        <v>-1.986</v>
      </c>
    </row>
    <row r="28" spans="2:30">
      <c r="E28" s="20"/>
      <c r="F28" s="16"/>
      <c r="I28" s="20"/>
      <c r="J28" s="16"/>
      <c r="M28" s="20"/>
      <c r="N28" s="16"/>
    </row>
    <row r="29" spans="2:30">
      <c r="B29" s="12" t="s">
        <v>112</v>
      </c>
      <c r="E29" s="18">
        <f>1-(1-VALUE('disclosed1-9b'!J29))*(59-14-1)/(59-1)</f>
        <v>0.8006344827586207</v>
      </c>
      <c r="F29" s="18">
        <f>1-(1-VALUE('disclosed1-9b'!M29))*(59-14-1)/(59-1)</f>
        <v>0.76900000000000002</v>
      </c>
      <c r="G29" s="18">
        <f>1-(1-VALUE('disclosed1-9b'!D29))*(59-14-1)/(59-1)</f>
        <v>0.38566896551724139</v>
      </c>
      <c r="H29" s="18">
        <f>1-(1-VALUE('disclosed1-9b'!G29))*(59-14-1)/(59-1)</f>
        <v>0.30177310344827579</v>
      </c>
      <c r="I29" s="18">
        <f>1-(1-VALUE('disclosed1-9b'!J60))*(59-14-1)/(59-1)</f>
        <v>0.76057931034482762</v>
      </c>
      <c r="J29" s="18">
        <f>1-(1-VALUE('disclosed1-9b'!M60))*(59-14-1)/(59-1)</f>
        <v>0.82430344827586199</v>
      </c>
      <c r="K29" s="18">
        <f>1-(1-VALUE('disclosed1-9b'!D60))*(59-14-1)/(59-1)</f>
        <v>0.84789655172413791</v>
      </c>
      <c r="L29" s="18">
        <f>1-(1-VALUE('disclosed1-9b'!G60))*(59-14-1)/(59-1)</f>
        <v>0.76019999999999999</v>
      </c>
      <c r="M29" s="18">
        <f>1-(1-VALUE('disclosed1-9b'!J93))*(59-14-1)/(59-1)</f>
        <v>0.66605517241379308</v>
      </c>
      <c r="N29" s="18">
        <f>1-(1-VALUE('disclosed1-9b'!M93))*(59-14-1)/(59-1)</f>
        <v>0.74639310344827581</v>
      </c>
      <c r="O29" s="18">
        <f>1-(1-VALUE('disclosed1-9b'!D93))*(59-14-1)/(59-1)</f>
        <v>0.85912413793103448</v>
      </c>
      <c r="P29" s="18">
        <f>1-(1-VALUE('disclosed1-9b'!G93))*(59-14-1)/(59-1)</f>
        <v>0.81633793103448271</v>
      </c>
      <c r="R29" s="12" t="s">
        <v>173</v>
      </c>
      <c r="T29" s="18">
        <f>E29</f>
        <v>0.8006344827586207</v>
      </c>
      <c r="U29" s="18">
        <f>1-(1-VALUE('disclosed1-9b'!T29))*(59-14-1)/(59-1)</f>
        <v>0.43831724137931038</v>
      </c>
      <c r="V29" s="18">
        <f>G29</f>
        <v>0.38566896551724139</v>
      </c>
      <c r="W29" s="18"/>
      <c r="X29" s="18">
        <f>I29</f>
        <v>0.76057931034482762</v>
      </c>
      <c r="Y29" s="18">
        <f>1-(1-VALUE('disclosed1-9b'!T60))*(59-14-1)/(59-1)</f>
        <v>0.52297931034482759</v>
      </c>
      <c r="Z29" s="18">
        <f>K29</f>
        <v>0.84789655172413791</v>
      </c>
      <c r="AA29" s="18"/>
      <c r="AB29" s="18">
        <f>M29</f>
        <v>0.66605517241379308</v>
      </c>
      <c r="AC29" s="18">
        <f>1-(1-VALUE('disclosed1-9b'!T93))*(59-14-1)/(59-1)</f>
        <v>0.55309655172413796</v>
      </c>
      <c r="AD29" s="18">
        <f>O29</f>
        <v>0.85912413793103448</v>
      </c>
    </row>
    <row r="30" spans="2:30">
      <c r="B30" s="13" t="s">
        <v>98</v>
      </c>
      <c r="C30" s="13"/>
      <c r="D30" s="13"/>
      <c r="E30" s="25">
        <f>VALUE(+'disclosed1-9b'!J29)</f>
        <v>0.73719999999999997</v>
      </c>
      <c r="F30" s="25">
        <f>VALUE(+'disclosed1-9b'!M29)</f>
        <v>0.69550000000000001</v>
      </c>
      <c r="G30" s="25">
        <f>VALUE(+'disclosed1-9b'!D29)</f>
        <v>0.19020000000000001</v>
      </c>
      <c r="H30" s="25">
        <f>VALUE(+'disclosed1-9b'!G29)</f>
        <v>7.961E-2</v>
      </c>
      <c r="I30" s="25">
        <f>VALUE(+'disclosed1-9b'!J60)</f>
        <v>0.68440000000000001</v>
      </c>
      <c r="J30" s="25">
        <f>VALUE(+'disclosed1-9b'!M60)</f>
        <v>0.76839999999999997</v>
      </c>
      <c r="K30" s="25">
        <f>VALUE(+'disclosed1-9b'!D60)</f>
        <v>0.79949999999999999</v>
      </c>
      <c r="L30" s="25">
        <f>VALUE(+'disclosed1-9b'!G60)</f>
        <v>0.68389999999999995</v>
      </c>
      <c r="M30" s="25">
        <f>VALUE(+'disclosed1-9b'!J93)</f>
        <v>0.55979999999999996</v>
      </c>
      <c r="N30" s="25">
        <f>VALUE(+'disclosed1-9b'!M93)</f>
        <v>0.66569999999999996</v>
      </c>
      <c r="O30" s="25">
        <f>VALUE(+'disclosed1-9b'!D93)</f>
        <v>0.81430000000000002</v>
      </c>
      <c r="P30" s="18">
        <f>VALUE(+'disclosed1-9b'!G93)</f>
        <v>0.75790000000000002</v>
      </c>
      <c r="R30" s="13" t="s">
        <v>174</v>
      </c>
      <c r="S30" s="13"/>
      <c r="T30" s="25">
        <f>E30</f>
        <v>0.73719999999999997</v>
      </c>
      <c r="U30" s="25">
        <f>VALUE(+'disclosed1-9b'!T29)</f>
        <v>0.2596</v>
      </c>
      <c r="V30" s="25">
        <f>G30</f>
        <v>0.19020000000000001</v>
      </c>
      <c r="W30" s="25"/>
      <c r="X30" s="25">
        <f>I30</f>
        <v>0.68440000000000001</v>
      </c>
      <c r="Y30" s="25">
        <f>VALUE(+'disclosed1-9b'!T60)</f>
        <v>0.37119999999999997</v>
      </c>
      <c r="Z30" s="25">
        <f>K30</f>
        <v>0.79949999999999999</v>
      </c>
      <c r="AA30" s="25"/>
      <c r="AB30" s="25">
        <f>M30</f>
        <v>0.55979999999999996</v>
      </c>
      <c r="AC30" s="25">
        <f>VALUE(+'disclosed1-9b'!T93)</f>
        <v>0.41089999999999999</v>
      </c>
      <c r="AD30" s="25">
        <f>O30</f>
        <v>0.81430000000000002</v>
      </c>
    </row>
    <row r="31" spans="2:30">
      <c r="B31" s="18"/>
      <c r="I31" s="18"/>
      <c r="J31" s="18"/>
      <c r="K31" s="18"/>
      <c r="L31" s="18"/>
      <c r="R31" s="18"/>
      <c r="T31" s="12"/>
      <c r="U31" s="12"/>
      <c r="V31" s="12"/>
      <c r="W31" s="12"/>
      <c r="X31" s="12"/>
      <c r="Y31" s="18"/>
      <c r="Z31" s="18"/>
      <c r="AA31" s="18"/>
      <c r="AB31" s="18"/>
      <c r="AC31" s="12"/>
      <c r="AD31" s="12"/>
    </row>
    <row r="32" spans="2:30" ht="52" customHeight="1">
      <c r="B32" s="166" t="s">
        <v>168</v>
      </c>
      <c r="C32" s="166"/>
      <c r="D32" s="166"/>
      <c r="E32" s="166"/>
      <c r="F32" s="166"/>
      <c r="G32" s="166"/>
      <c r="H32" s="166"/>
      <c r="I32" s="166"/>
      <c r="J32" s="166"/>
      <c r="K32" s="166"/>
      <c r="L32" s="166"/>
      <c r="M32" s="166"/>
      <c r="N32" s="166"/>
      <c r="O32" s="166"/>
      <c r="R32" s="166" t="s">
        <v>175</v>
      </c>
      <c r="S32" s="166"/>
      <c r="T32" s="166"/>
      <c r="U32" s="166"/>
      <c r="V32" s="166"/>
      <c r="W32" s="166"/>
      <c r="X32" s="166"/>
      <c r="Y32" s="166"/>
      <c r="Z32" s="166"/>
      <c r="AA32" s="166"/>
      <c r="AB32" s="166"/>
      <c r="AC32" s="166"/>
      <c r="AD32" s="166"/>
    </row>
    <row r="33" spans="5:6">
      <c r="E33" s="18"/>
      <c r="F33" s="18"/>
    </row>
    <row r="34" spans="5:6">
      <c r="E34" s="20"/>
      <c r="F34" s="16"/>
    </row>
    <row r="35" spans="5:6">
      <c r="E35" s="18"/>
      <c r="F35" s="18"/>
    </row>
    <row r="36" spans="5:6">
      <c r="E36" s="20"/>
      <c r="F36" s="16"/>
    </row>
  </sheetData>
  <mergeCells count="2">
    <mergeCell ref="B32:O32"/>
    <mergeCell ref="R32:AD32"/>
  </mergeCells>
  <pageMargins left="0.7" right="0.7" top="0.75" bottom="0.75" header="0.3" footer="0.3"/>
  <pageSetup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3C9F-E369-F345-AF01-8EF4885E2B20}">
  <sheetPr>
    <tabColor theme="7"/>
  </sheetPr>
  <dimension ref="A1:K90"/>
  <sheetViews>
    <sheetView workbookViewId="0">
      <selection activeCell="H70" sqref="H70"/>
    </sheetView>
  </sheetViews>
  <sheetFormatPr baseColWidth="10" defaultRowHeight="16"/>
  <cols>
    <col min="1" max="1" width="25.5" style="130" customWidth="1"/>
    <col min="2" max="1024" width="14.33203125" style="130" customWidth="1"/>
    <col min="1025" max="16384" width="10.83203125" style="130"/>
  </cols>
  <sheetData>
    <row r="1" spans="1:11">
      <c r="A1" s="132" t="s">
        <v>431</v>
      </c>
    </row>
    <row r="4" spans="1:11">
      <c r="A4" s="130" t="str">
        <f>"Output 9a - Bivariate Regressions, Top59 100%"</f>
        <v>Output 9a - Bivariate Regressions, Top59 100%</v>
      </c>
    </row>
    <row r="5" spans="1:11" s="133" customFormat="1">
      <c r="A5" s="133" t="str">
        <f>""</f>
        <v/>
      </c>
      <c r="B5" s="133" t="str">
        <f>"(1)"</f>
        <v>(1)</v>
      </c>
      <c r="C5" s="133" t="str">
        <f>"(2)"</f>
        <v>(2)</v>
      </c>
      <c r="D5" s="133" t="str">
        <f>"(3)"</f>
        <v>(3)</v>
      </c>
      <c r="E5" s="133" t="str">
        <f>"(4)"</f>
        <v>(4)</v>
      </c>
      <c r="F5" s="133" t="str">
        <f>"(5)"</f>
        <v>(5)</v>
      </c>
      <c r="G5" s="133" t="str">
        <f>"(6)"</f>
        <v>(6)</v>
      </c>
      <c r="H5" s="133" t="str">
        <f>"(7)"</f>
        <v>(7)</v>
      </c>
      <c r="I5" s="133" t="str">
        <f>"(8)"</f>
        <v>(8)</v>
      </c>
      <c r="J5" s="133" t="str">
        <f>"(9)"</f>
        <v>(9)</v>
      </c>
      <c r="K5" s="133" t="str">
        <f>"(10)"</f>
        <v>(10)</v>
      </c>
    </row>
    <row r="6" spans="1:11">
      <c r="A6" s="130" t="str">
        <f>""</f>
        <v/>
      </c>
      <c r="B6" s="130" t="s">
        <v>118</v>
      </c>
      <c r="C6" s="130" t="s">
        <v>117</v>
      </c>
      <c r="F6" s="130" t="s">
        <v>116</v>
      </c>
      <c r="I6" s="130" t="s">
        <v>115</v>
      </c>
    </row>
    <row r="8" spans="1:11">
      <c r="A8" s="130" t="s">
        <v>413</v>
      </c>
      <c r="C8" s="130" t="str">
        <f>'disclosed1-9a'!B57</f>
        <v>0.880</v>
      </c>
      <c r="D8" s="130" t="str">
        <f>C8</f>
        <v>0.880</v>
      </c>
      <c r="E8" s="130" t="str">
        <f>D8</f>
        <v>0.880</v>
      </c>
      <c r="F8" s="130" t="str">
        <f>'disclosed1-9a'!B61</f>
        <v>.7988</v>
      </c>
      <c r="G8" s="130" t="str">
        <f>F8</f>
        <v>.7988</v>
      </c>
      <c r="H8" s="130" t="str">
        <f>G8</f>
        <v>.7988</v>
      </c>
      <c r="I8" s="130" t="str">
        <f>'disclosed1-9a'!B65</f>
        <v>0.863</v>
      </c>
      <c r="J8" s="130" t="str">
        <f>I8</f>
        <v>0.863</v>
      </c>
      <c r="K8" s="130" t="str">
        <f>J8</f>
        <v>0.863</v>
      </c>
    </row>
    <row r="9" spans="1:11">
      <c r="A9" s="130" t="s">
        <v>414</v>
      </c>
      <c r="C9" s="130" t="str">
        <f>'disclosed1-9a'!B58</f>
        <v>0.0818</v>
      </c>
      <c r="D9" s="130" t="str">
        <f>C9</f>
        <v>0.0818</v>
      </c>
      <c r="E9" s="130" t="str">
        <f>D9</f>
        <v>0.0818</v>
      </c>
      <c r="F9" s="130" t="str">
        <f>'disclosed1-9a'!B62</f>
        <v>.1341</v>
      </c>
      <c r="G9" s="130" t="str">
        <f>F9</f>
        <v>.1341</v>
      </c>
      <c r="H9" s="130" t="str">
        <f>G9</f>
        <v>.1341</v>
      </c>
      <c r="I9" s="130" t="str">
        <f>'disclosed1-9a'!B66</f>
        <v>0.0970</v>
      </c>
      <c r="J9" s="130" t="str">
        <f>I9</f>
        <v>0.0970</v>
      </c>
      <c r="K9" s="130" t="str">
        <f>J9</f>
        <v>0.0970</v>
      </c>
    </row>
    <row r="11" spans="1:11">
      <c r="A11" s="130" t="str">
        <f>"Division-CZ dummies"</f>
        <v>Division-CZ dummies</v>
      </c>
      <c r="C11" s="130" t="str">
        <f>"No"</f>
        <v>No</v>
      </c>
      <c r="D11" s="130" t="str">
        <f>"Yes"</f>
        <v>Yes</v>
      </c>
      <c r="E11" s="130" t="str">
        <f>"Yes"</f>
        <v>Yes</v>
      </c>
      <c r="F11" s="130" t="str">
        <f>"No"</f>
        <v>No</v>
      </c>
      <c r="G11" s="130" t="str">
        <f>"Yes"</f>
        <v>Yes</v>
      </c>
      <c r="H11" s="130" t="str">
        <f>"Yes"</f>
        <v>Yes</v>
      </c>
      <c r="I11" s="130" t="str">
        <f>"No"</f>
        <v>No</v>
      </c>
      <c r="J11" s="130" t="str">
        <f>"Yes"</f>
        <v>Yes</v>
      </c>
      <c r="K11" s="130" t="str">
        <f>"Yes"</f>
        <v>Yes</v>
      </c>
    </row>
    <row r="12" spans="1:11">
      <c r="A12" s="130" t="str">
        <f>"Region dummies"</f>
        <v>Region dummies</v>
      </c>
      <c r="C12" s="130" t="str">
        <f>"No"</f>
        <v>No</v>
      </c>
      <c r="D12" s="130" t="str">
        <f>"No"</f>
        <v>No</v>
      </c>
      <c r="E12" s="130" t="str">
        <f>"Yes"</f>
        <v>Yes</v>
      </c>
      <c r="F12" s="130" t="str">
        <f>"No"</f>
        <v>No</v>
      </c>
      <c r="G12" s="130" t="str">
        <f>"No"</f>
        <v>No</v>
      </c>
      <c r="H12" s="130" t="str">
        <f>"Yes"</f>
        <v>Yes</v>
      </c>
      <c r="I12" s="130" t="str">
        <f>"No"</f>
        <v>No</v>
      </c>
      <c r="J12" s="130" t="str">
        <f>"No"</f>
        <v>No</v>
      </c>
      <c r="K12" s="130" t="str">
        <f>"Yes"</f>
        <v>Yes</v>
      </c>
    </row>
    <row r="13" spans="1:11">
      <c r="A13" s="130" t="str">
        <f>"N"</f>
        <v>N</v>
      </c>
      <c r="B13" s="133">
        <f>'disclosed1-9a'!B72</f>
        <v>60</v>
      </c>
      <c r="C13" s="167">
        <f>B13</f>
        <v>60</v>
      </c>
      <c r="D13" s="167"/>
      <c r="E13" s="167"/>
      <c r="F13" s="167">
        <f>C13</f>
        <v>60</v>
      </c>
      <c r="G13" s="167"/>
      <c r="H13" s="167"/>
      <c r="I13" s="167">
        <f>F13</f>
        <v>60</v>
      </c>
      <c r="J13" s="167"/>
      <c r="K13" s="167"/>
    </row>
    <row r="15" spans="1:11">
      <c r="A15" s="130" t="s">
        <v>155</v>
      </c>
      <c r="B15" s="130">
        <v>59</v>
      </c>
    </row>
    <row r="16" spans="1:11">
      <c r="A16" s="130" t="s">
        <v>430</v>
      </c>
      <c r="B16" s="130">
        <v>12</v>
      </c>
      <c r="C16" s="130">
        <v>0</v>
      </c>
      <c r="D16" s="130">
        <v>9</v>
      </c>
      <c r="E16" s="130">
        <v>12</v>
      </c>
      <c r="F16" s="130">
        <v>0</v>
      </c>
      <c r="G16" s="130">
        <v>9</v>
      </c>
      <c r="H16" s="130">
        <v>12</v>
      </c>
      <c r="I16" s="130">
        <v>0</v>
      </c>
      <c r="J16" s="130">
        <v>9</v>
      </c>
      <c r="K16" s="130">
        <v>12</v>
      </c>
    </row>
    <row r="17" spans="1:11">
      <c r="A17" s="132" t="s">
        <v>409</v>
      </c>
    </row>
    <row r="18" spans="1:11">
      <c r="A18" s="131" t="s">
        <v>427</v>
      </c>
    </row>
    <row r="19" spans="1:11">
      <c r="A19" s="130" t="s">
        <v>410</v>
      </c>
      <c r="B19" s="130" t="str">
        <f>'disclosed1-9a'!B37</f>
        <v>.1178</v>
      </c>
      <c r="C19" s="130" t="str">
        <f>'disclosed1-9a'!C37</f>
        <v>.3291</v>
      </c>
      <c r="D19" s="130" t="str">
        <f>'disclosed1-9a'!D37</f>
        <v>.6368</v>
      </c>
      <c r="E19" s="130" t="str">
        <f>'disclosed1-9a'!E37</f>
        <v>.5403</v>
      </c>
      <c r="F19" s="130" t="str">
        <f>'disclosed1-9a'!F37</f>
        <v>.2339</v>
      </c>
      <c r="G19" s="130" t="str">
        <f>'disclosed1-9a'!G37</f>
        <v>.1561</v>
      </c>
      <c r="H19" s="130" t="str">
        <f>'disclosed1-9a'!H37</f>
        <v>.256</v>
      </c>
      <c r="I19" s="130" t="str">
        <f>'disclosed1-9a'!I37</f>
        <v>.1826</v>
      </c>
      <c r="J19" s="130" t="str">
        <f>'disclosed1-9a'!J37</f>
        <v>.4047</v>
      </c>
      <c r="K19" s="130" t="str">
        <f>'disclosed1-9a'!K37</f>
        <v>.7034*</v>
      </c>
    </row>
    <row r="20" spans="1:11">
      <c r="A20" s="130" t="s">
        <v>277</v>
      </c>
      <c r="B20" s="130" t="str">
        <f>'disclosed1-9a'!B38</f>
        <v>.05989</v>
      </c>
      <c r="C20" s="130" t="str">
        <f>'disclosed1-9a'!C38</f>
        <v>(.2479)</v>
      </c>
      <c r="D20" s="130" t="str">
        <f>'disclosed1-9a'!D38</f>
        <v>(.4074)</v>
      </c>
      <c r="E20" s="130" t="str">
        <f>'disclosed1-9a'!E38</f>
        <v>(.5216)</v>
      </c>
      <c r="F20" s="130" t="str">
        <f>'disclosed1-9a'!F38</f>
        <v>(.4062)</v>
      </c>
      <c r="G20" s="130" t="str">
        <f>'disclosed1-9a'!G38</f>
        <v>(.3036)</v>
      </c>
      <c r="H20" s="130" t="str">
        <f>'disclosed1-9a'!H38</f>
        <v>(.4258)</v>
      </c>
      <c r="I20" s="130" t="str">
        <f>'disclosed1-9a'!I38</f>
        <v>(.326)</v>
      </c>
      <c r="J20" s="130" t="str">
        <f>'disclosed1-9a'!J38</f>
        <v>(.2667)</v>
      </c>
      <c r="K20" s="130" t="str">
        <f>'disclosed1-9a'!K38</f>
        <v>(.3592)</v>
      </c>
    </row>
    <row r="21" spans="1:11">
      <c r="A21" s="130" t="s">
        <v>411</v>
      </c>
      <c r="C21" s="130" t="str">
        <f>'disclosed1-9a'!C39</f>
        <v>.04148</v>
      </c>
      <c r="D21" s="130" t="str">
        <f>'disclosed1-9a'!D39</f>
        <v>.1519</v>
      </c>
      <c r="E21" s="130" t="str">
        <f>'disclosed1-9a'!E39</f>
        <v>.09966</v>
      </c>
      <c r="F21" s="130" t="str">
        <f>'disclosed1-9a'!F39</f>
        <v>-.00644</v>
      </c>
      <c r="G21" s="130" t="str">
        <f>'disclosed1-9a'!G39</f>
        <v>.5049</v>
      </c>
      <c r="H21" s="130" t="str">
        <f>'disclosed1-9a'!H39</f>
        <v>.4926</v>
      </c>
      <c r="I21" s="130" t="str">
        <f>'disclosed1-9a'!I39</f>
        <v>-.004619</v>
      </c>
      <c r="J21" s="130" t="str">
        <f>'disclosed1-9a'!J39</f>
        <v>.4934</v>
      </c>
      <c r="K21" s="130" t="str">
        <f>'disclosed1-9a'!K39</f>
        <v>.4911</v>
      </c>
    </row>
    <row r="22" spans="1:11">
      <c r="A22" s="130" t="s">
        <v>412</v>
      </c>
      <c r="C22" s="130" t="str">
        <f>'disclosed1-9a'!C40</f>
        <v>.08012</v>
      </c>
      <c r="D22" s="130" t="str">
        <f>'disclosed1-9a'!D40</f>
        <v>.07536</v>
      </c>
      <c r="E22" s="130" t="str">
        <f>'disclosed1-9a'!E40</f>
        <v>.07765</v>
      </c>
      <c r="F22" s="130" t="str">
        <f>'disclosed1-9a'!F40</f>
        <v>.1345</v>
      </c>
      <c r="G22" s="130" t="str">
        <f>'disclosed1-9a'!G40</f>
        <v>.09436</v>
      </c>
      <c r="H22" s="130" t="str">
        <f>'disclosed1-9a'!H40</f>
        <v>.09553</v>
      </c>
      <c r="I22" s="130" t="str">
        <f>'disclosed1-9a'!I40</f>
        <v>.09725</v>
      </c>
      <c r="J22" s="130" t="str">
        <f>'disclosed1-9a'!J40</f>
        <v>.06906</v>
      </c>
      <c r="K22" s="130" t="str">
        <f>'disclosed1-9a'!K40</f>
        <v>.06921</v>
      </c>
    </row>
    <row r="23" spans="1:11">
      <c r="A23" s="131" t="s">
        <v>426</v>
      </c>
    </row>
    <row r="24" spans="1:11">
      <c r="A24" s="130" t="s">
        <v>425</v>
      </c>
      <c r="C24" s="130">
        <v>0</v>
      </c>
      <c r="D24" s="130">
        <v>0.56630000000000003</v>
      </c>
      <c r="E24" s="130">
        <v>0.84950000000000003</v>
      </c>
      <c r="F24" s="130">
        <f t="shared" ref="F24:K24" si="0">+C24</f>
        <v>0</v>
      </c>
      <c r="G24" s="130">
        <f t="shared" si="0"/>
        <v>0.56630000000000003</v>
      </c>
      <c r="H24" s="130">
        <f t="shared" si="0"/>
        <v>0.84950000000000003</v>
      </c>
      <c r="I24" s="130">
        <f t="shared" si="0"/>
        <v>0</v>
      </c>
      <c r="J24" s="130">
        <f t="shared" si="0"/>
        <v>0.56630000000000003</v>
      </c>
      <c r="K24" s="130">
        <f t="shared" si="0"/>
        <v>0.84950000000000003</v>
      </c>
    </row>
    <row r="25" spans="1:11">
      <c r="A25" s="130" t="s">
        <v>424</v>
      </c>
      <c r="C25" s="130">
        <f t="shared" ref="C25:K25" si="1">1-((($B$15-C$16-1)/($B$15-1))*(1-C21))</f>
        <v>4.1479999999999961E-2</v>
      </c>
      <c r="D25" s="130">
        <f t="shared" si="1"/>
        <v>0.28350172413793107</v>
      </c>
      <c r="E25" s="130">
        <f t="shared" si="1"/>
        <v>0.28593724137931031</v>
      </c>
      <c r="F25" s="130">
        <f t="shared" si="1"/>
        <v>-6.4400000000000013E-3</v>
      </c>
      <c r="G25" s="130">
        <f t="shared" si="1"/>
        <v>0.58172586206896559</v>
      </c>
      <c r="H25" s="130">
        <f t="shared" si="1"/>
        <v>0.59757931034482747</v>
      </c>
      <c r="I25" s="130">
        <f t="shared" si="1"/>
        <v>-4.6189999999999287E-3</v>
      </c>
      <c r="J25" s="130">
        <f t="shared" si="1"/>
        <v>0.57201034482758617</v>
      </c>
      <c r="K25" s="130">
        <f t="shared" si="1"/>
        <v>0.59638965517241371</v>
      </c>
    </row>
    <row r="26" spans="1:11">
      <c r="A26" s="130" t="s">
        <v>423</v>
      </c>
      <c r="C26" s="130">
        <f t="shared" ref="C26:K26" si="2">(1-C24)*($B20^2)</f>
        <v>3.5868121E-3</v>
      </c>
      <c r="D26" s="130">
        <f t="shared" si="2"/>
        <v>1.5556004077699999E-3</v>
      </c>
      <c r="E26" s="130">
        <f t="shared" si="2"/>
        <v>5.3981522104999983E-4</v>
      </c>
      <c r="F26" s="130">
        <f t="shared" si="2"/>
        <v>3.5868121E-3</v>
      </c>
      <c r="G26" s="130">
        <f t="shared" si="2"/>
        <v>1.5556004077699999E-3</v>
      </c>
      <c r="H26" s="130">
        <f t="shared" si="2"/>
        <v>5.3981522104999983E-4</v>
      </c>
      <c r="I26" s="130">
        <f t="shared" si="2"/>
        <v>3.5868121E-3</v>
      </c>
      <c r="J26" s="130">
        <f t="shared" si="2"/>
        <v>1.5556004077699999E-3</v>
      </c>
      <c r="K26" s="130">
        <f t="shared" si="2"/>
        <v>5.3981522104999983E-4</v>
      </c>
    </row>
    <row r="27" spans="1:11">
      <c r="A27" s="130" t="s">
        <v>422</v>
      </c>
      <c r="C27" s="130">
        <f t="shared" ref="C27:K27" si="3">C25*(C$9^2)</f>
        <v>2.7755263519999972E-4</v>
      </c>
      <c r="D27" s="130">
        <f t="shared" si="3"/>
        <v>1.8969780766206897E-3</v>
      </c>
      <c r="E27" s="130">
        <f t="shared" si="3"/>
        <v>1.9132747070068961E-3</v>
      </c>
      <c r="F27" s="130">
        <f t="shared" si="3"/>
        <v>-1.1580929640000002E-4</v>
      </c>
      <c r="G27" s="130">
        <f t="shared" si="3"/>
        <v>1.0461065649672413E-2</v>
      </c>
      <c r="H27" s="130">
        <f t="shared" si="3"/>
        <v>1.0746155197862066E-2</v>
      </c>
      <c r="I27" s="130">
        <f t="shared" si="3"/>
        <v>-4.3460170999999331E-5</v>
      </c>
      <c r="J27" s="130">
        <f t="shared" si="3"/>
        <v>5.3820453344827586E-3</v>
      </c>
      <c r="K27" s="130">
        <f t="shared" si="3"/>
        <v>5.6114302655172407E-3</v>
      </c>
    </row>
    <row r="28" spans="1:11">
      <c r="A28" s="130" t="s">
        <v>421</v>
      </c>
      <c r="C28" s="130">
        <f t="shared" ref="C28:K28" si="4">C27-C26*(VALUE(SUBSTITUTE(C19,"*",""))^2)</f>
        <v>-1.1092354142040126E-4</v>
      </c>
      <c r="D28" s="130">
        <f t="shared" si="4"/>
        <v>1.266159959520148E-3</v>
      </c>
      <c r="E28" s="130">
        <f t="shared" si="4"/>
        <v>1.7556896398337261E-3</v>
      </c>
      <c r="F28" s="130">
        <f t="shared" si="4"/>
        <v>-3.1204095280944102E-4</v>
      </c>
      <c r="G28" s="130">
        <f t="shared" si="4"/>
        <v>1.0423160007860196E-2</v>
      </c>
      <c r="H28" s="130">
        <f t="shared" si="4"/>
        <v>1.0710777867535333E-2</v>
      </c>
      <c r="I28" s="130">
        <f t="shared" si="4"/>
        <v>-1.6305438601539536E-4</v>
      </c>
      <c r="J28" s="130">
        <f t="shared" si="4"/>
        <v>5.1272658484933361E-3</v>
      </c>
      <c r="K28" s="130">
        <f t="shared" si="4"/>
        <v>5.3443450464865875E-3</v>
      </c>
    </row>
    <row r="29" spans="1:11">
      <c r="A29" s="130" t="s">
        <v>420</v>
      </c>
      <c r="C29" s="130">
        <f>C28/(C$9^2)</f>
        <v>-1.6577426817809746E-2</v>
      </c>
      <c r="D29" s="130">
        <f t="shared" ref="D29:K29" si="5">D28/(D9^2)</f>
        <v>0.18922650503047986</v>
      </c>
      <c r="E29" s="130">
        <f t="shared" si="5"/>
        <v>0.26238629010971454</v>
      </c>
      <c r="F29" s="130">
        <f t="shared" si="5"/>
        <v>-1.7352179821142583E-2</v>
      </c>
      <c r="G29" s="130">
        <f t="shared" si="5"/>
        <v>0.57961798005207177</v>
      </c>
      <c r="H29" s="130">
        <f t="shared" si="5"/>
        <v>0.59561202434632488</v>
      </c>
      <c r="I29" s="130">
        <f t="shared" si="5"/>
        <v>-1.7329619089743366E-2</v>
      </c>
      <c r="J29" s="130">
        <f t="shared" si="5"/>
        <v>0.54493207019803758</v>
      </c>
      <c r="K29" s="130">
        <f t="shared" si="5"/>
        <v>0.56800351222091472</v>
      </c>
    </row>
    <row r="32" spans="1:11">
      <c r="A32" s="132" t="s">
        <v>429</v>
      </c>
    </row>
    <row r="33" spans="1:11">
      <c r="A33" s="131" t="s">
        <v>427</v>
      </c>
    </row>
    <row r="34" spans="1:11">
      <c r="A34" s="130" t="s">
        <v>410</v>
      </c>
      <c r="B34" s="130" t="str">
        <f>'disclosed1-9a'!B41</f>
        <v>.1303</v>
      </c>
      <c r="C34" s="130" t="str">
        <f>'disclosed1-9a'!C41</f>
        <v>.3196</v>
      </c>
      <c r="D34" s="130" t="str">
        <f>'disclosed1-9a'!D41</f>
        <v>.605</v>
      </c>
      <c r="E34" s="130" t="str">
        <f>'disclosed1-9a'!E41</f>
        <v>.4496</v>
      </c>
      <c r="F34" s="130" t="str">
        <f>'disclosed1-9a'!F41</f>
        <v>.1881</v>
      </c>
      <c r="G34" s="130" t="str">
        <f>'disclosed1-9a'!G41</f>
        <v>.1244</v>
      </c>
      <c r="H34" s="130" t="str">
        <f>'disclosed1-9a'!H41</f>
        <v>.1463</v>
      </c>
      <c r="I34" s="130" t="str">
        <f>'disclosed1-9a'!I41</f>
        <v>.1492</v>
      </c>
      <c r="J34" s="130" t="str">
        <f>'disclosed1-9a'!J41</f>
        <v>.3832</v>
      </c>
      <c r="K34" s="130" t="str">
        <f>'disclosed1-9a'!K41</f>
        <v>.6131*</v>
      </c>
    </row>
    <row r="35" spans="1:11">
      <c r="A35" s="130" t="s">
        <v>277</v>
      </c>
      <c r="B35" s="130" t="str">
        <f>'disclosed1-9a'!B42</f>
        <v>.06013</v>
      </c>
      <c r="C35" s="130" t="str">
        <f>'disclosed1-9a'!C42</f>
        <v>(.2477)</v>
      </c>
      <c r="D35" s="130" t="str">
        <f>'disclosed1-9a'!D42</f>
        <v>(.4098)</v>
      </c>
      <c r="E35" s="130" t="str">
        <f>'disclosed1-9a'!E42</f>
        <v>(.5278)</v>
      </c>
      <c r="F35" s="130" t="str">
        <f>'disclosed1-9a'!F42</f>
        <v>(.4043)</v>
      </c>
      <c r="G35" s="130" t="str">
        <f>'disclosed1-9a'!G42</f>
        <v>(.3001)</v>
      </c>
      <c r="H35" s="130" t="str">
        <f>'disclosed1-9a'!H42</f>
        <v>(.4202)</v>
      </c>
      <c r="I35" s="130" t="str">
        <f>'disclosed1-9a'!I42</f>
        <v>(.3256)</v>
      </c>
      <c r="J35" s="130" t="str">
        <f>'disclosed1-9a'!J42</f>
        <v>(.2665)</v>
      </c>
      <c r="K35" s="130" t="str">
        <f>'disclosed1-9a'!K42</f>
        <v>(.3628)</v>
      </c>
    </row>
    <row r="36" spans="1:11">
      <c r="A36" s="130" t="s">
        <v>411</v>
      </c>
      <c r="C36" s="130" t="str">
        <f>'disclosed1-9a'!C43</f>
        <v>.03857</v>
      </c>
      <c r="D36" s="130" t="str">
        <f>'disclosed1-9a'!D43</f>
        <v>.1397</v>
      </c>
      <c r="E36" s="130" t="str">
        <f>'disclosed1-9a'!E43</f>
        <v>.08972</v>
      </c>
      <c r="F36" s="130" t="str">
        <f>'disclosed1-9a'!F43</f>
        <v>-.01031</v>
      </c>
      <c r="G36" s="130" t="str">
        <f>'disclosed1-9a'!G43</f>
        <v>.5038</v>
      </c>
      <c r="H36" s="130" t="str">
        <f>'disclosed1-9a'!H43</f>
        <v>.4906</v>
      </c>
      <c r="I36" s="130" t="str">
        <f>'disclosed1-9a'!I43</f>
        <v>-.008845</v>
      </c>
      <c r="J36" s="130" t="str">
        <f>'disclosed1-9a'!J43</f>
        <v>.4896</v>
      </c>
      <c r="K36" s="130" t="str">
        <f>'disclosed1-9a'!K43</f>
        <v>.4823</v>
      </c>
    </row>
    <row r="37" spans="1:11">
      <c r="A37" s="130" t="s">
        <v>412</v>
      </c>
      <c r="C37" s="130" t="str">
        <f>'disclosed1-9a'!C44</f>
        <v>.08024</v>
      </c>
      <c r="D37" s="130" t="str">
        <f>'disclosed1-9a'!D44</f>
        <v>.0759</v>
      </c>
      <c r="E37" s="130" t="str">
        <f>'disclosed1-9a'!E44</f>
        <v>.07808</v>
      </c>
      <c r="F37" s="130" t="str">
        <f>'disclosed1-9a'!F44</f>
        <v>.1348</v>
      </c>
      <c r="G37" s="130" t="str">
        <f>'disclosed1-9a'!G44</f>
        <v>.09447</v>
      </c>
      <c r="H37" s="130" t="str">
        <f>'disclosed1-9a'!H44</f>
        <v>.09572</v>
      </c>
      <c r="I37" s="130" t="str">
        <f>'disclosed1-9a'!I44</f>
        <v>.09746</v>
      </c>
      <c r="J37" s="130" t="str">
        <f>'disclosed1-9a'!J44</f>
        <v>.06932</v>
      </c>
      <c r="K37" s="130" t="str">
        <f>'disclosed1-9a'!K44</f>
        <v>.06982</v>
      </c>
    </row>
    <row r="38" spans="1:11">
      <c r="A38" s="131" t="s">
        <v>426</v>
      </c>
    </row>
    <row r="39" spans="1:11">
      <c r="A39" s="130" t="s">
        <v>425</v>
      </c>
      <c r="C39" s="130">
        <v>0</v>
      </c>
      <c r="D39" s="130">
        <v>0.56540000000000001</v>
      </c>
      <c r="E39" s="130">
        <v>0.84219999999999995</v>
      </c>
      <c r="F39" s="130">
        <f t="shared" ref="F39:K39" si="6">+C39</f>
        <v>0</v>
      </c>
      <c r="G39" s="130">
        <f t="shared" si="6"/>
        <v>0.56540000000000001</v>
      </c>
      <c r="H39" s="130">
        <f t="shared" si="6"/>
        <v>0.84219999999999995</v>
      </c>
      <c r="I39" s="130">
        <f t="shared" si="6"/>
        <v>0</v>
      </c>
      <c r="J39" s="130">
        <f t="shared" si="6"/>
        <v>0.56540000000000001</v>
      </c>
      <c r="K39" s="130">
        <f t="shared" si="6"/>
        <v>0.84219999999999995</v>
      </c>
    </row>
    <row r="40" spans="1:11">
      <c r="A40" s="130" t="s">
        <v>424</v>
      </c>
      <c r="C40" s="130">
        <f t="shared" ref="C40:K40" si="7">1-((($B$15-C$16-1)/($B$15-1))*(1-C36))</f>
        <v>3.8569999999999993E-2</v>
      </c>
      <c r="D40" s="130">
        <f t="shared" si="7"/>
        <v>0.27319482758620683</v>
      </c>
      <c r="E40" s="130">
        <f t="shared" si="7"/>
        <v>0.27805379310344824</v>
      </c>
      <c r="F40" s="130">
        <f t="shared" si="7"/>
        <v>-1.0310000000000041E-2</v>
      </c>
      <c r="G40" s="130">
        <f t="shared" si="7"/>
        <v>0.58079655172413802</v>
      </c>
      <c r="H40" s="130">
        <f t="shared" si="7"/>
        <v>0.59599310344827572</v>
      </c>
      <c r="I40" s="130">
        <f t="shared" si="7"/>
        <v>-8.8449999999999918E-3</v>
      </c>
      <c r="J40" s="130">
        <f t="shared" si="7"/>
        <v>0.56879999999999997</v>
      </c>
      <c r="K40" s="130">
        <f t="shared" si="7"/>
        <v>0.58941034482758614</v>
      </c>
    </row>
    <row r="41" spans="1:11">
      <c r="A41" s="130" t="s">
        <v>423</v>
      </c>
      <c r="C41" s="130">
        <f t="shared" ref="C41:K41" si="8">(1-C39)*($B35^2)</f>
        <v>3.6156169000000002E-3</v>
      </c>
      <c r="D41" s="130">
        <f t="shared" si="8"/>
        <v>1.5713471047399999E-3</v>
      </c>
      <c r="E41" s="130">
        <f t="shared" si="8"/>
        <v>5.7054434682000021E-4</v>
      </c>
      <c r="F41" s="130">
        <f t="shared" si="8"/>
        <v>3.6156169000000002E-3</v>
      </c>
      <c r="G41" s="130">
        <f t="shared" si="8"/>
        <v>1.5713471047399999E-3</v>
      </c>
      <c r="H41" s="130">
        <f t="shared" si="8"/>
        <v>5.7054434682000021E-4</v>
      </c>
      <c r="I41" s="130">
        <f t="shared" si="8"/>
        <v>3.6156169000000002E-3</v>
      </c>
      <c r="J41" s="130">
        <f t="shared" si="8"/>
        <v>1.5713471047399999E-3</v>
      </c>
      <c r="K41" s="130">
        <f t="shared" si="8"/>
        <v>5.7054434682000021E-4</v>
      </c>
    </row>
    <row r="42" spans="1:11">
      <c r="A42" s="130" t="s">
        <v>422</v>
      </c>
      <c r="C42" s="130">
        <f t="shared" ref="C42:K42" si="9">C40*(C$9^2)</f>
        <v>2.5808112679999993E-4</v>
      </c>
      <c r="D42" s="130">
        <f t="shared" si="9"/>
        <v>1.8280121581379304E-3</v>
      </c>
      <c r="E42" s="130">
        <f t="shared" si="9"/>
        <v>1.8605246625655169E-3</v>
      </c>
      <c r="F42" s="130">
        <f t="shared" si="9"/>
        <v>-1.8540277110000073E-4</v>
      </c>
      <c r="G42" s="130">
        <f t="shared" si="9"/>
        <v>1.0444354038310346E-2</v>
      </c>
      <c r="H42" s="130">
        <f t="shared" si="9"/>
        <v>1.0717630740620687E-2</v>
      </c>
      <c r="I42" s="130">
        <f t="shared" si="9"/>
        <v>-8.3222604999999924E-5</v>
      </c>
      <c r="J42" s="130">
        <f t="shared" si="9"/>
        <v>5.3518391999999998E-3</v>
      </c>
      <c r="K42" s="130">
        <f t="shared" si="9"/>
        <v>5.5457619344827583E-3</v>
      </c>
    </row>
    <row r="43" spans="1:11">
      <c r="A43" s="130" t="s">
        <v>421</v>
      </c>
      <c r="C43" s="130">
        <f t="shared" ref="C43:K43" si="10">C42-C41*(VALUE(SUBSTITUTE(C34,"*",""))^2)</f>
        <v>-1.112330243323041E-4</v>
      </c>
      <c r="D43" s="130">
        <f t="shared" si="10"/>
        <v>1.2528598341254721E-3</v>
      </c>
      <c r="E43" s="130">
        <f t="shared" si="10"/>
        <v>1.7451947370122265E-3</v>
      </c>
      <c r="F43" s="130">
        <f t="shared" si="10"/>
        <v>-3.1332911816520971E-4</v>
      </c>
      <c r="G43" s="130">
        <f t="shared" si="10"/>
        <v>1.0420036876179536E-2</v>
      </c>
      <c r="H43" s="130">
        <f t="shared" si="10"/>
        <v>1.0705418986290099E-2</v>
      </c>
      <c r="I43" s="130">
        <f t="shared" si="10"/>
        <v>-1.6370855118881593E-4</v>
      </c>
      <c r="J43" s="130">
        <f t="shared" si="10"/>
        <v>5.121099071322464E-3</v>
      </c>
      <c r="K43" s="130">
        <f t="shared" si="10"/>
        <v>5.3312991013801901E-3</v>
      </c>
    </row>
    <row r="44" spans="1:11">
      <c r="A44" s="130" t="s">
        <v>420</v>
      </c>
      <c r="C44" s="130">
        <f t="shared" ref="C44:K44" si="11">C43/(C$9^2)</f>
        <v>-1.6623678769899765E-2</v>
      </c>
      <c r="D44" s="130">
        <f t="shared" si="11"/>
        <v>0.18723881285463864</v>
      </c>
      <c r="E44" s="130">
        <f t="shared" si="11"/>
        <v>0.26081783600830738</v>
      </c>
      <c r="F44" s="130">
        <f t="shared" si="11"/>
        <v>-1.7423812972789554E-2</v>
      </c>
      <c r="G44" s="130">
        <f t="shared" si="11"/>
        <v>0.57944430687859882</v>
      </c>
      <c r="H44" s="130">
        <f t="shared" si="11"/>
        <v>0.59531402413138435</v>
      </c>
      <c r="I44" s="130">
        <f t="shared" si="11"/>
        <v>-1.7399144562526933E-2</v>
      </c>
      <c r="J44" s="130">
        <f t="shared" si="11"/>
        <v>0.5442766575961806</v>
      </c>
      <c r="K44" s="130">
        <f t="shared" si="11"/>
        <v>0.56661697325753957</v>
      </c>
    </row>
    <row r="47" spans="1:11">
      <c r="A47" s="132" t="s">
        <v>428</v>
      </c>
    </row>
    <row r="48" spans="1:11">
      <c r="A48" s="131" t="s">
        <v>427</v>
      </c>
    </row>
    <row r="49" spans="1:11">
      <c r="A49" s="130" t="s">
        <v>410</v>
      </c>
      <c r="B49" s="130" t="str">
        <f>'disclosed1-9a'!B49</f>
        <v>2.089</v>
      </c>
      <c r="C49" s="130" t="str">
        <f>'disclosed1-9a'!C49</f>
        <v>.07224</v>
      </c>
      <c r="D49" s="130" t="str">
        <f>'disclosed1-9a'!D49</f>
        <v>.2625**</v>
      </c>
      <c r="E49" s="130" t="str">
        <f>'disclosed1-9a'!E49</f>
        <v>.2417*</v>
      </c>
      <c r="F49" s="130" t="str">
        <f>'disclosed1-9a'!F49</f>
        <v>.6453***</v>
      </c>
      <c r="G49" s="130" t="str">
        <f>'disclosed1-9a'!G49</f>
        <v>.3435**</v>
      </c>
      <c r="H49" s="130" t="str">
        <f>'disclosed1-9a'!H49</f>
        <v>.4666***</v>
      </c>
      <c r="I49" s="130" t="str">
        <f>'disclosed1-9a'!I49</f>
        <v>.4692***</v>
      </c>
      <c r="J49" s="130" t="str">
        <f>'disclosed1-9a'!J49</f>
        <v>.3199***</v>
      </c>
      <c r="K49" s="130" t="str">
        <f>'disclosed1-9a'!K49</f>
        <v>.4191***</v>
      </c>
    </row>
    <row r="50" spans="1:11">
      <c r="A50" s="130" t="s">
        <v>277</v>
      </c>
      <c r="B50" s="130" t="str">
        <f>'disclosed1-9a'!B50</f>
        <v>.1112</v>
      </c>
      <c r="C50" s="130" t="str">
        <f>'disclosed1-9a'!C50</f>
        <v>(.08676)</v>
      </c>
      <c r="D50" s="130" t="str">
        <f>'disclosed1-9a'!D50</f>
        <v>(.1052)</v>
      </c>
      <c r="E50" s="130" t="str">
        <f>'disclosed1-9a'!E50</f>
        <v>(.1438)</v>
      </c>
      <c r="F50" s="130" t="str">
        <f>'disclosed1-9a'!F50</f>
        <v>(.1369)</v>
      </c>
      <c r="G50" s="130" t="str">
        <f>'disclosed1-9a'!G50</f>
        <v>(.1392)</v>
      </c>
      <c r="H50" s="130" t="str">
        <f>'disclosed1-9a'!H50</f>
        <v>(.1342)</v>
      </c>
      <c r="I50" s="130" t="str">
        <f>'disclosed1-9a'!I50</f>
        <v>(.103)</v>
      </c>
      <c r="J50" s="130" t="str">
        <f>'disclosed1-9a'!J50</f>
        <v>(.09433)</v>
      </c>
      <c r="K50" s="130" t="str">
        <f>'disclosed1-9a'!K50</f>
        <v>(.09526)</v>
      </c>
    </row>
    <row r="51" spans="1:11">
      <c r="A51" s="130" t="s">
        <v>411</v>
      </c>
      <c r="C51" s="130" t="str">
        <f>'disclosed1-9a'!C51</f>
        <v>-.007744</v>
      </c>
      <c r="D51" s="130" t="str">
        <f>'disclosed1-9a'!D51</f>
        <v>.1274</v>
      </c>
      <c r="E51" s="130" t="str">
        <f>'disclosed1-9a'!E51</f>
        <v>.1249</v>
      </c>
      <c r="F51" s="130" t="str">
        <f>'disclosed1-9a'!F51</f>
        <v>.2736</v>
      </c>
      <c r="G51" s="130" t="str">
        <f>'disclosed1-9a'!G51</f>
        <v>.5751</v>
      </c>
      <c r="H51" s="130" t="str">
        <f>'disclosed1-9a'!H51</f>
        <v>.5755</v>
      </c>
      <c r="I51" s="130" t="str">
        <f>'disclosed1-9a'!I51</f>
        <v>.2766</v>
      </c>
      <c r="J51" s="130" t="str">
        <f>'disclosed1-9a'!J51</f>
        <v>.5747</v>
      </c>
      <c r="K51" s="130" t="str">
        <f>'disclosed1-9a'!K51</f>
        <v>.5794</v>
      </c>
    </row>
    <row r="52" spans="1:11">
      <c r="A52" s="130" t="s">
        <v>412</v>
      </c>
      <c r="C52" s="130" t="str">
        <f>'disclosed1-9a'!C52</f>
        <v>.08215</v>
      </c>
      <c r="D52" s="130" t="str">
        <f>'disclosed1-9a'!D52</f>
        <v>.07644</v>
      </c>
      <c r="E52" s="130" t="str">
        <f>'disclosed1-9a'!E52</f>
        <v>.07655</v>
      </c>
      <c r="F52" s="130" t="str">
        <f>'disclosed1-9a'!F52</f>
        <v>.1143</v>
      </c>
      <c r="G52" s="130" t="str">
        <f>'disclosed1-9a'!G52</f>
        <v>.08743</v>
      </c>
      <c r="H52" s="130" t="str">
        <f>'disclosed1-9a'!H52</f>
        <v>.08738</v>
      </c>
      <c r="I52" s="130" t="str">
        <f>'disclosed1-9a'!I52</f>
        <v>.08253</v>
      </c>
      <c r="J52" s="130" t="str">
        <f>'disclosed1-9a'!J52</f>
        <v>.06328</v>
      </c>
      <c r="K52" s="130" t="str">
        <f>'disclosed1-9a'!K52</f>
        <v>.06292</v>
      </c>
    </row>
    <row r="53" spans="1:11">
      <c r="A53" s="131" t="s">
        <v>426</v>
      </c>
    </row>
    <row r="54" spans="1:11">
      <c r="A54" s="130" t="s">
        <v>425</v>
      </c>
      <c r="C54" s="130">
        <v>0</v>
      </c>
      <c r="D54" s="130">
        <v>0.29770000000000002</v>
      </c>
      <c r="E54" s="130">
        <v>0.58289999999999997</v>
      </c>
      <c r="F54" s="130">
        <f t="shared" ref="F54:K54" si="12">+C54</f>
        <v>0</v>
      </c>
      <c r="G54" s="130">
        <f t="shared" si="12"/>
        <v>0.29770000000000002</v>
      </c>
      <c r="H54" s="130">
        <f t="shared" si="12"/>
        <v>0.58289999999999997</v>
      </c>
      <c r="I54" s="130">
        <f t="shared" si="12"/>
        <v>0</v>
      </c>
      <c r="J54" s="130">
        <f t="shared" si="12"/>
        <v>0.29770000000000002</v>
      </c>
      <c r="K54" s="130">
        <f t="shared" si="12"/>
        <v>0.58289999999999997</v>
      </c>
    </row>
    <row r="55" spans="1:11">
      <c r="A55" s="130" t="s">
        <v>424</v>
      </c>
      <c r="C55" s="130">
        <f t="shared" ref="C55:K55" si="13">1-((($B$15-C$16-1)/($B$15-1))*(1-C51))</f>
        <v>-7.7439999999999731E-3</v>
      </c>
      <c r="D55" s="130">
        <f t="shared" si="13"/>
        <v>0.26280344827586199</v>
      </c>
      <c r="E55" s="130">
        <f t="shared" si="13"/>
        <v>0.30595517241379311</v>
      </c>
      <c r="F55" s="130">
        <f t="shared" si="13"/>
        <v>0.27360000000000007</v>
      </c>
      <c r="G55" s="130">
        <f t="shared" si="13"/>
        <v>0.64103275862068965</v>
      </c>
      <c r="H55" s="130">
        <f t="shared" si="13"/>
        <v>0.66332758620689658</v>
      </c>
      <c r="I55" s="130">
        <f t="shared" si="13"/>
        <v>0.27659999999999996</v>
      </c>
      <c r="J55" s="130">
        <f t="shared" si="13"/>
        <v>0.64069482758620688</v>
      </c>
      <c r="K55" s="130">
        <f t="shared" si="13"/>
        <v>0.66642068965517243</v>
      </c>
    </row>
    <row r="56" spans="1:11">
      <c r="A56" s="130" t="s">
        <v>423</v>
      </c>
      <c r="C56" s="130">
        <f t="shared" ref="C56:K56" si="14">(1-C54)*($B50^2)</f>
        <v>1.2365439999999998E-2</v>
      </c>
      <c r="D56" s="130">
        <f t="shared" si="14"/>
        <v>8.6842485119999983E-3</v>
      </c>
      <c r="E56" s="130">
        <f t="shared" si="14"/>
        <v>5.1576250239999998E-3</v>
      </c>
      <c r="F56" s="130">
        <f t="shared" si="14"/>
        <v>1.2365439999999998E-2</v>
      </c>
      <c r="G56" s="130">
        <f t="shared" si="14"/>
        <v>8.6842485119999983E-3</v>
      </c>
      <c r="H56" s="130">
        <f t="shared" si="14"/>
        <v>5.1576250239999998E-3</v>
      </c>
      <c r="I56" s="130">
        <f t="shared" si="14"/>
        <v>1.2365439999999998E-2</v>
      </c>
      <c r="J56" s="130">
        <f t="shared" si="14"/>
        <v>8.6842485119999983E-3</v>
      </c>
      <c r="K56" s="130">
        <f t="shared" si="14"/>
        <v>5.1576250239999998E-3</v>
      </c>
    </row>
    <row r="57" spans="1:11">
      <c r="A57" s="130" t="s">
        <v>422</v>
      </c>
      <c r="C57" s="130">
        <f t="shared" ref="C57:K57" si="15">C55*(C$9^2)</f>
        <v>-5.1816962559999812E-5</v>
      </c>
      <c r="D57" s="130">
        <f t="shared" si="15"/>
        <v>1.7584809452413786E-3</v>
      </c>
      <c r="E57" s="130">
        <f t="shared" si="15"/>
        <v>2.0472194878620687E-3</v>
      </c>
      <c r="F57" s="130">
        <f t="shared" si="15"/>
        <v>4.9200968160000007E-3</v>
      </c>
      <c r="G57" s="130">
        <f t="shared" si="15"/>
        <v>1.1527570302051723E-2</v>
      </c>
      <c r="H57" s="130">
        <f t="shared" si="15"/>
        <v>1.1928493950517241E-2</v>
      </c>
      <c r="I57" s="130">
        <f t="shared" si="15"/>
        <v>2.6025293999999998E-3</v>
      </c>
      <c r="J57" s="130">
        <f t="shared" si="15"/>
        <v>6.0282976327586208E-3</v>
      </c>
      <c r="K57" s="130">
        <f t="shared" si="15"/>
        <v>6.2703522689655181E-3</v>
      </c>
    </row>
    <row r="58" spans="1:11">
      <c r="A58" s="130" t="s">
        <v>421</v>
      </c>
      <c r="C58" s="130">
        <f t="shared" ref="C58:K58" si="16">C57-C56*(VALUE(SUBSTITUTE(C49,"*",""))^2)</f>
        <v>-1.1634746537574379E-4</v>
      </c>
      <c r="D58" s="130">
        <f t="shared" si="16"/>
        <v>1.1600819462113787E-3</v>
      </c>
      <c r="E58" s="130">
        <f t="shared" si="16"/>
        <v>1.7459167589237653E-3</v>
      </c>
      <c r="F58" s="130">
        <f t="shared" si="16"/>
        <v>-2.2902189816959798E-4</v>
      </c>
      <c r="G58" s="130">
        <f t="shared" si="16"/>
        <v>1.0502896280561691E-2</v>
      </c>
      <c r="H58" s="130">
        <f t="shared" si="16"/>
        <v>1.0805598730147067E-2</v>
      </c>
      <c r="I58" s="130">
        <f t="shared" si="16"/>
        <v>-1.1970539900159989E-4</v>
      </c>
      <c r="J58" s="130">
        <f t="shared" si="16"/>
        <v>5.1395862901921037E-3</v>
      </c>
      <c r="K58" s="130">
        <f t="shared" si="16"/>
        <v>5.3644422015737929E-3</v>
      </c>
    </row>
    <row r="59" spans="1:11">
      <c r="A59" s="130" t="s">
        <v>420</v>
      </c>
      <c r="C59" s="130">
        <f t="shared" ref="C59:K59" si="17">C58/(C$9^2)</f>
        <v>-1.7388027536860702E-2</v>
      </c>
      <c r="D59" s="130">
        <f t="shared" si="17"/>
        <v>0.17337323817579084</v>
      </c>
      <c r="E59" s="130">
        <f t="shared" si="17"/>
        <v>0.26092574155519238</v>
      </c>
      <c r="F59" s="130">
        <f t="shared" si="17"/>
        <v>-1.2735601286428429E-2</v>
      </c>
      <c r="G59" s="130">
        <f t="shared" si="17"/>
        <v>0.58405200747612263</v>
      </c>
      <c r="H59" s="130">
        <f t="shared" si="17"/>
        <v>0.60088488562950215</v>
      </c>
      <c r="I59" s="130">
        <f t="shared" si="17"/>
        <v>-1.2722435859453702E-2</v>
      </c>
      <c r="J59" s="130">
        <f t="shared" si="17"/>
        <v>0.54624150177405706</v>
      </c>
      <c r="K59" s="130">
        <f t="shared" si="17"/>
        <v>0.57013946238429081</v>
      </c>
    </row>
    <row r="63" spans="1:11">
      <c r="A63" s="130" t="s">
        <v>419</v>
      </c>
      <c r="C63" s="130">
        <f t="shared" ref="C63:K63" si="18">(C29+C44+C59)/3</f>
        <v>-1.686304437485674E-2</v>
      </c>
      <c r="D63" s="130">
        <f t="shared" si="18"/>
        <v>0.18327951868696979</v>
      </c>
      <c r="E63" s="130">
        <f t="shared" si="18"/>
        <v>0.26137662255773808</v>
      </c>
      <c r="F63" s="130">
        <f t="shared" si="18"/>
        <v>-1.5837198026786854E-2</v>
      </c>
      <c r="G63" s="130">
        <f t="shared" si="18"/>
        <v>0.5810380981355977</v>
      </c>
      <c r="H63" s="130">
        <f t="shared" si="18"/>
        <v>0.59727031136907038</v>
      </c>
      <c r="I63" s="130">
        <f t="shared" si="18"/>
        <v>-1.5817066503908E-2</v>
      </c>
      <c r="J63" s="130">
        <f t="shared" si="18"/>
        <v>0.54515007652275838</v>
      </c>
      <c r="K63" s="130">
        <f t="shared" si="18"/>
        <v>0.56825331595424833</v>
      </c>
    </row>
    <row r="71" spans="1:5">
      <c r="A71" s="26" t="s">
        <v>159</v>
      </c>
      <c r="B71"/>
      <c r="C71"/>
      <c r="D71"/>
      <c r="E71"/>
    </row>
    <row r="72" spans="1:5">
      <c r="A72" t="s">
        <v>432</v>
      </c>
      <c r="B72"/>
      <c r="C72"/>
      <c r="D72"/>
      <c r="E72"/>
    </row>
    <row r="73" spans="1:5">
      <c r="A73"/>
      <c r="B73"/>
      <c r="C73">
        <f>E63</f>
        <v>0.26137662255773808</v>
      </c>
      <c r="D73">
        <f>K63</f>
        <v>0.56825331595424833</v>
      </c>
      <c r="E73">
        <f>H63</f>
        <v>0.59727031136907038</v>
      </c>
    </row>
    <row r="74" spans="1:5">
      <c r="A74" t="s">
        <v>119</v>
      </c>
      <c r="B74"/>
      <c r="C74"/>
      <c r="D74"/>
      <c r="E74"/>
    </row>
    <row r="75" spans="1:5">
      <c r="A75"/>
      <c r="B75" t="s">
        <v>92</v>
      </c>
      <c r="C75"/>
      <c r="D75" s="54">
        <f>VALUE('disclosed1-9a'!K59)</f>
        <v>0.53090000000000004</v>
      </c>
      <c r="E75" s="54">
        <f>VALUE('disclosed1-9a'!H59)</f>
        <v>0.62219999999999998</v>
      </c>
    </row>
    <row r="76" spans="1:5">
      <c r="A76"/>
      <c r="B76" t="s">
        <v>161</v>
      </c>
      <c r="C76"/>
      <c r="D76">
        <f>1-(((59-12-1)/(59-1))*(1-D75))</f>
        <v>0.62795517241379306</v>
      </c>
      <c r="E76">
        <f>1-(((59-12-1)/(59-1))*(1-E75))</f>
        <v>0.7003655172413793</v>
      </c>
    </row>
    <row r="77" spans="1:5">
      <c r="A77"/>
      <c r="B77" t="s">
        <v>160</v>
      </c>
      <c r="C77" s="27"/>
      <c r="D77" s="27">
        <f>D76-D$73</f>
        <v>5.9701856459544733E-2</v>
      </c>
      <c r="E77" s="27">
        <f>E76-E$73</f>
        <v>0.10309520587230891</v>
      </c>
    </row>
    <row r="78" spans="1:5">
      <c r="A78"/>
      <c r="B78" t="s">
        <v>162</v>
      </c>
      <c r="C78"/>
      <c r="D78">
        <f>D77/(1-D$73)</f>
        <v>0.1382798262631664</v>
      </c>
      <c r="E78">
        <f>E77/(1-E$73)</f>
        <v>0.25599107486408246</v>
      </c>
    </row>
    <row r="79" spans="1:5">
      <c r="A79" t="s">
        <v>121</v>
      </c>
      <c r="B79"/>
      <c r="C79"/>
      <c r="D79"/>
      <c r="E79"/>
    </row>
    <row r="80" spans="1:5">
      <c r="A80"/>
      <c r="B80" s="37" t="s">
        <v>122</v>
      </c>
      <c r="C80" s="54">
        <f>VALUE('disclosed1-9a'!E67)</f>
        <v>0.20530000000000001</v>
      </c>
      <c r="D80" s="37"/>
      <c r="E80" s="54">
        <f>VALUE('disclosed1-9a'!H67)</f>
        <v>0.86870000000000003</v>
      </c>
    </row>
    <row r="81" spans="1:5">
      <c r="A81"/>
      <c r="B81" t="s">
        <v>161</v>
      </c>
      <c r="C81">
        <f>1-(((59-12-1)/(59-1))*(1-C80))</f>
        <v>0.36972068965517246</v>
      </c>
      <c r="D81"/>
      <c r="E81">
        <f>1-(((59-12-1)/(59-1))*(1-E80))</f>
        <v>0.89586551724137931</v>
      </c>
    </row>
    <row r="82" spans="1:5">
      <c r="A82"/>
      <c r="B82" t="s">
        <v>160</v>
      </c>
      <c r="C82" s="27">
        <f>C81-C$73</f>
        <v>0.10834406709743438</v>
      </c>
      <c r="D82"/>
      <c r="E82" s="27">
        <f>E81-E$73</f>
        <v>0.29859520587230892</v>
      </c>
    </row>
    <row r="83" spans="1:5">
      <c r="A83"/>
      <c r="B83" t="s">
        <v>162</v>
      </c>
      <c r="C83">
        <f>C82/(1-C$73)</f>
        <v>0.14668377742471822</v>
      </c>
      <c r="D83"/>
      <c r="E83">
        <f>E82/(1-E$73)</f>
        <v>0.74142834338182639</v>
      </c>
    </row>
    <row r="84" spans="1:5">
      <c r="A84" t="s">
        <v>120</v>
      </c>
      <c r="B84"/>
      <c r="C84"/>
      <c r="D84"/>
      <c r="E84"/>
    </row>
    <row r="85" spans="1:5">
      <c r="A85"/>
      <c r="B85" s="37" t="s">
        <v>122</v>
      </c>
      <c r="C85" s="54">
        <f>VALUE('disclosed1-9a'!E63)</f>
        <v>0.30649999999999999</v>
      </c>
      <c r="D85" s="54">
        <f>VALUE('disclosed1-9a'!K63)</f>
        <v>0.85780000000000001</v>
      </c>
      <c r="E85" s="37"/>
    </row>
    <row r="86" spans="1:5">
      <c r="A86"/>
      <c r="B86" t="s">
        <v>161</v>
      </c>
      <c r="C86">
        <f>1-(((59-12-1)/(59-1))*(1-C85))</f>
        <v>0.44998275862068959</v>
      </c>
      <c r="D86">
        <f>1-(((59-12-1)/(59-1))*(1-D85))</f>
        <v>0.88722068965517242</v>
      </c>
      <c r="E86"/>
    </row>
    <row r="87" spans="1:5">
      <c r="A87"/>
      <c r="B87" t="s">
        <v>160</v>
      </c>
      <c r="C87" s="27">
        <f>C86-C$73</f>
        <v>0.18860613606295151</v>
      </c>
      <c r="D87" s="27">
        <f>D86-D$73</f>
        <v>0.3189673737009241</v>
      </c>
      <c r="E87"/>
    </row>
    <row r="88" spans="1:5">
      <c r="A88"/>
      <c r="B88" t="s">
        <v>162</v>
      </c>
      <c r="C88">
        <f>C87/(1-C$73)</f>
        <v>0.25534818125587261</v>
      </c>
      <c r="D88">
        <f>D87/(1-D$73)</f>
        <v>0.73878360966664314</v>
      </c>
      <c r="E88"/>
    </row>
    <row r="89" spans="1:5">
      <c r="A89"/>
      <c r="B89"/>
      <c r="C89"/>
      <c r="D89"/>
      <c r="E89"/>
    </row>
    <row r="90" spans="1:5">
      <c r="A90"/>
      <c r="B90"/>
      <c r="C90"/>
      <c r="D90"/>
      <c r="E90"/>
    </row>
  </sheetData>
  <mergeCells count="3">
    <mergeCell ref="C13:E13"/>
    <mergeCell ref="F13:H13"/>
    <mergeCell ref="I13:K13"/>
  </mergeCells>
  <pageMargins left="0" right="0" top="0.39370000000000011" bottom="0.39370000000000011" header="0" footer="0"/>
  <pageSetup orientation="portrait" horizontalDpi="0" verticalDpi="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2"/>
  <sheetViews>
    <sheetView zoomScaleNormal="100" workbookViewId="0">
      <selection activeCell="A23" sqref="A23"/>
    </sheetView>
  </sheetViews>
  <sheetFormatPr baseColWidth="10" defaultColWidth="8.83203125" defaultRowHeight="15"/>
  <cols>
    <col min="1" max="1" width="32" bestFit="1" customWidth="1"/>
    <col min="2" max="5" width="26.1640625" style="1" customWidth="1"/>
  </cols>
  <sheetData>
    <row r="1" spans="1:5">
      <c r="A1" t="s">
        <v>0</v>
      </c>
    </row>
    <row r="3" spans="1:5">
      <c r="A3" t="str">
        <f>""</f>
        <v/>
      </c>
      <c r="B3" s="1" t="str">
        <f>"(1)"</f>
        <v>(1)</v>
      </c>
      <c r="C3" s="1" t="str">
        <f>"(2)"</f>
        <v>(2)</v>
      </c>
      <c r="D3" s="1" t="str">
        <f>"(3)"</f>
        <v>(3)</v>
      </c>
      <c r="E3" s="1" t="str">
        <f>"(4)"</f>
        <v>(4)</v>
      </c>
    </row>
    <row r="4" spans="1:5">
      <c r="C4" s="168" t="s">
        <v>1</v>
      </c>
      <c r="D4" s="168"/>
    </row>
    <row r="5" spans="1:5">
      <c r="A5" t="str">
        <f>""</f>
        <v/>
      </c>
      <c r="B5" s="1" t="s">
        <v>1</v>
      </c>
      <c r="C5" s="1" t="s">
        <v>2</v>
      </c>
      <c r="D5" s="1" t="s">
        <v>3</v>
      </c>
      <c r="E5" s="1" t="s">
        <v>4</v>
      </c>
    </row>
    <row r="6" spans="1:5">
      <c r="A6" t="str">
        <f>""</f>
        <v/>
      </c>
      <c r="B6" s="1" t="str">
        <f>"mean/sd"</f>
        <v>mean/sd</v>
      </c>
      <c r="C6" s="1" t="str">
        <f>"mean/sd"</f>
        <v>mean/sd</v>
      </c>
      <c r="D6" s="1" t="str">
        <f>"mean/sd"</f>
        <v>mean/sd</v>
      </c>
      <c r="E6" s="1" t="str">
        <f>"mean/sd"</f>
        <v>mean/sd</v>
      </c>
    </row>
    <row r="7" spans="1:5">
      <c r="A7" t="s">
        <v>5</v>
      </c>
      <c r="B7" s="1" t="s">
        <v>6</v>
      </c>
      <c r="C7" s="1" t="s">
        <v>7</v>
      </c>
      <c r="D7" s="1" t="s">
        <v>8</v>
      </c>
      <c r="E7" s="1" t="s">
        <v>9</v>
      </c>
    </row>
    <row r="8" spans="1:5">
      <c r="A8" t="str">
        <f>""</f>
        <v/>
      </c>
      <c r="B8" s="1" t="s">
        <v>10</v>
      </c>
      <c r="C8" s="1" t="s">
        <v>11</v>
      </c>
      <c r="D8" s="1" t="s">
        <v>12</v>
      </c>
      <c r="E8" s="1" t="s">
        <v>13</v>
      </c>
    </row>
    <row r="9" spans="1:5">
      <c r="A9" t="str">
        <f>"age"</f>
        <v>age</v>
      </c>
      <c r="B9" s="1" t="s">
        <v>14</v>
      </c>
      <c r="C9" s="1" t="s">
        <v>15</v>
      </c>
      <c r="D9" s="1" t="s">
        <v>16</v>
      </c>
      <c r="E9" s="1" t="s">
        <v>17</v>
      </c>
    </row>
    <row r="10" spans="1:5">
      <c r="A10" t="str">
        <f>""</f>
        <v/>
      </c>
      <c r="B10" s="1" t="s">
        <v>18</v>
      </c>
      <c r="C10" s="1" t="s">
        <v>19</v>
      </c>
      <c r="D10" s="1" t="s">
        <v>20</v>
      </c>
      <c r="E10" s="1" t="s">
        <v>21</v>
      </c>
    </row>
    <row r="11" spans="1:5">
      <c r="A11" t="str">
        <f>"Gender"</f>
        <v>Gender</v>
      </c>
      <c r="B11" s="1" t="s">
        <v>22</v>
      </c>
      <c r="C11" s="1" t="s">
        <v>23</v>
      </c>
      <c r="D11" s="1" t="s">
        <v>24</v>
      </c>
      <c r="E11" s="1" t="s">
        <v>25</v>
      </c>
    </row>
    <row r="12" spans="1:5">
      <c r="A12" t="str">
        <f>""</f>
        <v/>
      </c>
      <c r="B12" s="1" t="s">
        <v>26</v>
      </c>
      <c r="C12" s="1" t="s">
        <v>27</v>
      </c>
      <c r="D12" s="1" t="s">
        <v>28</v>
      </c>
      <c r="E12" s="1" t="s">
        <v>29</v>
      </c>
    </row>
    <row r="13" spans="1:5">
      <c r="A13" t="str">
        <f>"forborn"</f>
        <v>forborn</v>
      </c>
      <c r="B13" s="1" t="s">
        <v>30</v>
      </c>
      <c r="C13" s="1" t="s">
        <v>31</v>
      </c>
      <c r="D13" s="1" t="s">
        <v>32</v>
      </c>
      <c r="E13" s="1" t="s">
        <v>33</v>
      </c>
    </row>
    <row r="14" spans="1:5">
      <c r="A14" t="str">
        <f>""</f>
        <v/>
      </c>
      <c r="B14" s="1" t="s">
        <v>34</v>
      </c>
      <c r="C14" s="1" t="s">
        <v>35</v>
      </c>
      <c r="D14" s="1" t="s">
        <v>36</v>
      </c>
      <c r="E14" s="1" t="s">
        <v>37</v>
      </c>
    </row>
    <row r="15" spans="1:5">
      <c r="A15" t="str">
        <f>"hisp"</f>
        <v>hisp</v>
      </c>
      <c r="B15" s="1" t="s">
        <v>38</v>
      </c>
      <c r="C15" s="1" t="s">
        <v>39</v>
      </c>
      <c r="D15" s="1" t="s">
        <v>40</v>
      </c>
      <c r="E15" s="1" t="s">
        <v>41</v>
      </c>
    </row>
    <row r="16" spans="1:5">
      <c r="A16" t="str">
        <f>""</f>
        <v/>
      </c>
      <c r="B16" s="1" t="s">
        <v>42</v>
      </c>
      <c r="C16" s="1" t="s">
        <v>43</v>
      </c>
      <c r="D16" s="1" t="s">
        <v>44</v>
      </c>
      <c r="E16" s="1" t="s">
        <v>45</v>
      </c>
    </row>
    <row r="17" spans="1:5">
      <c r="A17" t="str">
        <f>"czcnt1"</f>
        <v>czcnt1</v>
      </c>
      <c r="B17" s="1" t="s">
        <v>46</v>
      </c>
      <c r="C17" s="1" t="s">
        <v>47</v>
      </c>
      <c r="D17" s="1" t="s">
        <v>48</v>
      </c>
      <c r="E17" s="1" t="s">
        <v>49</v>
      </c>
    </row>
    <row r="18" spans="1:5">
      <c r="A18" t="str">
        <f>""</f>
        <v/>
      </c>
      <c r="B18" s="1" t="s">
        <v>50</v>
      </c>
      <c r="C18" s="1" t="s">
        <v>51</v>
      </c>
      <c r="D18" s="1" t="s">
        <v>52</v>
      </c>
      <c r="E18" s="1" t="s">
        <v>53</v>
      </c>
    </row>
    <row r="19" spans="1:5">
      <c r="A19" t="str">
        <f>"czcnt2"</f>
        <v>czcnt2</v>
      </c>
      <c r="B19" s="1" t="s">
        <v>54</v>
      </c>
      <c r="C19" s="1" t="s">
        <v>55</v>
      </c>
      <c r="D19" s="1" t="s">
        <v>56</v>
      </c>
      <c r="E19" s="1" t="s">
        <v>57</v>
      </c>
    </row>
    <row r="20" spans="1:5">
      <c r="A20" t="str">
        <f>""</f>
        <v/>
      </c>
      <c r="B20" s="1" t="s">
        <v>58</v>
      </c>
      <c r="C20" s="1" t="s">
        <v>59</v>
      </c>
      <c r="D20" s="1" t="s">
        <v>60</v>
      </c>
      <c r="E20" s="1" t="s">
        <v>53</v>
      </c>
    </row>
    <row r="21" spans="1:5">
      <c r="A21" t="str">
        <f>"czcnt3"</f>
        <v>czcnt3</v>
      </c>
      <c r="B21" s="1" t="s">
        <v>61</v>
      </c>
      <c r="C21" s="1" t="s">
        <v>62</v>
      </c>
      <c r="D21" s="1" t="s">
        <v>63</v>
      </c>
    </row>
    <row r="22" spans="1:5">
      <c r="A22" t="str">
        <f>""</f>
        <v/>
      </c>
      <c r="B22" s="1" t="s">
        <v>64</v>
      </c>
      <c r="C22" s="1" t="s">
        <v>65</v>
      </c>
      <c r="D22" s="1" t="s">
        <v>66</v>
      </c>
    </row>
    <row r="23" spans="1:5">
      <c r="A23" t="str">
        <f>"naics4dswitch0"</f>
        <v>naics4dswitch0</v>
      </c>
      <c r="B23" s="1" t="s">
        <v>67</v>
      </c>
    </row>
    <row r="24" spans="1:5">
      <c r="A24" t="str">
        <f>""</f>
        <v/>
      </c>
      <c r="B24" s="1" t="s">
        <v>68</v>
      </c>
    </row>
    <row r="25" spans="1:5">
      <c r="A25" t="str">
        <f>"naics4dswitch1"</f>
        <v>naics4dswitch1</v>
      </c>
      <c r="B25" s="1" t="s">
        <v>69</v>
      </c>
      <c r="D25" s="1" t="s">
        <v>70</v>
      </c>
    </row>
    <row r="26" spans="1:5">
      <c r="A26" t="str">
        <f>""</f>
        <v/>
      </c>
      <c r="B26" s="1" t="s">
        <v>71</v>
      </c>
      <c r="D26" s="1" t="s">
        <v>72</v>
      </c>
    </row>
    <row r="27" spans="1:5">
      <c r="A27" t="str">
        <f>"naics4dswitch2"</f>
        <v>naics4dswitch2</v>
      </c>
      <c r="B27" s="1" t="s">
        <v>73</v>
      </c>
      <c r="D27" s="1" t="s">
        <v>74</v>
      </c>
    </row>
    <row r="28" spans="1:5">
      <c r="A28" t="str">
        <f>""</f>
        <v/>
      </c>
      <c r="B28" s="1" t="s">
        <v>75</v>
      </c>
      <c r="D28" s="1" t="s">
        <v>72</v>
      </c>
    </row>
    <row r="29" spans="1:5">
      <c r="A29" t="str">
        <f>"qobserved"</f>
        <v>qobserved</v>
      </c>
      <c r="B29" s="1" t="s">
        <v>76</v>
      </c>
      <c r="C29" s="1" t="s">
        <v>77</v>
      </c>
      <c r="D29" s="1" t="s">
        <v>78</v>
      </c>
      <c r="E29" s="1" t="s">
        <v>79</v>
      </c>
    </row>
    <row r="30" spans="1:5">
      <c r="A30" t="str">
        <f>""</f>
        <v/>
      </c>
      <c r="B30" s="1" t="s">
        <v>80</v>
      </c>
      <c r="C30" s="1" t="s">
        <v>81</v>
      </c>
      <c r="D30" s="1" t="s">
        <v>82</v>
      </c>
      <c r="E30" s="1" t="s">
        <v>83</v>
      </c>
    </row>
    <row r="31" spans="1:5">
      <c r="A31" t="str">
        <f>"Observations"</f>
        <v>Observations</v>
      </c>
      <c r="B31" s="2">
        <v>2505000000</v>
      </c>
      <c r="C31" s="2">
        <v>1544000000</v>
      </c>
      <c r="D31" s="2">
        <v>960400000</v>
      </c>
      <c r="E31" s="2">
        <v>87390000</v>
      </c>
    </row>
    <row r="32" spans="1:5">
      <c r="A32" t="str">
        <f>"Unique PIKs"</f>
        <v>Unique PIKs</v>
      </c>
      <c r="B32" s="2">
        <v>111700000</v>
      </c>
      <c r="C32" s="2">
        <v>65670000</v>
      </c>
      <c r="D32" s="2">
        <v>46050000</v>
      </c>
      <c r="E32" s="2">
        <v>8736000</v>
      </c>
    </row>
  </sheetData>
  <mergeCells count="1">
    <mergeCell ref="C4:D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4"/>
  <sheetViews>
    <sheetView zoomScale="86" zoomScaleNormal="86" workbookViewId="0">
      <selection activeCell="B12" sqref="B12:G12"/>
    </sheetView>
  </sheetViews>
  <sheetFormatPr baseColWidth="10" defaultColWidth="8.83203125" defaultRowHeight="15"/>
  <cols>
    <col min="1" max="1" width="35" customWidth="1"/>
  </cols>
  <sheetData>
    <row r="1" spans="1:8">
      <c r="A1" t="str">
        <f>"Ouput 5: Regressions coefficients of psi_j on industry effects from alternative specifications"</f>
        <v>Ouput 5: Regressions coefficients of psi_j on industry effects from alternative specifications</v>
      </c>
      <c r="B1" s="1"/>
      <c r="C1" s="1"/>
      <c r="D1" s="1"/>
      <c r="E1" s="1"/>
      <c r="F1" s="1"/>
      <c r="G1" s="1"/>
      <c r="H1" s="1"/>
    </row>
    <row r="2" spans="1:8">
      <c r="B2" s="1"/>
      <c r="C2" s="1"/>
      <c r="D2" s="1"/>
      <c r="E2" s="1"/>
      <c r="F2" s="1"/>
      <c r="G2" s="1"/>
      <c r="H2" s="1"/>
    </row>
    <row r="3" spans="1:8">
      <c r="A3" s="1" t="str">
        <f>""</f>
        <v/>
      </c>
      <c r="B3" s="1" t="str">
        <f>"(1)"</f>
        <v>(1)</v>
      </c>
      <c r="C3" s="1" t="str">
        <f>"(2)"</f>
        <v>(2)</v>
      </c>
      <c r="D3" s="1" t="str">
        <f>"(3)"</f>
        <v>(3)</v>
      </c>
      <c r="E3" s="1" t="str">
        <f>"(4)"</f>
        <v>(4)</v>
      </c>
      <c r="F3" s="1" t="str">
        <f>"(5)"</f>
        <v>(5)</v>
      </c>
      <c r="G3" s="1" t="str">
        <f>"(6)"</f>
        <v>(6)</v>
      </c>
      <c r="H3" s="1"/>
    </row>
    <row r="4" spans="1:8">
      <c r="A4" s="1" t="str">
        <f>""</f>
        <v/>
      </c>
      <c r="B4" s="1" t="str">
        <f>"M1"</f>
        <v>M1</v>
      </c>
      <c r="C4" s="1" t="str">
        <f>"M2"</f>
        <v>M2</v>
      </c>
      <c r="D4" s="1" t="str">
        <f>"M4"</f>
        <v>M4</v>
      </c>
      <c r="E4" s="1" t="str">
        <f>"M6"</f>
        <v>M6</v>
      </c>
      <c r="F4" s="1" t="str">
        <f>"M7"</f>
        <v>M7</v>
      </c>
      <c r="G4" s="1" t="str">
        <f>"M8"</f>
        <v>M8</v>
      </c>
    </row>
    <row r="5" spans="1:8">
      <c r="A5" s="3"/>
      <c r="B5" s="1"/>
      <c r="C5" s="1"/>
      <c r="D5" s="1"/>
      <c r="E5" s="1"/>
      <c r="F5" s="1"/>
      <c r="G5" s="1"/>
    </row>
    <row r="6" spans="1:8">
      <c r="A6" s="3" t="s">
        <v>91</v>
      </c>
      <c r="B6" s="1" t="str">
        <f>"1.862***"</f>
        <v>1.862***</v>
      </c>
      <c r="C6" s="1" t="str">
        <f>"1.627***"</f>
        <v>1.627***</v>
      </c>
      <c r="D6" s="1" t="str">
        <f>"1.609***"</f>
        <v>1.609***</v>
      </c>
      <c r="E6" s="1" t="str">
        <f>"0.621***"</f>
        <v>0.621***</v>
      </c>
      <c r="F6" s="1" t="str">
        <f>"0.618***"</f>
        <v>0.618***</v>
      </c>
      <c r="G6" s="1" t="str">
        <f>"0.658***"</f>
        <v>0.658***</v>
      </c>
    </row>
    <row r="7" spans="1:8">
      <c r="A7" s="3" t="str">
        <f>""</f>
        <v/>
      </c>
      <c r="B7" s="1" t="str">
        <f>"(0.115)"</f>
        <v>(0.115)</v>
      </c>
      <c r="C7" s="1" t="str">
        <f>"(0.127)"</f>
        <v>(0.127)</v>
      </c>
      <c r="D7" s="1" t="str">
        <f>"(0.116)"</f>
        <v>(0.116)</v>
      </c>
      <c r="E7" s="1" t="str">
        <f>"(0.0194)"</f>
        <v>(0.0194)</v>
      </c>
      <c r="F7" s="1" t="str">
        <f>"(0.0200)"</f>
        <v>(0.0200)</v>
      </c>
      <c r="G7" s="1" t="str">
        <f>"(0.0147)"</f>
        <v>(0.0147)</v>
      </c>
    </row>
    <row r="8" spans="1:8">
      <c r="A8" s="3"/>
      <c r="B8" s="1"/>
      <c r="C8" s="1"/>
      <c r="D8" s="1"/>
      <c r="E8" s="1"/>
      <c r="F8" s="1"/>
      <c r="G8" s="1"/>
    </row>
    <row r="9" spans="1:8">
      <c r="A9" s="3" t="str">
        <f>"Number of observations (industries)"</f>
        <v>Number of observations (industries)</v>
      </c>
      <c r="B9" s="168" t="str">
        <f>"300"</f>
        <v>300</v>
      </c>
      <c r="C9" s="168"/>
      <c r="D9" s="168"/>
      <c r="E9" s="168"/>
      <c r="F9" s="168"/>
      <c r="G9" s="168"/>
    </row>
    <row r="10" spans="1:8">
      <c r="A10" s="3" t="s">
        <v>92</v>
      </c>
      <c r="B10" s="1" t="str">
        <f>"0.707"</f>
        <v>0.707</v>
      </c>
      <c r="C10" s="1" t="str">
        <f>"0.614"</f>
        <v>0.614</v>
      </c>
      <c r="D10" s="1" t="str">
        <f>"0.672"</f>
        <v>0.672</v>
      </c>
      <c r="E10" s="1" t="str">
        <f>"0.929"</f>
        <v>0.929</v>
      </c>
      <c r="F10" s="1" t="str">
        <f>"0.924"</f>
        <v>0.924</v>
      </c>
      <c r="G10" s="1" t="str">
        <f>"0.954"</f>
        <v>0.954</v>
      </c>
    </row>
    <row r="11" spans="1:8">
      <c r="A11" s="3" t="s">
        <v>93</v>
      </c>
      <c r="B11" s="1" t="str">
        <f>"0.271"</f>
        <v>0.271</v>
      </c>
      <c r="C11" s="1" t="str">
        <f>"0.254"</f>
        <v>0.254</v>
      </c>
      <c r="D11" s="1" t="str">
        <f>"0.240"</f>
        <v>0.240</v>
      </c>
      <c r="E11" s="1" t="str">
        <f>"0.0788"</f>
        <v>0.0788</v>
      </c>
      <c r="F11" s="1" t="str">
        <f>"0.0787"</f>
        <v>0.0787</v>
      </c>
      <c r="G11" s="1" t="str">
        <f>"0.0824"</f>
        <v>0.0824</v>
      </c>
    </row>
    <row r="12" spans="1:8">
      <c r="A12" s="3" t="s">
        <v>94</v>
      </c>
      <c r="B12" s="168" t="str">
        <f>"0.122"</f>
        <v>0.122</v>
      </c>
      <c r="C12" s="168"/>
      <c r="D12" s="168"/>
      <c r="E12" s="168"/>
      <c r="F12" s="168"/>
      <c r="G12" s="168"/>
    </row>
    <row r="13" spans="1:8">
      <c r="B13" s="1"/>
      <c r="C13" s="1"/>
      <c r="D13" s="1"/>
      <c r="E13" s="1"/>
      <c r="F13" s="1"/>
      <c r="G13" s="1"/>
      <c r="H13" s="1"/>
    </row>
    <row r="14" spans="1:8">
      <c r="B14" s="1"/>
      <c r="C14" s="1"/>
      <c r="D14" s="1"/>
      <c r="E14" s="1"/>
      <c r="F14" s="1"/>
      <c r="G14" s="1"/>
      <c r="H14" s="1"/>
    </row>
  </sheetData>
  <mergeCells count="2">
    <mergeCell ref="B9:G9"/>
    <mergeCell ref="B12:G12"/>
  </mergeCells>
  <pageMargins left="0.7" right="0.7" top="0.75" bottom="0.75" header="0.51180555555555496" footer="0.51180555555555496"/>
  <pageSetup firstPageNumber="0"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72"/>
  <sheetViews>
    <sheetView workbookViewId="0">
      <selection activeCell="K57" sqref="K57"/>
    </sheetView>
  </sheetViews>
  <sheetFormatPr baseColWidth="10" defaultColWidth="10.83203125" defaultRowHeight="16"/>
  <cols>
    <col min="1" max="1" width="25.5" style="7" customWidth="1"/>
    <col min="2" max="1024" width="14.33203125" style="7" customWidth="1"/>
    <col min="1025" max="16384" width="10.83203125" style="7"/>
  </cols>
  <sheetData>
    <row r="1" spans="1:11">
      <c r="A1" s="7" t="str">
        <f>"Output 9a - Bivariate Regressions, Top59 100%"</f>
        <v>Output 9a - Bivariate Regressions, Top59 100%</v>
      </c>
    </row>
    <row r="2" spans="1:11" s="8" customFormat="1">
      <c r="A2" s="8" t="str">
        <f>""</f>
        <v/>
      </c>
      <c r="B2" s="8" t="str">
        <f>"(1)"</f>
        <v>(1)</v>
      </c>
      <c r="C2" s="8" t="str">
        <f>"(2)"</f>
        <v>(2)</v>
      </c>
      <c r="D2" s="8" t="str">
        <f>"(3)"</f>
        <v>(3)</v>
      </c>
      <c r="E2" s="8" t="str">
        <f>"(4)"</f>
        <v>(4)</v>
      </c>
      <c r="F2" s="8" t="str">
        <f>"(5)"</f>
        <v>(5)</v>
      </c>
      <c r="G2" s="8" t="str">
        <f>"(6)"</f>
        <v>(6)</v>
      </c>
      <c r="H2" s="8" t="str">
        <f>"(7)"</f>
        <v>(7)</v>
      </c>
      <c r="I2" s="8" t="str">
        <f>"(8)"</f>
        <v>(8)</v>
      </c>
      <c r="J2" s="8" t="str">
        <f>"(9)"</f>
        <v>(9)</v>
      </c>
      <c r="K2" s="8" t="str">
        <f>"(10)"</f>
        <v>(10)</v>
      </c>
    </row>
    <row r="3" spans="1:11">
      <c r="A3" s="7" t="str">
        <f>""</f>
        <v/>
      </c>
      <c r="B3" s="7" t="s">
        <v>118</v>
      </c>
      <c r="C3" s="169" t="s">
        <v>117</v>
      </c>
      <c r="D3" s="169"/>
      <c r="E3" s="169"/>
      <c r="F3" s="169" t="s">
        <v>116</v>
      </c>
      <c r="G3" s="169"/>
      <c r="H3" s="169"/>
      <c r="I3" s="169" t="s">
        <v>115</v>
      </c>
      <c r="J3" s="169"/>
      <c r="K3" s="169"/>
    </row>
    <row r="5" spans="1:11">
      <c r="A5" s="7" t="str">
        <f>"alpha_c"</f>
        <v>alpha_c</v>
      </c>
      <c r="B5" s="7" t="str">
        <f>"9.456"</f>
        <v>9.456</v>
      </c>
      <c r="C5" s="7" t="str">
        <f>"-.0782"</f>
        <v>-.0782</v>
      </c>
      <c r="D5" s="7" t="str">
        <f>".2601"</f>
        <v>.2601</v>
      </c>
      <c r="E5" s="7" t="str">
        <f>".199"</f>
        <v>.199</v>
      </c>
      <c r="F5" s="7" t="str">
        <f>".8869***"</f>
        <v>.8869***</v>
      </c>
      <c r="G5" s="7" t="str">
        <f>".7457***"</f>
        <v>.7457***</v>
      </c>
      <c r="H5" s="7" t="str">
        <f>".7971***"</f>
        <v>.7971***</v>
      </c>
      <c r="I5" s="7" t="str">
        <f>".649***"</f>
        <v>.649***</v>
      </c>
      <c r="J5" s="7" t="str">
        <f>".6358***"</f>
        <v>.6358***</v>
      </c>
      <c r="K5" s="7" t="str">
        <f>".662***"</f>
        <v>.662***</v>
      </c>
    </row>
    <row r="6" spans="1:11">
      <c r="A6" s="7" t="str">
        <f>""</f>
        <v/>
      </c>
      <c r="B6" s="7" t="str">
        <f>".1319"</f>
        <v>.1319</v>
      </c>
      <c r="C6" s="7" t="str">
        <f>"(.1004)"</f>
        <v>(.1004)</v>
      </c>
      <c r="D6" s="7" t="str">
        <f>"(.2211)"</f>
        <v>(.2211)</v>
      </c>
      <c r="E6" s="7" t="str">
        <f>"(.2203)"</f>
        <v>(.2203)</v>
      </c>
      <c r="F6" s="7" t="str">
        <f>"(.106)"</f>
        <v>(.106)</v>
      </c>
      <c r="G6" s="7" t="str">
        <f>"(.1694)"</f>
        <v>(.1694)</v>
      </c>
      <c r="H6" s="7" t="str">
        <f>"(.1414)"</f>
        <v>(.1414)</v>
      </c>
      <c r="I6" s="7" t="str">
        <f>"(.04955)"</f>
        <v>(.04955)</v>
      </c>
      <c r="J6" s="7" t="str">
        <f>"(.05925)"</f>
        <v>(.05925)</v>
      </c>
      <c r="K6" s="7" t="str">
        <f>"(.07046)"</f>
        <v>(.07046)</v>
      </c>
    </row>
    <row r="7" spans="1:11">
      <c r="C7" s="7" t="str">
        <f>"-.001383"</f>
        <v>-.001383</v>
      </c>
      <c r="D7" s="7" t="str">
        <f>".09885"</f>
        <v>.09885</v>
      </c>
      <c r="E7" s="7" t="str">
        <f>".1101"</f>
        <v>.1101</v>
      </c>
      <c r="F7" s="7" t="str">
        <f>".7564"</f>
        <v>.7564</v>
      </c>
      <c r="G7" s="7" t="str">
        <f>".7659"</f>
        <v>.7659</v>
      </c>
      <c r="H7" s="7" t="str">
        <f>".771"</f>
        <v>.771</v>
      </c>
      <c r="I7" s="7" t="str">
        <f>".7742"</f>
        <v>.7742</v>
      </c>
      <c r="J7" s="7" t="str">
        <f>".8202"</f>
        <v>.8202</v>
      </c>
      <c r="K7" s="7" t="str">
        <f>".8177"</f>
        <v>.8177</v>
      </c>
    </row>
    <row r="8" spans="1:11">
      <c r="C8" s="7" t="str">
        <f>".08189"</f>
        <v>.08189</v>
      </c>
      <c r="D8" s="7" t="str">
        <f>".07768"</f>
        <v>.07768</v>
      </c>
      <c r="E8" s="7" t="str">
        <f>".0772"</f>
        <v>.0772</v>
      </c>
      <c r="F8" s="7" t="str">
        <f>".06619"</f>
        <v>.06619</v>
      </c>
      <c r="G8" s="7" t="str">
        <f>".06489"</f>
        <v>.06489</v>
      </c>
      <c r="H8" s="7" t="str">
        <f>".06418"</f>
        <v>.06418</v>
      </c>
      <c r="I8" s="7" t="str">
        <f>".04611"</f>
        <v>.04611</v>
      </c>
      <c r="J8" s="7" t="str">
        <f>".04114"</f>
        <v>.04114</v>
      </c>
      <c r="K8" s="7" t="str">
        <f>".04142"</f>
        <v>.04142</v>
      </c>
    </row>
    <row r="9" spans="1:11">
      <c r="A9" s="7" t="str">
        <f>"alt_cz_eff"</f>
        <v>alt_cz_eff</v>
      </c>
      <c r="B9" s="7" t="str">
        <f>"-7.94e-11"</f>
        <v>-7.94e-11</v>
      </c>
      <c r="C9" s="7" t="str">
        <f>".9378***"</f>
        <v>.9378***</v>
      </c>
      <c r="D9" s="7" t="str">
        <f>"1.66***"</f>
        <v>1.66***</v>
      </c>
      <c r="E9" s="7" t="str">
        <f>"2.039***"</f>
        <v>2.039***</v>
      </c>
      <c r="F9" s="7" t="str">
        <f>"1.664***"</f>
        <v>1.664***</v>
      </c>
      <c r="G9" s="7" t="str">
        <f>".9506***"</f>
        <v>.9506***</v>
      </c>
      <c r="H9" s="7" t="str">
        <f>"1.272***"</f>
        <v>1.272***</v>
      </c>
      <c r="I9" s="7" t="str">
        <f>"1.126***"</f>
        <v>1.126***</v>
      </c>
      <c r="J9" s="7" t="str">
        <f>".7613***"</f>
        <v>.7613***</v>
      </c>
      <c r="K9" s="7" t="str">
        <f>".8838**"</f>
        <v>.8838**</v>
      </c>
    </row>
    <row r="10" spans="1:11">
      <c r="A10" s="7" t="str">
        <f>""</f>
        <v/>
      </c>
      <c r="B10" s="7" t="str">
        <f>".04096"</f>
        <v>.04096</v>
      </c>
      <c r="C10" s="7" t="str">
        <f>"(.2566)"</f>
        <v>(.2566)</v>
      </c>
      <c r="D10" s="7" t="str">
        <f>"(.1729)"</f>
        <v>(.1729)</v>
      </c>
      <c r="E10" s="7" t="str">
        <f>"(.2573)"</f>
        <v>(.2573)</v>
      </c>
      <c r="F10" s="7" t="str">
        <f>"(.3782)"</f>
        <v>(.3782)</v>
      </c>
      <c r="G10" s="7" t="str">
        <f>"(.2937)"</f>
        <v>(.2937)</v>
      </c>
      <c r="H10" s="7" t="str">
        <f>"(.4239)"</f>
        <v>(.4239)</v>
      </c>
      <c r="I10" s="7" t="str">
        <f>"(.2802)"</f>
        <v>(.2802)</v>
      </c>
      <c r="J10" s="7" t="str">
        <f>"(.2439)"</f>
        <v>(.2439)</v>
      </c>
      <c r="K10" s="7" t="str">
        <f>"(.4125)"</f>
        <v>(.4125)</v>
      </c>
    </row>
    <row r="11" spans="1:11">
      <c r="C11" s="7" t="str">
        <f>".2067"</f>
        <v>.2067</v>
      </c>
      <c r="D11" s="7" t="str">
        <f>".5996"</f>
        <v>.5996</v>
      </c>
      <c r="E11" s="7" t="str">
        <f>".6674"</f>
        <v>.6674</v>
      </c>
      <c r="F11" s="7" t="str">
        <f>".2451"</f>
        <v>.2451</v>
      </c>
      <c r="G11" s="7" t="str">
        <f>".5735"</f>
        <v>.5735</v>
      </c>
      <c r="H11" s="7" t="str">
        <f>".577"</f>
        <v>.577</v>
      </c>
      <c r="I11" s="7" t="str">
        <f>".2124"</f>
        <v>.2124</v>
      </c>
      <c r="J11" s="7" t="str">
        <f>".5412"</f>
        <v>.5412</v>
      </c>
      <c r="K11" s="7" t="str">
        <f>".5276"</f>
        <v>.5276</v>
      </c>
    </row>
    <row r="12" spans="1:11">
      <c r="C12" s="7" t="str">
        <f>".07289"</f>
        <v>.07289</v>
      </c>
      <c r="D12" s="7" t="str">
        <f>".05178"</f>
        <v>.05178</v>
      </c>
      <c r="E12" s="7" t="str">
        <f>".0472"</f>
        <v>.0472</v>
      </c>
      <c r="F12" s="7" t="str">
        <f>".1165"</f>
        <v>.1165</v>
      </c>
      <c r="G12" s="7" t="str">
        <f>".08759"</f>
        <v>.08759</v>
      </c>
      <c r="H12" s="7" t="str">
        <f>".08722"</f>
        <v>.08722</v>
      </c>
      <c r="I12" s="7" t="str">
        <f>".08611"</f>
        <v>.08611</v>
      </c>
      <c r="J12" s="7" t="str">
        <f>".06572"</f>
        <v>.06572</v>
      </c>
      <c r="K12" s="7" t="str">
        <f>".06668"</f>
        <v>.06668</v>
      </c>
    </row>
    <row r="13" spans="1:11">
      <c r="A13" s="7" t="str">
        <f>"s_alpha_q1q5"</f>
        <v>s_alpha_q1q5</v>
      </c>
      <c r="B13" s="7" t="str">
        <f>".3994"</f>
        <v>.3994</v>
      </c>
      <c r="C13" s="7" t="str">
        <f>".1587"</f>
        <v>.1587</v>
      </c>
      <c r="D13" s="7" t="str">
        <f>".7098"</f>
        <v>.7098</v>
      </c>
      <c r="E13" s="7" t="str">
        <f>".5773"</f>
        <v>.5773</v>
      </c>
      <c r="F13" s="7" t="str">
        <f>"2.774***"</f>
        <v>2.774***</v>
      </c>
      <c r="G13" s="7" t="str">
        <f>"1.897***"</f>
        <v>1.897***</v>
      </c>
      <c r="H13" s="7" t="str">
        <f>"1.988***"</f>
        <v>1.988***</v>
      </c>
      <c r="I13" s="7" t="str">
        <f>"2.376***"</f>
        <v>2.376***</v>
      </c>
      <c r="J13" s="7" t="str">
        <f>"1.874***"</f>
        <v>1.874***</v>
      </c>
      <c r="K13" s="7" t="str">
        <f>"1.967***"</f>
        <v>1.967***</v>
      </c>
    </row>
    <row r="14" spans="1:11">
      <c r="A14" s="7" t="str">
        <f>""</f>
        <v/>
      </c>
      <c r="B14" s="7" t="str">
        <f>".03059"</f>
        <v>.03059</v>
      </c>
      <c r="C14" s="7" t="str">
        <f>"(.4786)"</f>
        <v>(.4786)</v>
      </c>
      <c r="D14" s="7" t="str">
        <f>"(.6329)"</f>
        <v>(.6329)</v>
      </c>
      <c r="E14" s="7" t="str">
        <f>"(.6396)"</f>
        <v>(.6396)</v>
      </c>
      <c r="F14" s="7" t="str">
        <f>"(.3319)"</f>
        <v>(.3319)</v>
      </c>
      <c r="G14" s="7" t="str">
        <f>"(.397)"</f>
        <v>(.397)</v>
      </c>
      <c r="H14" s="7" t="str">
        <f>"(.3943)"</f>
        <v>(.3943)</v>
      </c>
      <c r="I14" s="7" t="str">
        <f>"(.1995)"</f>
        <v>(.1995)</v>
      </c>
      <c r="J14" s="7" t="str">
        <f>"(.1852)"</f>
        <v>(.1852)</v>
      </c>
      <c r="K14" s="7" t="str">
        <f>"(.2481)"</f>
        <v>(.2481)</v>
      </c>
    </row>
    <row r="15" spans="1:11">
      <c r="C15" s="7" t="str">
        <f>"-.01396"</f>
        <v>-.01396</v>
      </c>
      <c r="D15" s="7" t="str">
        <f>".06943"</f>
        <v>.06943</v>
      </c>
      <c r="E15" s="7" t="str">
        <f>".09661"</f>
        <v>.09661</v>
      </c>
      <c r="F15" s="7" t="str">
        <f>".3898"</f>
        <v>.3898</v>
      </c>
      <c r="G15" s="7" t="str">
        <f>".6532"</f>
        <v>.6532</v>
      </c>
      <c r="H15" s="7" t="str">
        <f>".638"</f>
        <v>.638</v>
      </c>
      <c r="I15" s="7" t="str">
        <f>".5536"</f>
        <v>.5536</v>
      </c>
      <c r="J15" s="7" t="str">
        <f>".7354"</f>
        <v>.7354</v>
      </c>
      <c r="K15" s="7" t="str">
        <f>".7245"</f>
        <v>.7245</v>
      </c>
    </row>
    <row r="16" spans="1:11">
      <c r="C16" s="7" t="str">
        <f>".0824"</f>
        <v>.0824</v>
      </c>
      <c r="D16" s="7" t="str">
        <f>".07894"</f>
        <v>.07894</v>
      </c>
      <c r="E16" s="7" t="str">
        <f>".07778"</f>
        <v>.07778</v>
      </c>
      <c r="F16" s="7" t="str">
        <f>".1048"</f>
        <v>.1048</v>
      </c>
      <c r="G16" s="7" t="str">
        <f>".07898"</f>
        <v>.07898</v>
      </c>
      <c r="H16" s="7" t="str">
        <f>".08069"</f>
        <v>.08069</v>
      </c>
      <c r="I16" s="7" t="str">
        <f>".06482"</f>
        <v>.06482</v>
      </c>
      <c r="J16" s="7" t="str">
        <f>".04991"</f>
        <v>.04991</v>
      </c>
      <c r="K16" s="7" t="str">
        <f>".05092"</f>
        <v>.05092</v>
      </c>
    </row>
    <row r="17" spans="1:11">
      <c r="A17" s="7" t="str">
        <f>"psi_c"</f>
        <v>psi_c</v>
      </c>
      <c r="B17" s="7" t="str">
        <f>".2356"</f>
        <v>.2356</v>
      </c>
      <c r="C17" s="7" t="str">
        <f>"1.004***"</f>
        <v>1.004***</v>
      </c>
      <c r="D17" s="7" t="str">
        <f>"1.647***"</f>
        <v>1.647***</v>
      </c>
      <c r="E17" s="7" t="str">
        <f>"1.861***"</f>
        <v>1.861***</v>
      </c>
      <c r="F17" s="7" t="str">
        <f>"1.742***"</f>
        <v>1.742***</v>
      </c>
      <c r="G17" s="7" t="str">
        <f>"1.113***"</f>
        <v>1.113***</v>
      </c>
      <c r="H17" s="7" t="str">
        <f>"1.401***"</f>
        <v>1.401***</v>
      </c>
      <c r="I17" s="7" t="str">
        <f>"1.141***"</f>
        <v>1.141***</v>
      </c>
      <c r="J17" s="7" t="str">
        <f>".7909***"</f>
        <v>.7909***</v>
      </c>
      <c r="K17" s="7" t="str">
        <f>".8843**"</f>
        <v>.8843**</v>
      </c>
    </row>
    <row r="18" spans="1:11">
      <c r="A18" s="7" t="str">
        <f>""</f>
        <v/>
      </c>
      <c r="B18" s="7" t="str">
        <f>".04349"</f>
        <v>.04349</v>
      </c>
      <c r="C18" s="7" t="str">
        <f>"(.2477)"</f>
        <v>(.2477)</v>
      </c>
      <c r="D18" s="7" t="str">
        <f>"(.1554)"</f>
        <v>(.1554)</v>
      </c>
      <c r="E18" s="7" t="str">
        <f>"(.2175)"</f>
        <v>(.2175)</v>
      </c>
      <c r="F18" s="7" t="str">
        <f>"(.3313)"</f>
        <v>(.3313)</v>
      </c>
      <c r="G18" s="7" t="str">
        <f>"(.2672)"</f>
        <v>(.2672)</v>
      </c>
      <c r="H18" s="7" t="str">
        <f>"(.3538)"</f>
        <v>(.3538)</v>
      </c>
      <c r="I18" s="7" t="str">
        <f>"(.2354)"</f>
        <v>(.2354)</v>
      </c>
      <c r="J18" s="7" t="str">
        <f>"(.2199)"</f>
        <v>(.2199)</v>
      </c>
      <c r="K18" s="7" t="str">
        <f>"(.355)"</f>
        <v>(.355)</v>
      </c>
    </row>
    <row r="19" spans="1:11">
      <c r="C19" s="7" t="str">
        <f>".2721"</f>
        <v>.2721</v>
      </c>
      <c r="D19" s="7" t="str">
        <f>".6969"</f>
        <v>.6969</v>
      </c>
      <c r="E19" s="7" t="str">
        <f>".7407"</f>
        <v>.7407</v>
      </c>
      <c r="F19" s="7" t="str">
        <f>".3072"</f>
        <v>.3072</v>
      </c>
      <c r="G19" s="7" t="str">
        <f>".6181"</f>
        <v>.6181</v>
      </c>
      <c r="H19" s="7" t="str">
        <f>".6326"</f>
        <v>.6326</v>
      </c>
      <c r="I19" s="7" t="str">
        <f>".2485"</f>
        <v>.2485</v>
      </c>
      <c r="J19" s="7" t="str">
        <f>".5656"</f>
        <v>.5656</v>
      </c>
      <c r="K19" s="7" t="str">
        <f>".5558"</f>
        <v>.5558</v>
      </c>
    </row>
    <row r="20" spans="1:11">
      <c r="C20" s="7" t="str">
        <f>".06982"</f>
        <v>.06982</v>
      </c>
      <c r="D20" s="7" t="str">
        <f>".04506"</f>
        <v>.04506</v>
      </c>
      <c r="E20" s="7" t="str">
        <f>".04167"</f>
        <v>.04167</v>
      </c>
      <c r="F20" s="7" t="str">
        <f>".1116"</f>
        <v>.1116</v>
      </c>
      <c r="G20" s="7" t="str">
        <f>".08287"</f>
        <v>.08287</v>
      </c>
      <c r="H20" s="7" t="str">
        <f>".08129"</f>
        <v>.08129</v>
      </c>
      <c r="I20" s="7" t="str">
        <f>".08411"</f>
        <v>.08411</v>
      </c>
      <c r="J20" s="7" t="str">
        <f>".06395"</f>
        <v>.06395</v>
      </c>
      <c r="K20" s="7" t="str">
        <f>".06467"</f>
        <v>.06467</v>
      </c>
    </row>
    <row r="21" spans="1:11">
      <c r="A21" s="7" t="str">
        <f>"Ealpha_c"</f>
        <v>Ealpha_c</v>
      </c>
      <c r="B21" s="7" t="str">
        <f>"9.456"</f>
        <v>9.456</v>
      </c>
      <c r="C21" s="7" t="str">
        <f>"-.26"</f>
        <v>-.26</v>
      </c>
      <c r="D21" s="7" t="str">
        <f>"1.304**"</f>
        <v>1.304**</v>
      </c>
      <c r="E21" s="7" t="str">
        <f>"1.354***"</f>
        <v>1.354***</v>
      </c>
      <c r="F21" s="7" t="str">
        <f>"3.864***"</f>
        <v>3.864***</v>
      </c>
      <c r="G21" s="7" t="str">
        <f>"3.348***"</f>
        <v>3.348***</v>
      </c>
      <c r="H21" s="7" t="str">
        <f>"3.393***"</f>
        <v>3.393***</v>
      </c>
      <c r="I21" s="7" t="str">
        <f>"2.675***"</f>
        <v>2.675***</v>
      </c>
      <c r="J21" s="7" t="str">
        <f>"2.342***"</f>
        <v>2.342***</v>
      </c>
      <c r="K21" s="7" t="str">
        <f>"2.36***"</f>
        <v>2.36***</v>
      </c>
    </row>
    <row r="22" spans="1:11">
      <c r="A22" s="7" t="str">
        <f>""</f>
        <v/>
      </c>
      <c r="B22" s="7" t="str">
        <f>".03052"</f>
        <v>.03052</v>
      </c>
      <c r="C22" s="7" t="str">
        <f>"(.3726)"</f>
        <v>(.3726)</v>
      </c>
      <c r="D22" s="7" t="str">
        <f>"(.5451)"</f>
        <v>(.5451)</v>
      </c>
      <c r="E22" s="7" t="str">
        <f>"(.4808)"</f>
        <v>(.4808)</v>
      </c>
      <c r="F22" s="7" t="str">
        <f>"(.3076)"</f>
        <v>(.3076)</v>
      </c>
      <c r="G22" s="7" t="str">
        <f>"(.4844)"</f>
        <v>(.4844)</v>
      </c>
      <c r="H22" s="7" t="str">
        <f>"(.4288)"</f>
        <v>(.4288)</v>
      </c>
      <c r="I22" s="7" t="str">
        <f>"(.2472)"</f>
        <v>(.2472)</v>
      </c>
      <c r="J22" s="7" t="str">
        <f>"(.4473)"</f>
        <v>(.4473)</v>
      </c>
      <c r="K22" s="7" t="str">
        <f>"(.385)"</f>
        <v>(.385)</v>
      </c>
    </row>
    <row r="23" spans="1:11">
      <c r="C23" s="7" t="str">
        <f>"-.007974"</f>
        <v>-.007974</v>
      </c>
      <c r="D23" s="7" t="str">
        <f>".1265"</f>
        <v>.1265</v>
      </c>
      <c r="E23" s="7" t="str">
        <f>".1886"</f>
        <v>.1886</v>
      </c>
      <c r="F23" s="7" t="str">
        <f>".7695"</f>
        <v>.7695</v>
      </c>
      <c r="G23" s="7" t="str">
        <f>".7815"</f>
        <v>.7815</v>
      </c>
      <c r="H23" s="7" t="str">
        <f>".7832"</f>
        <v>.7832</v>
      </c>
      <c r="I23" s="7" t="str">
        <f>".7031"</f>
        <v>.7031</v>
      </c>
      <c r="J23" s="7" t="str">
        <f>".7149"</f>
        <v>.7149</v>
      </c>
      <c r="K23" s="7" t="str">
        <f>".7184"</f>
        <v>.7184</v>
      </c>
    </row>
    <row r="24" spans="1:11">
      <c r="C24" s="7" t="str">
        <f>".08216"</f>
        <v>.08216</v>
      </c>
      <c r="D24" s="7" t="str">
        <f>".07648"</f>
        <v>.07648</v>
      </c>
      <c r="E24" s="7" t="str">
        <f>".07371"</f>
        <v>.07371</v>
      </c>
      <c r="F24" s="7" t="str">
        <f>".06439"</f>
        <v>.06439</v>
      </c>
      <c r="G24" s="7" t="str">
        <f>".06269"</f>
        <v>.06269</v>
      </c>
      <c r="H24" s="7" t="str">
        <f>".06244"</f>
        <v>.06244</v>
      </c>
      <c r="I24" s="7" t="str">
        <f>".05287"</f>
        <v>.05287</v>
      </c>
      <c r="J24" s="7" t="str">
        <f>".05181"</f>
        <v>.05181</v>
      </c>
      <c r="K24" s="7" t="str">
        <f>".05149"</f>
        <v>.05149</v>
      </c>
    </row>
    <row r="25" spans="1:11">
      <c r="A25" s="7" t="str">
        <f>"Es_alpha_q1q5"</f>
        <v>Es_alpha_q1q5</v>
      </c>
      <c r="B25" s="7" t="str">
        <f>".3872"</f>
        <v>.3872</v>
      </c>
      <c r="C25" s="7" t="str">
        <f>"-1.443"</f>
        <v>-1.443</v>
      </c>
      <c r="D25" s="7" t="str">
        <f>"2.585"</f>
        <v>2.585</v>
      </c>
      <c r="E25" s="7" t="str">
        <f>"1.957"</f>
        <v>1.957</v>
      </c>
      <c r="F25" s="7" t="str">
        <f>"11.08***"</f>
        <v>11.08***</v>
      </c>
      <c r="G25" s="7" t="str">
        <f>"8.587***"</f>
        <v>8.587***</v>
      </c>
      <c r="H25" s="7" t="str">
        <f>"8.593***"</f>
        <v>8.593***</v>
      </c>
      <c r="I25" s="7" t="str">
        <f>"8.329***"</f>
        <v>8.329***</v>
      </c>
      <c r="J25" s="7" t="str">
        <f>"7.138***"</f>
        <v>7.138***</v>
      </c>
      <c r="K25" s="7" t="str">
        <f>"7.019***"</f>
        <v>7.019***</v>
      </c>
    </row>
    <row r="26" spans="1:11">
      <c r="A26" s="7" t="str">
        <f>""</f>
        <v/>
      </c>
      <c r="B26" s="7" t="str">
        <f>".009524"</f>
        <v>.009524</v>
      </c>
      <c r="C26" s="7" t="str">
        <f>"(1.28)"</f>
        <v>(1.28)</v>
      </c>
      <c r="D26" s="7" t="str">
        <f>"(1.846)"</f>
        <v>(1.846)</v>
      </c>
      <c r="E26" s="7" t="str">
        <f>"(2.127)"</f>
        <v>(2.127)</v>
      </c>
      <c r="F26" s="7" t="str">
        <f>"(1.168)"</f>
        <v>(1.168)</v>
      </c>
      <c r="G26" s="7" t="str">
        <f>"(2.806)"</f>
        <v>(2.806)</v>
      </c>
      <c r="H26" s="7" t="str">
        <f>"(2.749)"</f>
        <v>(2.749)</v>
      </c>
      <c r="I26" s="7" t="str">
        <f>"(.8395)"</f>
        <v>(.8395)</v>
      </c>
      <c r="J26" s="7" t="str">
        <f>"(1.603)"</f>
        <v>(1.603)</v>
      </c>
      <c r="K26" s="7" t="str">
        <f>"(1.658)"</f>
        <v>(1.658)</v>
      </c>
    </row>
    <row r="27" spans="1:11">
      <c r="C27" s="7" t="str">
        <f>".01114"</f>
        <v>.01114</v>
      </c>
      <c r="D27" s="7" t="str">
        <f>".05402"</f>
        <v>.05402</v>
      </c>
      <c r="E27" s="7" t="str">
        <f>".08608"</f>
        <v>.08608</v>
      </c>
      <c r="F27" s="7" t="str">
        <f>".6123"</f>
        <v>.6123</v>
      </c>
      <c r="G27" s="7" t="str">
        <f>".6722"</f>
        <v>.6722</v>
      </c>
      <c r="H27" s="7" t="str">
        <f>".6553"</f>
        <v>.6553</v>
      </c>
      <c r="I27" s="7" t="str">
        <f>".6626"</f>
        <v>.6626</v>
      </c>
      <c r="J27" s="7" t="str">
        <f>".6783"</f>
        <v>.6783</v>
      </c>
      <c r="K27" s="7" t="str">
        <f>".6582"</f>
        <v>.6582</v>
      </c>
    </row>
    <row r="28" spans="1:11">
      <c r="C28" s="7" t="str">
        <f>".08138"</f>
        <v>.08138</v>
      </c>
      <c r="D28" s="7" t="str">
        <f>".07959"</f>
        <v>.07959</v>
      </c>
      <c r="E28" s="7" t="str">
        <f>".07823"</f>
        <v>.07823</v>
      </c>
      <c r="F28" s="7" t="str">
        <f>".0835"</f>
        <v>.0835</v>
      </c>
      <c r="G28" s="7" t="str">
        <f>".07678"</f>
        <v>.07678</v>
      </c>
      <c r="H28" s="7" t="str">
        <f>".07873"</f>
        <v>.07873</v>
      </c>
      <c r="I28" s="7" t="str">
        <f>".05636"</f>
        <v>.05636</v>
      </c>
      <c r="J28" s="7" t="str">
        <f>".05503"</f>
        <v>.05503</v>
      </c>
      <c r="K28" s="7" t="str">
        <f>".05672"</f>
        <v>.05672</v>
      </c>
    </row>
    <row r="29" spans="1:11">
      <c r="A29" s="7" t="str">
        <f>"Epsi_c"</f>
        <v>Epsi_c</v>
      </c>
      <c r="B29" s="7" t="str">
        <f>".2356"</f>
        <v>.2356</v>
      </c>
      <c r="C29" s="7" t="str">
        <f>"2.64***"</f>
        <v>2.64***</v>
      </c>
      <c r="D29" s="7" t="str">
        <f>"3.707***"</f>
        <v>3.707***</v>
      </c>
      <c r="E29" s="7" t="str">
        <f>"3.975***"</f>
        <v>3.975***</v>
      </c>
      <c r="F29" s="7" t="str">
        <f>"4.091**"</f>
        <v>4.091**</v>
      </c>
      <c r="G29" s="7" t="str">
        <f>"4.691***"</f>
        <v>4.691***</v>
      </c>
      <c r="H29" s="7" t="str">
        <f>"5.241***"</f>
        <v>5.241***</v>
      </c>
      <c r="I29" s="7" t="str">
        <f>"2.18*"</f>
        <v>2.18*</v>
      </c>
      <c r="J29" s="7" t="str">
        <f>"2.238**"</f>
        <v>2.238**</v>
      </c>
      <c r="K29" s="7" t="str">
        <f>"2.615***"</f>
        <v>2.615***</v>
      </c>
    </row>
    <row r="30" spans="1:11">
      <c r="A30" s="7" t="str">
        <f>""</f>
        <v/>
      </c>
      <c r="B30" s="7" t="str">
        <f>".0111"</f>
        <v>.0111</v>
      </c>
      <c r="C30" s="7" t="str">
        <f>"(.9478)"</f>
        <v>(.9478)</v>
      </c>
      <c r="D30" s="7" t="str">
        <f>"(1.093)"</f>
        <v>(1.093)</v>
      </c>
      <c r="E30" s="7" t="str">
        <f>"(1.015)"</f>
        <v>(1.015)</v>
      </c>
      <c r="F30" s="7" t="str">
        <f>"(1.788)"</f>
        <v>(1.788)</v>
      </c>
      <c r="G30" s="7" t="str">
        <f>"(1.153)"</f>
        <v>(1.153)</v>
      </c>
      <c r="H30" s="7" t="str">
        <f>"(1.057)"</f>
        <v>(1.057)</v>
      </c>
      <c r="I30" s="7" t="str">
        <f>"(1.299)"</f>
        <v>(1.299)</v>
      </c>
      <c r="J30" s="7" t="str">
        <f>"(1.021)"</f>
        <v>(1.021)</v>
      </c>
      <c r="K30" s="7" t="str">
        <f>"(.8646)"</f>
        <v>(.8646)</v>
      </c>
    </row>
    <row r="31" spans="1:11">
      <c r="C31" s="7" t="str">
        <f>".1131"</f>
        <v>.1131</v>
      </c>
      <c r="D31" s="7" t="str">
        <f>".2419"</f>
        <v>.2419</v>
      </c>
      <c r="E31" s="7" t="str">
        <f>".3325"</f>
        <v>.3325</v>
      </c>
      <c r="F31" s="7" t="str">
        <f>".09919"</f>
        <v>.09919</v>
      </c>
      <c r="G31" s="7" t="str">
        <f>".6385"</f>
        <v>.6385</v>
      </c>
      <c r="H31" s="7" t="str">
        <f>".664"</f>
        <v>.664</v>
      </c>
      <c r="I31" s="7" t="str">
        <f>".04578"</f>
        <v>.04578</v>
      </c>
      <c r="J31" s="7" t="str">
        <f>".5128"</f>
        <v>.5128</v>
      </c>
      <c r="K31" s="7" t="str">
        <f>".5299"</f>
        <v>.5299</v>
      </c>
    </row>
    <row r="32" spans="1:11">
      <c r="C32" s="7" t="str">
        <f>".07707"</f>
        <v>.07707</v>
      </c>
      <c r="D32" s="7" t="str">
        <f>".07125"</f>
        <v>.07125</v>
      </c>
      <c r="E32" s="7" t="str">
        <f>".06686"</f>
        <v>.06686</v>
      </c>
      <c r="F32" s="7" t="str">
        <f>".1273"</f>
        <v>.1273</v>
      </c>
      <c r="G32" s="7" t="str">
        <f>".08063"</f>
        <v>.08063</v>
      </c>
      <c r="H32" s="7" t="str">
        <f>".07774"</f>
        <v>.07774</v>
      </c>
      <c r="I32" s="7" t="str">
        <f>".09478"</f>
        <v>.09478</v>
      </c>
      <c r="J32" s="7" t="str">
        <f>".06772"</f>
        <v>.06772</v>
      </c>
      <c r="K32" s="7" t="str">
        <f>".06653"</f>
        <v>.06653</v>
      </c>
    </row>
    <row r="33" spans="1:11">
      <c r="A33" s="7" t="str">
        <f>"s_psi_q1q5"</f>
        <v>s_psi_q1q5</v>
      </c>
      <c r="B33" s="7" t="str">
        <f>".3006"</f>
        <v>.3006</v>
      </c>
      <c r="C33" s="7" t="str">
        <f>".4677***"</f>
        <v>.4677***</v>
      </c>
      <c r="D33" s="7" t="str">
        <f>".7459***"</f>
        <v>.7459***</v>
      </c>
      <c r="E33" s="7" t="str">
        <f>".8656***"</f>
        <v>.8656***</v>
      </c>
      <c r="F33" s="7" t="str">
        <f>".9237***"</f>
        <v>.9237***</v>
      </c>
      <c r="G33" s="7" t="str">
        <f>".599***"</f>
        <v>.599***</v>
      </c>
      <c r="H33" s="7" t="str">
        <f>".7861***"</f>
        <v>.7861***</v>
      </c>
      <c r="I33" s="7" t="str">
        <f>".6593***"</f>
        <v>.6593***</v>
      </c>
      <c r="J33" s="7" t="str">
        <f>".4784***"</f>
        <v>.4784***</v>
      </c>
      <c r="K33" s="7" t="str">
        <f>".5768***"</f>
        <v>.5768***</v>
      </c>
    </row>
    <row r="34" spans="1:11">
      <c r="A34" s="7" t="str">
        <f>""</f>
        <v/>
      </c>
      <c r="B34" s="7" t="str">
        <f>".09014"</f>
        <v>.09014</v>
      </c>
      <c r="C34" s="7" t="str">
        <f>"(.1353)"</f>
        <v>(.1353)</v>
      </c>
      <c r="D34" s="7" t="str">
        <f>"(.08926)"</f>
        <v>(.08926)</v>
      </c>
      <c r="E34" s="7" t="str">
        <f>"(.1145)"</f>
        <v>(.1145)</v>
      </c>
      <c r="F34" s="7" t="str">
        <f>"(.1456)"</f>
        <v>(.1456)</v>
      </c>
      <c r="G34" s="7" t="str">
        <f>"(.1234)"</f>
        <v>(.1234)</v>
      </c>
      <c r="H34" s="7" t="str">
        <f>"(.1539)"</f>
        <v>(.1539)</v>
      </c>
      <c r="I34" s="7" t="str">
        <f>"(.114)"</f>
        <v>(.114)</v>
      </c>
      <c r="J34" s="7" t="str">
        <f>"(.1069)"</f>
        <v>(.1069)</v>
      </c>
      <c r="K34" s="7" t="str">
        <f>"(.1095)"</f>
        <v>(.1095)</v>
      </c>
    </row>
    <row r="35" spans="1:11">
      <c r="C35" s="7" t="str">
        <f>".2525"</f>
        <v>.2525</v>
      </c>
      <c r="D35" s="7" t="str">
        <f>".6489"</f>
        <v>.6489</v>
      </c>
      <c r="E35" s="7" t="str">
        <f>".6955"</f>
        <v>.6955</v>
      </c>
      <c r="F35" s="7" t="str">
        <f>".3746"</f>
        <v>.3746</v>
      </c>
      <c r="G35" s="7" t="str">
        <f>".6546"</f>
        <v>.6546</v>
      </c>
      <c r="H35" s="7" t="str">
        <f>".6838"</f>
        <v>.6838</v>
      </c>
      <c r="I35" s="7" t="str">
        <f>".3642"</f>
        <v>.3642</v>
      </c>
      <c r="J35" s="7" t="str">
        <f>".6395"</f>
        <v>.6395</v>
      </c>
      <c r="K35" s="7" t="str">
        <f>".6467"</f>
        <v>.6467</v>
      </c>
    </row>
    <row r="36" spans="1:11">
      <c r="C36" s="7" t="str">
        <f>".07075"</f>
        <v>.07075</v>
      </c>
      <c r="D36" s="7" t="str">
        <f>".04849"</f>
        <v>.04849</v>
      </c>
      <c r="E36" s="7" t="str">
        <f>".04515"</f>
        <v>.04515</v>
      </c>
      <c r="F36" s="7" t="str">
        <f>".1061"</f>
        <v>.1061</v>
      </c>
      <c r="G36" s="7" t="str">
        <f>".07882"</f>
        <v>.07882</v>
      </c>
      <c r="H36" s="7" t="str">
        <f>".07542"</f>
        <v>.07542</v>
      </c>
      <c r="I36" s="7" t="str">
        <f>".07737"</f>
        <v>.07737</v>
      </c>
      <c r="J36" s="7" t="str">
        <f>".05826"</f>
        <v>.05826</v>
      </c>
      <c r="K36" s="7" t="str">
        <f>".05767"</f>
        <v>.05767</v>
      </c>
    </row>
    <row r="37" spans="1:11">
      <c r="A37" s="7" t="str">
        <f>"membership"</f>
        <v>membership</v>
      </c>
      <c r="B37" s="7" t="str">
        <f>".1178"</f>
        <v>.1178</v>
      </c>
      <c r="C37" s="7" t="str">
        <f>".3291"</f>
        <v>.3291</v>
      </c>
      <c r="D37" s="7" t="str">
        <f>".6368"</f>
        <v>.6368</v>
      </c>
      <c r="E37" s="7" t="str">
        <f>".5403"</f>
        <v>.5403</v>
      </c>
      <c r="F37" s="7" t="str">
        <f>".2339"</f>
        <v>.2339</v>
      </c>
      <c r="G37" s="7" t="str">
        <f>".1561"</f>
        <v>.1561</v>
      </c>
      <c r="H37" s="7" t="str">
        <f>".256"</f>
        <v>.256</v>
      </c>
      <c r="I37" s="7" t="str">
        <f>".1826"</f>
        <v>.1826</v>
      </c>
      <c r="J37" s="7" t="str">
        <f>".4047"</f>
        <v>.4047</v>
      </c>
      <c r="K37" s="7" t="str">
        <f>".7034*"</f>
        <v>.7034*</v>
      </c>
    </row>
    <row r="38" spans="1:11">
      <c r="A38" s="7" t="str">
        <f>""</f>
        <v/>
      </c>
      <c r="B38" s="7" t="str">
        <f>".05989"</f>
        <v>.05989</v>
      </c>
      <c r="C38" s="7" t="str">
        <f>"(.2479)"</f>
        <v>(.2479)</v>
      </c>
      <c r="D38" s="7" t="str">
        <f>"(.4074)"</f>
        <v>(.4074)</v>
      </c>
      <c r="E38" s="7" t="str">
        <f>"(.5216)"</f>
        <v>(.5216)</v>
      </c>
      <c r="F38" s="7" t="str">
        <f>"(.4062)"</f>
        <v>(.4062)</v>
      </c>
      <c r="G38" s="7" t="str">
        <f>"(.3036)"</f>
        <v>(.3036)</v>
      </c>
      <c r="H38" s="7" t="str">
        <f>"(.4258)"</f>
        <v>(.4258)</v>
      </c>
      <c r="I38" s="7" t="str">
        <f>"(.326)"</f>
        <v>(.326)</v>
      </c>
      <c r="J38" s="7" t="str">
        <f>"(.2667)"</f>
        <v>(.2667)</v>
      </c>
      <c r="K38" s="7" t="str">
        <f>"(.3592)"</f>
        <v>(.3592)</v>
      </c>
    </row>
    <row r="39" spans="1:11">
      <c r="C39" s="7" t="str">
        <f>".04148"</f>
        <v>.04148</v>
      </c>
      <c r="D39" s="7" t="str">
        <f>".1519"</f>
        <v>.1519</v>
      </c>
      <c r="E39" s="7" t="str">
        <f>".09966"</f>
        <v>.09966</v>
      </c>
      <c r="F39" s="7" t="str">
        <f>"-.00644"</f>
        <v>-.00644</v>
      </c>
      <c r="G39" s="7" t="str">
        <f>".5049"</f>
        <v>.5049</v>
      </c>
      <c r="H39" s="7" t="str">
        <f>".4926"</f>
        <v>.4926</v>
      </c>
      <c r="I39" s="7" t="str">
        <f>"-.004619"</f>
        <v>-.004619</v>
      </c>
      <c r="J39" s="7" t="str">
        <f>".4934"</f>
        <v>.4934</v>
      </c>
      <c r="K39" s="7" t="str">
        <f>".4911"</f>
        <v>.4911</v>
      </c>
    </row>
    <row r="40" spans="1:11">
      <c r="C40" s="7" t="str">
        <f>".08012"</f>
        <v>.08012</v>
      </c>
      <c r="D40" s="7" t="str">
        <f>".07536"</f>
        <v>.07536</v>
      </c>
      <c r="E40" s="7" t="str">
        <f>".07765"</f>
        <v>.07765</v>
      </c>
      <c r="F40" s="7" t="str">
        <f>".1345"</f>
        <v>.1345</v>
      </c>
      <c r="G40" s="7" t="str">
        <f>".09436"</f>
        <v>.09436</v>
      </c>
      <c r="H40" s="7" t="str">
        <f>".09553"</f>
        <v>.09553</v>
      </c>
      <c r="I40" s="7" t="str">
        <f>".09725"</f>
        <v>.09725</v>
      </c>
      <c r="J40" s="7" t="str">
        <f>".06906"</f>
        <v>.06906</v>
      </c>
      <c r="K40" s="7" t="str">
        <f>".06921"</f>
        <v>.06921</v>
      </c>
    </row>
    <row r="41" spans="1:11">
      <c r="A41" s="7" t="str">
        <f>"coverage"</f>
        <v>coverage</v>
      </c>
      <c r="B41" s="7" t="str">
        <f>".1303"</f>
        <v>.1303</v>
      </c>
      <c r="C41" s="7" t="str">
        <f>".3196"</f>
        <v>.3196</v>
      </c>
      <c r="D41" s="7" t="str">
        <f>".605"</f>
        <v>.605</v>
      </c>
      <c r="E41" s="7" t="str">
        <f>".4496"</f>
        <v>.4496</v>
      </c>
      <c r="F41" s="7" t="str">
        <f>".1881"</f>
        <v>.1881</v>
      </c>
      <c r="G41" s="7" t="str">
        <f>".1244"</f>
        <v>.1244</v>
      </c>
      <c r="H41" s="7" t="str">
        <f>".1463"</f>
        <v>.1463</v>
      </c>
      <c r="I41" s="7" t="str">
        <f>".1492"</f>
        <v>.1492</v>
      </c>
      <c r="J41" s="7" t="str">
        <f>".3832"</f>
        <v>.3832</v>
      </c>
      <c r="K41" s="7" t="str">
        <f>".6131*"</f>
        <v>.6131*</v>
      </c>
    </row>
    <row r="42" spans="1:11">
      <c r="A42" s="7" t="str">
        <f>""</f>
        <v/>
      </c>
      <c r="B42" s="7" t="str">
        <f>".06013"</f>
        <v>.06013</v>
      </c>
      <c r="C42" s="7" t="str">
        <f>"(.2477)"</f>
        <v>(.2477)</v>
      </c>
      <c r="D42" s="7" t="str">
        <f>"(.4098)"</f>
        <v>(.4098)</v>
      </c>
      <c r="E42" s="7" t="str">
        <f>"(.5278)"</f>
        <v>(.5278)</v>
      </c>
      <c r="F42" s="7" t="str">
        <f>"(.4043)"</f>
        <v>(.4043)</v>
      </c>
      <c r="G42" s="7" t="str">
        <f>"(.3001)"</f>
        <v>(.3001)</v>
      </c>
      <c r="H42" s="7" t="str">
        <f>"(.4202)"</f>
        <v>(.4202)</v>
      </c>
      <c r="I42" s="7" t="str">
        <f>"(.3256)"</f>
        <v>(.3256)</v>
      </c>
      <c r="J42" s="7" t="str">
        <f>"(.2665)"</f>
        <v>(.2665)</v>
      </c>
      <c r="K42" s="7" t="str">
        <f>"(.3628)"</f>
        <v>(.3628)</v>
      </c>
    </row>
    <row r="43" spans="1:11">
      <c r="C43" s="7" t="str">
        <f>".03857"</f>
        <v>.03857</v>
      </c>
      <c r="D43" s="7" t="str">
        <f>".1397"</f>
        <v>.1397</v>
      </c>
      <c r="E43" s="7" t="str">
        <f>".08972"</f>
        <v>.08972</v>
      </c>
      <c r="F43" s="7" t="str">
        <f>"-.01031"</f>
        <v>-.01031</v>
      </c>
      <c r="G43" s="7" t="str">
        <f>".5038"</f>
        <v>.5038</v>
      </c>
      <c r="H43" s="7" t="str">
        <f>".4906"</f>
        <v>.4906</v>
      </c>
      <c r="I43" s="7" t="str">
        <f>"-.008845"</f>
        <v>-.008845</v>
      </c>
      <c r="J43" s="7" t="str">
        <f>".4896"</f>
        <v>.4896</v>
      </c>
      <c r="K43" s="7" t="str">
        <f>".4823"</f>
        <v>.4823</v>
      </c>
    </row>
    <row r="44" spans="1:11">
      <c r="C44" s="7" t="str">
        <f>".08024"</f>
        <v>.08024</v>
      </c>
      <c r="D44" s="7" t="str">
        <f>".0759"</f>
        <v>.0759</v>
      </c>
      <c r="E44" s="7" t="str">
        <f>".07808"</f>
        <v>.07808</v>
      </c>
      <c r="F44" s="7" t="str">
        <f>".1348"</f>
        <v>.1348</v>
      </c>
      <c r="G44" s="7" t="str">
        <f>".09447"</f>
        <v>.09447</v>
      </c>
      <c r="H44" s="7" t="str">
        <f>".09572"</f>
        <v>.09572</v>
      </c>
      <c r="I44" s="7" t="str">
        <f>".09746"</f>
        <v>.09746</v>
      </c>
      <c r="J44" s="7" t="str">
        <f>".06932"</f>
        <v>.06932</v>
      </c>
      <c r="K44" s="7" t="str">
        <f>".06982"</f>
        <v>.06982</v>
      </c>
    </row>
    <row r="45" spans="1:11">
      <c r="A45" s="7" t="str">
        <f>"lnN_c"</f>
        <v>lnN_c</v>
      </c>
      <c r="B45" s="7" t="str">
        <f>"17.91"</f>
        <v>17.91</v>
      </c>
      <c r="C45" s="7" t="str">
        <f>".04598***"</f>
        <v>.04598***</v>
      </c>
      <c r="D45" s="7" t="str">
        <f>".04006"</f>
        <v>.04006</v>
      </c>
      <c r="E45" s="7" t="str">
        <f>".02925"</f>
        <v>.02925</v>
      </c>
      <c r="F45" s="7" t="str">
        <f>"-.04748**"</f>
        <v>-.04748**</v>
      </c>
      <c r="G45" s="7" t="str">
        <f>".08106***"</f>
        <v>.08106***</v>
      </c>
      <c r="H45" s="7" t="str">
        <f>".08542***"</f>
        <v>.08542***</v>
      </c>
      <c r="I45" s="7" t="str">
        <f>"-.01557"</f>
        <v>-.01557</v>
      </c>
      <c r="J45" s="7" t="str">
        <f>".08469***"</f>
        <v>.08469***</v>
      </c>
      <c r="K45" s="7" t="str">
        <f>".08752***"</f>
        <v>.08752***</v>
      </c>
    </row>
    <row r="46" spans="1:11">
      <c r="A46" s="7" t="str">
        <f>""</f>
        <v/>
      </c>
      <c r="B46" s="7" t="str">
        <f>".8355"</f>
        <v>.8355</v>
      </c>
      <c r="C46" s="7" t="str">
        <f>"(.009572)"</f>
        <v>(.009572)</v>
      </c>
      <c r="D46" s="7" t="str">
        <f>"(.02611)"</f>
        <v>(.02611)</v>
      </c>
      <c r="E46" s="7" t="str">
        <f>"(.02691)"</f>
        <v>(.02691)</v>
      </c>
      <c r="F46" s="7" t="str">
        <f>"(.0219)"</f>
        <v>(.0219)</v>
      </c>
      <c r="G46" s="7" t="str">
        <f>"(.02641)"</f>
        <v>(.02641)</v>
      </c>
      <c r="H46" s="7" t="str">
        <f>"(.03135)"</f>
        <v>(.03135)</v>
      </c>
      <c r="I46" s="7" t="str">
        <f>"(.01728)"</f>
        <v>(.01728)</v>
      </c>
      <c r="J46" s="7" t="str">
        <f>"(.01662)"</f>
        <v>(.01662)</v>
      </c>
      <c r="K46" s="7" t="str">
        <f>"(.01958)"</f>
        <v>(.01958)</v>
      </c>
    </row>
    <row r="47" spans="1:11">
      <c r="C47" s="7" t="str">
        <f>".2067"</f>
        <v>.2067</v>
      </c>
      <c r="D47" s="7" t="str">
        <f>".1018"</f>
        <v>.1018</v>
      </c>
      <c r="E47" s="7" t="str">
        <f>".1073"</f>
        <v>.1073</v>
      </c>
      <c r="F47" s="7" t="str">
        <f>".07147"</f>
        <v>.07147</v>
      </c>
      <c r="G47" s="7" t="str">
        <f>".6379"</f>
        <v>.6379</v>
      </c>
      <c r="H47" s="7" t="str">
        <f>".6304"</f>
        <v>.6304</v>
      </c>
      <c r="I47" s="7" t="str">
        <f>".00075"</f>
        <v>.00075</v>
      </c>
      <c r="J47" s="7" t="str">
        <f>".737"</f>
        <v>.737</v>
      </c>
      <c r="K47" s="7" t="str">
        <f>".7293"</f>
        <v>.7293</v>
      </c>
    </row>
    <row r="48" spans="1:11">
      <c r="C48" s="7" t="str">
        <f>".07289"</f>
        <v>.07289</v>
      </c>
      <c r="D48" s="7" t="str">
        <f>".07756"</f>
        <v>.07756</v>
      </c>
      <c r="E48" s="7" t="str">
        <f>".07732"</f>
        <v>.07732</v>
      </c>
      <c r="F48" s="7" t="str">
        <f>".1292"</f>
        <v>.1292</v>
      </c>
      <c r="G48" s="7" t="str">
        <f>".08071"</f>
        <v>.08071</v>
      </c>
      <c r="H48" s="7" t="str">
        <f>".08154"</f>
        <v>.08154</v>
      </c>
      <c r="I48" s="7" t="str">
        <f>".09699"</f>
        <v>.09699</v>
      </c>
      <c r="J48" s="7" t="str">
        <f>".04976"</f>
        <v>.04976</v>
      </c>
      <c r="K48" s="7" t="str">
        <f>".05048"</f>
        <v>.05048</v>
      </c>
    </row>
    <row r="49" spans="1:11">
      <c r="A49" s="7" t="str">
        <f>"lnmw"</f>
        <v>lnmw</v>
      </c>
      <c r="B49" s="7" t="str">
        <f>"2.089"</f>
        <v>2.089</v>
      </c>
      <c r="C49" s="7" t="str">
        <f>".07224"</f>
        <v>.07224</v>
      </c>
      <c r="D49" s="7" t="str">
        <f>".2625**"</f>
        <v>.2625**</v>
      </c>
      <c r="E49" s="7" t="str">
        <f>".2417*"</f>
        <v>.2417*</v>
      </c>
      <c r="F49" s="7" t="str">
        <f>".6453***"</f>
        <v>.6453***</v>
      </c>
      <c r="G49" s="7" t="str">
        <f>".3435**"</f>
        <v>.3435**</v>
      </c>
      <c r="H49" s="7" t="str">
        <f>".4666***"</f>
        <v>.4666***</v>
      </c>
      <c r="I49" s="7" t="str">
        <f>".4692***"</f>
        <v>.4692***</v>
      </c>
      <c r="J49" s="7" t="str">
        <f>".3199***"</f>
        <v>.3199***</v>
      </c>
      <c r="K49" s="7" t="str">
        <f>".4191***"</f>
        <v>.4191***</v>
      </c>
    </row>
    <row r="50" spans="1:11">
      <c r="A50" s="7" t="str">
        <f>""</f>
        <v/>
      </c>
      <c r="B50" s="7" t="str">
        <f>".1112"</f>
        <v>.1112</v>
      </c>
      <c r="C50" s="7" t="str">
        <f>"(.08676)"</f>
        <v>(.08676)</v>
      </c>
      <c r="D50" s="7" t="str">
        <f>"(.1052)"</f>
        <v>(.1052)</v>
      </c>
      <c r="E50" s="7" t="str">
        <f>"(.1438)"</f>
        <v>(.1438)</v>
      </c>
      <c r="F50" s="7" t="str">
        <f>"(.1369)"</f>
        <v>(.1369)</v>
      </c>
      <c r="G50" s="7" t="str">
        <f>"(.1392)"</f>
        <v>(.1392)</v>
      </c>
      <c r="H50" s="7" t="str">
        <f>"(.1342)"</f>
        <v>(.1342)</v>
      </c>
      <c r="I50" s="7" t="str">
        <f>"(.103)"</f>
        <v>(.103)</v>
      </c>
      <c r="J50" s="7" t="str">
        <f>"(.09433)"</f>
        <v>(.09433)</v>
      </c>
      <c r="K50" s="7" t="str">
        <f>"(.09526)"</f>
        <v>(.09526)</v>
      </c>
    </row>
    <row r="51" spans="1:11">
      <c r="C51" s="7" t="str">
        <f>"-.007744"</f>
        <v>-.007744</v>
      </c>
      <c r="D51" s="7" t="str">
        <f>".1274"</f>
        <v>.1274</v>
      </c>
      <c r="E51" s="7" t="str">
        <f>".1249"</f>
        <v>.1249</v>
      </c>
      <c r="F51" s="7" t="str">
        <f>".2736"</f>
        <v>.2736</v>
      </c>
      <c r="G51" s="7" t="str">
        <f>".5751"</f>
        <v>.5751</v>
      </c>
      <c r="H51" s="7" t="str">
        <f>".5755"</f>
        <v>.5755</v>
      </c>
      <c r="I51" s="7" t="str">
        <f>".2766"</f>
        <v>.2766</v>
      </c>
      <c r="J51" s="7" t="str">
        <f>".5747"</f>
        <v>.5747</v>
      </c>
      <c r="K51" s="7" t="str">
        <f>".5794"</f>
        <v>.5794</v>
      </c>
    </row>
    <row r="52" spans="1:11">
      <c r="C52" s="7" t="str">
        <f>".08215"</f>
        <v>.08215</v>
      </c>
      <c r="D52" s="7" t="str">
        <f>".07644"</f>
        <v>.07644</v>
      </c>
      <c r="E52" s="7" t="str">
        <f>".07655"</f>
        <v>.07655</v>
      </c>
      <c r="F52" s="7" t="str">
        <f>".1143"</f>
        <v>.1143</v>
      </c>
      <c r="G52" s="7" t="str">
        <f>".08743"</f>
        <v>.08743</v>
      </c>
      <c r="H52" s="7" t="str">
        <f>".08738"</f>
        <v>.08738</v>
      </c>
      <c r="I52" s="7" t="str">
        <f>".08253"</f>
        <v>.08253</v>
      </c>
      <c r="J52" s="7" t="str">
        <f>".06328"</f>
        <v>.06328</v>
      </c>
      <c r="K52" s="7" t="str">
        <f>".06292"</f>
        <v>.06292</v>
      </c>
    </row>
    <row r="53" spans="1:11">
      <c r="A53" s="7" t="str">
        <f>"Es_psi_q1q5"</f>
        <v>Es_psi_q1q5</v>
      </c>
      <c r="B53" s="7" t="str">
        <f>".3006"</f>
        <v>.3006</v>
      </c>
      <c r="C53" s="7" t="str">
        <f>".9206*"</f>
        <v>.9206*</v>
      </c>
      <c r="D53" s="7" t="str">
        <f>"2***"</f>
        <v>2***</v>
      </c>
      <c r="E53" s="7" t="str">
        <f>"2.077***"</f>
        <v>2.077***</v>
      </c>
      <c r="F53" s="7" t="str">
        <f>"4.053***"</f>
        <v>4.053***</v>
      </c>
      <c r="G53" s="7" t="str">
        <f>"3.159***"</f>
        <v>3.159***</v>
      </c>
      <c r="H53" s="7" t="str">
        <f>"3.297***"</f>
        <v>3.297***</v>
      </c>
      <c r="I53" s="7" t="str">
        <f>"2.506***"</f>
        <v>2.506***</v>
      </c>
      <c r="J53" s="7" t="str">
        <f>"1.751***"</f>
        <v>1.751***</v>
      </c>
      <c r="K53" s="7" t="str">
        <f>"1.851***"</f>
        <v>1.851***</v>
      </c>
    </row>
    <row r="54" spans="1:11">
      <c r="A54" s="7" t="str">
        <f>""</f>
        <v/>
      </c>
      <c r="B54" s="7" t="str">
        <f>".02114"</f>
        <v>.02114</v>
      </c>
      <c r="C54" s="7" t="str">
        <f>"(.5173)"</f>
        <v>(.5173)</v>
      </c>
      <c r="D54" s="7" t="str">
        <f>"(.5438)"</f>
        <v>(.5438)</v>
      </c>
      <c r="E54" s="7" t="str">
        <f>"(.5314)"</f>
        <v>(.5314)</v>
      </c>
      <c r="F54" s="7" t="str">
        <f>"(.6201)"</f>
        <v>(.6201)</v>
      </c>
      <c r="G54" s="7" t="str">
        <f>"(.5286)"</f>
        <v>(.5286)</v>
      </c>
      <c r="H54" s="7" t="str">
        <f>"(.5127)"</f>
        <v>(.5127)</v>
      </c>
      <c r="I54" s="7" t="str">
        <f>"(.4273)"</f>
        <v>(.4273)</v>
      </c>
      <c r="J54" s="7" t="str">
        <f>"(.4713)"</f>
        <v>(.4713)</v>
      </c>
      <c r="K54" s="7" t="str">
        <f>"(.4174)"</f>
        <v>(.4174)</v>
      </c>
    </row>
    <row r="55" spans="1:11">
      <c r="C55" s="7" t="str">
        <f>".04"</f>
        <v>.04</v>
      </c>
      <c r="D55" s="7" t="str">
        <f>".245"</f>
        <v>.245</v>
      </c>
      <c r="E55" s="7" t="str">
        <f>".3229"</f>
        <v>.3229</v>
      </c>
      <c r="F55" s="7" t="str">
        <f>".3977"</f>
        <v>.3977</v>
      </c>
      <c r="G55" s="7" t="str">
        <f>".7176"</f>
        <v>.7176</v>
      </c>
      <c r="H55" s="7" t="str">
        <f>".7335"</f>
        <v>.7335</v>
      </c>
      <c r="I55" s="7" t="str">
        <f>".2858"</f>
        <v>.2858</v>
      </c>
      <c r="J55" s="7" t="str">
        <f>".58"</f>
        <v>.58</v>
      </c>
      <c r="K55" s="7" t="str">
        <f>".5938"</f>
        <v>.5938</v>
      </c>
    </row>
    <row r="56" spans="1:11">
      <c r="C56" s="7" t="str">
        <f>".08018"</f>
        <v>.08018</v>
      </c>
      <c r="D56" s="7" t="str">
        <f>".07111"</f>
        <v>.07111</v>
      </c>
      <c r="E56" s="7" t="str">
        <f>".06734"</f>
        <v>.06734</v>
      </c>
      <c r="F56" s="7" t="str">
        <f>".1041"</f>
        <v>.1041</v>
      </c>
      <c r="G56" s="7" t="str">
        <f>".07127"</f>
        <v>.07127</v>
      </c>
      <c r="H56" s="7" t="str">
        <f>".06923"</f>
        <v>.06923</v>
      </c>
      <c r="I56" s="7" t="str">
        <f>".082"</f>
        <v>.082</v>
      </c>
      <c r="J56" s="7" t="str">
        <f>".06288"</f>
        <v>.06288</v>
      </c>
      <c r="K56" s="7" t="str">
        <f>".06184"</f>
        <v>.06184</v>
      </c>
    </row>
    <row r="57" spans="1:11">
      <c r="A57" s="7" t="str">
        <f>"b_pjc_pj"</f>
        <v>b_pjc_pj</v>
      </c>
      <c r="B57" s="7" t="str">
        <f>"0.880"</f>
        <v>0.880</v>
      </c>
      <c r="F57" s="7" t="str">
        <f>"-.001298"</f>
        <v>-.001298</v>
      </c>
      <c r="G57" s="7" t="str">
        <f>".5687***"</f>
        <v>.5687***</v>
      </c>
      <c r="H57" s="7" t="str">
        <f>".6166***"</f>
        <v>.6166***</v>
      </c>
      <c r="I57" s="7" t="str">
        <f>"-.01838"</f>
        <v>-.01838</v>
      </c>
      <c r="J57" s="7" t="str">
        <f>".3574**"</f>
        <v>.3574**</v>
      </c>
      <c r="K57" s="7" t="str">
        <f>".355*"</f>
        <v>.355*</v>
      </c>
    </row>
    <row r="58" spans="1:11">
      <c r="B58" s="7" t="str">
        <f>"0.0818"</f>
        <v>0.0818</v>
      </c>
      <c r="F58" s="7" t="str">
        <f>"(.2338)"</f>
        <v>(.2338)</v>
      </c>
      <c r="G58" s="7" t="str">
        <f>"(.1679)"</f>
        <v>(.1679)</v>
      </c>
      <c r="H58" s="7" t="str">
        <f>"(.2044)"</f>
        <v>(.2044)</v>
      </c>
      <c r="I58" s="7" t="str">
        <f>"(.1922)"</f>
        <v>(.1922)</v>
      </c>
      <c r="J58" s="7" t="str">
        <f>"(.1575)"</f>
        <v>(.1575)</v>
      </c>
      <c r="K58" s="7" t="str">
        <f>"(.2067)"</f>
        <v>(.2067)</v>
      </c>
    </row>
    <row r="59" spans="1:11">
      <c r="F59" s="7" t="str">
        <f>"-.01754"</f>
        <v>-.01754</v>
      </c>
      <c r="G59" s="7" t="str">
        <f>".6207"</f>
        <v>.6207</v>
      </c>
      <c r="H59" s="7" t="str">
        <f>".6222"</f>
        <v>.6222</v>
      </c>
      <c r="I59" s="7" t="str">
        <f>"-.0173"</f>
        <v>-.0173</v>
      </c>
      <c r="J59" s="7" t="str">
        <f>".5431"</f>
        <v>.5431</v>
      </c>
      <c r="K59" s="7" t="str">
        <f>".5309"</f>
        <v>.5309</v>
      </c>
    </row>
    <row r="60" spans="1:11">
      <c r="F60" s="7" t="str">
        <f>".1353"</f>
        <v>.1353</v>
      </c>
      <c r="G60" s="7" t="str">
        <f>".0826"</f>
        <v>.0826</v>
      </c>
      <c r="H60" s="7" t="str">
        <f>".08243"</f>
        <v>.08243</v>
      </c>
      <c r="I60" s="7" t="str">
        <f>".09786"</f>
        <v>.09786</v>
      </c>
      <c r="J60" s="7" t="str">
        <f>".06559"</f>
        <v>.06559</v>
      </c>
      <c r="K60" s="7" t="str">
        <f>".06645"</f>
        <v>.06645</v>
      </c>
    </row>
    <row r="61" spans="1:11">
      <c r="A61" s="7" t="str">
        <f>"b_ajc_pj"</f>
        <v>b_ajc_pj</v>
      </c>
      <c r="B61" s="7" t="str">
        <f>".7988"</f>
        <v>.7988</v>
      </c>
      <c r="C61" s="7" t="str">
        <f>"-.0004831"</f>
        <v>-.0004831</v>
      </c>
      <c r="D61" s="7" t="str">
        <f>".4197***"</f>
        <v>.4197***</v>
      </c>
      <c r="E61" s="7" t="str">
        <f>".4214***"</f>
        <v>.4214***</v>
      </c>
      <c r="I61" s="7" t="str">
        <f>".6661***"</f>
        <v>.6661***</v>
      </c>
      <c r="J61" s="7" t="str">
        <f>".6546***"</f>
        <v>.6546***</v>
      </c>
      <c r="K61" s="7" t="str">
        <f>".6491***"</f>
        <v>.6491***</v>
      </c>
    </row>
    <row r="62" spans="1:11">
      <c r="A62" s="7" t="str">
        <f>""</f>
        <v/>
      </c>
      <c r="B62" s="7" t="str">
        <f>".1341"</f>
        <v>.1341</v>
      </c>
      <c r="C62" s="7" t="str">
        <f>"(.08708)"</f>
        <v>(.08708)</v>
      </c>
      <c r="D62" s="7" t="str">
        <f>"(.08975)"</f>
        <v>(.08975)</v>
      </c>
      <c r="E62" s="7" t="str">
        <f>"(.09287)"</f>
        <v>(.09287)</v>
      </c>
      <c r="I62" s="7" t="str">
        <f>"(.04868)"</f>
        <v>(.04868)</v>
      </c>
      <c r="J62" s="7" t="str">
        <f>"(.06384)"</f>
        <v>(.06384)</v>
      </c>
      <c r="K62" s="7" t="str">
        <f>"(.06223)"</f>
        <v>(.06223)</v>
      </c>
    </row>
    <row r="63" spans="1:11">
      <c r="C63" s="7" t="str">
        <f>"-.01754"</f>
        <v>-.01754</v>
      </c>
      <c r="D63" s="7" t="str">
        <f>".2482"</f>
        <v>.2482</v>
      </c>
      <c r="E63" s="7" t="str">
        <f>".3065"</f>
        <v>.3065</v>
      </c>
      <c r="I63" s="7" t="str">
        <f>".845"</f>
        <v>.845</v>
      </c>
      <c r="J63" s="7" t="str">
        <f>".8612"</f>
        <v>.8612</v>
      </c>
      <c r="K63" s="7" t="str">
        <f>".8578"</f>
        <v>.8578</v>
      </c>
    </row>
    <row r="64" spans="1:11">
      <c r="C64" s="7" t="str">
        <f>".08255"</f>
        <v>.08255</v>
      </c>
      <c r="D64" s="7" t="str">
        <f>".07095"</f>
        <v>.07095</v>
      </c>
      <c r="E64" s="7" t="str">
        <f>".06815"</f>
        <v>.06815</v>
      </c>
      <c r="I64" s="7" t="str">
        <f>".0382"</f>
        <v>.0382</v>
      </c>
      <c r="J64" s="7" t="str">
        <f>".03615"</f>
        <v>.03615</v>
      </c>
      <c r="K64" s="7" t="str">
        <f>".03659"</f>
        <v>.03659</v>
      </c>
    </row>
    <row r="65" spans="1:11">
      <c r="A65" s="7" t="str">
        <f>"b_ajc_aj"</f>
        <v>b_ajc_aj</v>
      </c>
      <c r="B65" s="7" t="str">
        <f>"0.863"</f>
        <v>0.863</v>
      </c>
      <c r="C65" s="7" t="str">
        <f>"-.01307"</f>
        <v>-.01307</v>
      </c>
      <c r="D65" s="7" t="str">
        <f>".4592**"</f>
        <v>.4592**</v>
      </c>
      <c r="E65" s="7" t="str">
        <f>".4279*"</f>
        <v>.4279*</v>
      </c>
      <c r="F65" s="7" t="str">
        <f>"1.273***"</f>
        <v>1.273***</v>
      </c>
      <c r="G65" s="7" t="str">
        <f>"1.14***"</f>
        <v>1.14***</v>
      </c>
      <c r="H65" s="7" t="str">
        <f>"1.144***"</f>
        <v>1.144***</v>
      </c>
    </row>
    <row r="66" spans="1:11">
      <c r="B66" s="7" t="str">
        <f>"0.0970"</f>
        <v>0.0970</v>
      </c>
      <c r="C66" s="7" t="str">
        <f>"(.1363)"</f>
        <v>(.1363)</v>
      </c>
      <c r="D66" s="7" t="str">
        <f>"(.2108)"</f>
        <v>(.2108)</v>
      </c>
      <c r="E66" s="7" t="str">
        <f>"(.2222)"</f>
        <v>(.2222)</v>
      </c>
      <c r="F66" s="7" t="str">
        <f>"(.09862)"</f>
        <v>(.09862)</v>
      </c>
      <c r="G66" s="7" t="str">
        <f>"(.1432)"</f>
        <v>(.1432)</v>
      </c>
      <c r="H66" s="7" t="str">
        <f>"(.1355)"</f>
        <v>(.1355)</v>
      </c>
    </row>
    <row r="67" spans="1:11">
      <c r="C67" s="7" t="str">
        <f>"-.0173"</f>
        <v>-.0173</v>
      </c>
      <c r="D67" s="7" t="str">
        <f>".1746"</f>
        <v>.1746</v>
      </c>
      <c r="E67" s="7" t="str">
        <f>".2053"</f>
        <v>.2053</v>
      </c>
      <c r="F67" s="7" t="str">
        <f>".845"</f>
        <v>.845</v>
      </c>
      <c r="G67" s="7" t="str">
        <f>".8735"</f>
        <v>.8735</v>
      </c>
      <c r="H67" s="7" t="str">
        <f>".8687"</f>
        <v>.8687</v>
      </c>
    </row>
    <row r="68" spans="1:11">
      <c r="C68" s="7" t="str">
        <f>".08254"</f>
        <v>.08254</v>
      </c>
      <c r="D68" s="7" t="str">
        <f>".07435"</f>
        <v>.07435</v>
      </c>
      <c r="E68" s="7" t="str">
        <f>".07295"</f>
        <v>.07295</v>
      </c>
      <c r="F68" s="7" t="str">
        <f>".0528"</f>
        <v>.0528</v>
      </c>
      <c r="G68" s="7" t="str">
        <f>".0477"</f>
        <v>.0477</v>
      </c>
      <c r="H68" s="7" t="str">
        <f>".04859"</f>
        <v>.04859</v>
      </c>
    </row>
    <row r="70" spans="1:11">
      <c r="A70" s="7" t="str">
        <f>"Division-CZ dummies"</f>
        <v>Division-CZ dummies</v>
      </c>
      <c r="C70" s="7" t="str">
        <f>"No"</f>
        <v>No</v>
      </c>
      <c r="D70" s="7" t="str">
        <f>"Yes"</f>
        <v>Yes</v>
      </c>
      <c r="E70" s="7" t="str">
        <f>"Yes"</f>
        <v>Yes</v>
      </c>
      <c r="F70" s="7" t="str">
        <f>"No"</f>
        <v>No</v>
      </c>
      <c r="G70" s="7" t="str">
        <f>"Yes"</f>
        <v>Yes</v>
      </c>
      <c r="H70" s="7" t="str">
        <f>"Yes"</f>
        <v>Yes</v>
      </c>
      <c r="I70" s="7" t="str">
        <f>"No"</f>
        <v>No</v>
      </c>
      <c r="J70" s="7" t="str">
        <f>"Yes"</f>
        <v>Yes</v>
      </c>
      <c r="K70" s="7" t="str">
        <f>"Yes"</f>
        <v>Yes</v>
      </c>
    </row>
    <row r="71" spans="1:11">
      <c r="A71" s="7" t="str">
        <f>"Region dummies"</f>
        <v>Region dummies</v>
      </c>
      <c r="C71" s="7" t="str">
        <f>"No"</f>
        <v>No</v>
      </c>
      <c r="D71" s="7" t="str">
        <f>"No"</f>
        <v>No</v>
      </c>
      <c r="E71" s="7" t="str">
        <f>"Yes"</f>
        <v>Yes</v>
      </c>
      <c r="F71" s="7" t="str">
        <f>"No"</f>
        <v>No</v>
      </c>
      <c r="G71" s="7" t="str">
        <f>"No"</f>
        <v>No</v>
      </c>
      <c r="H71" s="7" t="str">
        <f>"Yes"</f>
        <v>Yes</v>
      </c>
      <c r="I71" s="7" t="str">
        <f>"No"</f>
        <v>No</v>
      </c>
      <c r="J71" s="7" t="str">
        <f>"No"</f>
        <v>No</v>
      </c>
      <c r="K71" s="7" t="str">
        <f>"Yes"</f>
        <v>Yes</v>
      </c>
    </row>
    <row r="72" spans="1:11">
      <c r="A72" s="7" t="str">
        <f>"N"</f>
        <v>N</v>
      </c>
      <c r="B72" s="8">
        <v>60</v>
      </c>
      <c r="C72" s="169" t="str">
        <f>"60"</f>
        <v>60</v>
      </c>
      <c r="D72" s="169"/>
      <c r="E72" s="169"/>
      <c r="F72" s="169" t="str">
        <f>"60"</f>
        <v>60</v>
      </c>
      <c r="G72" s="169"/>
      <c r="H72" s="169"/>
      <c r="I72" s="169" t="str">
        <f>"60"</f>
        <v>60</v>
      </c>
      <c r="J72" s="169"/>
      <c r="K72" s="169"/>
    </row>
  </sheetData>
  <mergeCells count="6">
    <mergeCell ref="C3:E3"/>
    <mergeCell ref="F3:H3"/>
    <mergeCell ref="I3:K3"/>
    <mergeCell ref="C72:E72"/>
    <mergeCell ref="F72:H72"/>
    <mergeCell ref="I72:K72"/>
  </mergeCells>
  <pageMargins left="0" right="0" top="0.39370000000000011" bottom="0.39370000000000011" header="0" footer="0"/>
  <pageSetup orientation="portrait" horizontalDpi="0" verticalDpi="0"/>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94"/>
  <sheetViews>
    <sheetView zoomScale="86" zoomScaleNormal="86" workbookViewId="0">
      <pane xSplit="1" topLeftCell="B1" activePane="topRight" state="frozen"/>
      <selection activeCell="H18" sqref="H18"/>
      <selection pane="topRight" activeCell="B36" sqref="B36:AN36"/>
    </sheetView>
  </sheetViews>
  <sheetFormatPr baseColWidth="10" defaultColWidth="11.5" defaultRowHeight="15"/>
  <cols>
    <col min="1" max="1" width="20" style="10" bestFit="1" customWidth="1"/>
    <col min="2" max="16384" width="11.5" style="10"/>
  </cols>
  <sheetData>
    <row r="1" spans="1:40">
      <c r="A1" s="10" t="str">
        <f>"Output 9b - Multivariate Regressions, Top59 100%"</f>
        <v>Output 9b - Multivariate Regressions, Top59 100%</v>
      </c>
    </row>
    <row r="2" spans="1:40" s="11" customFormat="1">
      <c r="B2" s="11" t="str">
        <f>"(1)"</f>
        <v>(1)</v>
      </c>
      <c r="C2" s="11" t="str">
        <f>"(2)"</f>
        <v>(2)</v>
      </c>
      <c r="D2" s="11" t="str">
        <f>"(3)"</f>
        <v>(3)</v>
      </c>
      <c r="E2" s="11" t="str">
        <f>"(4)"</f>
        <v>(4)</v>
      </c>
      <c r="F2" s="11" t="str">
        <f>"(5)"</f>
        <v>(5)</v>
      </c>
      <c r="G2" s="11" t="str">
        <f>"(6)"</f>
        <v>(6)</v>
      </c>
      <c r="H2" s="11" t="str">
        <f>"(7)"</f>
        <v>(7)</v>
      </c>
      <c r="I2" s="11" t="str">
        <f>"(8)"</f>
        <v>(8)</v>
      </c>
      <c r="J2" s="11" t="str">
        <f>"(9)"</f>
        <v>(9)</v>
      </c>
      <c r="K2" s="11" t="str">
        <f>"(10)"</f>
        <v>(10)</v>
      </c>
      <c r="L2" s="11" t="str">
        <f>"(11)"</f>
        <v>(11)</v>
      </c>
      <c r="M2" s="11" t="str">
        <f>"(12)"</f>
        <v>(12)</v>
      </c>
      <c r="N2" s="11" t="str">
        <f>"(13)"</f>
        <v>(13)</v>
      </c>
      <c r="O2" s="11" t="str">
        <f>"(14)"</f>
        <v>(14)</v>
      </c>
      <c r="P2" s="11" t="str">
        <f>"(15)"</f>
        <v>(15)</v>
      </c>
      <c r="Q2" s="11" t="str">
        <f>"(16)"</f>
        <v>(16)</v>
      </c>
      <c r="R2" s="11" t="str">
        <f>"(17)"</f>
        <v>(17)</v>
      </c>
      <c r="S2" s="11" t="str">
        <f>"(18)"</f>
        <v>(18)</v>
      </c>
      <c r="T2" s="11" t="str">
        <f>"(19)"</f>
        <v>(19)</v>
      </c>
      <c r="U2" s="11" t="str">
        <f>"(20)"</f>
        <v>(20)</v>
      </c>
      <c r="V2" s="11" t="str">
        <f>"(21)"</f>
        <v>(21)</v>
      </c>
      <c r="W2" s="11" t="str">
        <f>"(22)"</f>
        <v>(22)</v>
      </c>
      <c r="X2" s="11" t="str">
        <f>"(23)"</f>
        <v>(23)</v>
      </c>
      <c r="Y2" s="11" t="str">
        <f>"(24)"</f>
        <v>(24)</v>
      </c>
      <c r="Z2" s="11" t="str">
        <f>"(25)"</f>
        <v>(25)</v>
      </c>
      <c r="AA2" s="11" t="str">
        <f>"(26)"</f>
        <v>(26)</v>
      </c>
      <c r="AB2" s="11" t="str">
        <f>"(27)"</f>
        <v>(27)</v>
      </c>
      <c r="AC2" s="11" t="str">
        <f>"(28)"</f>
        <v>(28)</v>
      </c>
      <c r="AD2" s="11" t="str">
        <f>"(29)"</f>
        <v>(29)</v>
      </c>
      <c r="AE2" s="11" t="str">
        <f>"(30)"</f>
        <v>(30)</v>
      </c>
      <c r="AF2" s="11" t="str">
        <f>"(31)"</f>
        <v>(31)</v>
      </c>
      <c r="AG2" s="11" t="str">
        <f>"(32)"</f>
        <v>(32)</v>
      </c>
      <c r="AH2" s="11" t="str">
        <f>"(33)"</f>
        <v>(33)</v>
      </c>
      <c r="AI2" s="11" t="str">
        <f>"(34)"</f>
        <v>(34)</v>
      </c>
      <c r="AJ2" s="11" t="str">
        <f>"(35)"</f>
        <v>(35)</v>
      </c>
      <c r="AK2" s="11" t="str">
        <f>"(36)"</f>
        <v>(36)</v>
      </c>
      <c r="AL2" s="11" t="str">
        <f>"(37)"</f>
        <v>(37)</v>
      </c>
      <c r="AM2" s="11" t="str">
        <f>"(38)"</f>
        <v>(38)</v>
      </c>
      <c r="AN2" s="11" t="str">
        <f>"(39)"</f>
        <v>(39)</v>
      </c>
    </row>
    <row r="3" spans="1:40">
      <c r="A3" s="10" t="str">
        <f>""</f>
        <v/>
      </c>
      <c r="B3" s="170" t="s">
        <v>117</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row>
    <row r="5" spans="1:40">
      <c r="A5" s="10" t="str">
        <f>"alpha_c"</f>
        <v>alpha_c</v>
      </c>
      <c r="B5" s="10" t="str">
        <f>"-.1234"</f>
        <v>-.1234</v>
      </c>
      <c r="C5" s="10" t="str">
        <f>".05898"</f>
        <v>.05898</v>
      </c>
      <c r="D5" s="10" t="str">
        <f>"-.2305"</f>
        <v>-.2305</v>
      </c>
      <c r="E5" s="10" t="str">
        <f>""</f>
        <v/>
      </c>
      <c r="F5" s="10" t="str">
        <f>""</f>
        <v/>
      </c>
      <c r="G5" s="10" t="str">
        <f>""</f>
        <v/>
      </c>
      <c r="H5" s="10" t="str">
        <f>""</f>
        <v/>
      </c>
      <c r="I5" s="10" t="str">
        <f>""</f>
        <v/>
      </c>
      <c r="J5" s="10" t="str">
        <f>""</f>
        <v/>
      </c>
      <c r="K5" s="10" t="str">
        <f>""</f>
        <v/>
      </c>
      <c r="L5" s="10" t="str">
        <f>""</f>
        <v/>
      </c>
      <c r="M5" s="10" t="str">
        <f>""</f>
        <v/>
      </c>
      <c r="N5" s="10" t="str">
        <f>"-.3841***"</f>
        <v>-.3841***</v>
      </c>
      <c r="O5" s="10" t="str">
        <f>"-.09456"</f>
        <v>-.09456</v>
      </c>
      <c r="P5" s="10" t="str">
        <f>"-.08004"</f>
        <v>-.08004</v>
      </c>
      <c r="Q5" s="10" t="str">
        <f>"-.19**"</f>
        <v>-.19**</v>
      </c>
      <c r="R5" s="10" t="str">
        <f>".2242"</f>
        <v>.2242</v>
      </c>
      <c r="S5" s="10" t="str">
        <f>".158"</f>
        <v>.158</v>
      </c>
      <c r="T5" s="10" t="str">
        <f>""</f>
        <v/>
      </c>
      <c r="U5" s="10" t="str">
        <f>""</f>
        <v/>
      </c>
      <c r="V5" s="10" t="str">
        <f>""</f>
        <v/>
      </c>
      <c r="W5" s="10" t="str">
        <f>"-.4822***"</f>
        <v>-.4822***</v>
      </c>
      <c r="X5" s="10" t="str">
        <f>"-.03453"</f>
        <v>-.03453</v>
      </c>
      <c r="Y5" s="10" t="str">
        <f>"-.04833"</f>
        <v>-.04833</v>
      </c>
      <c r="Z5" s="10" t="str">
        <f>""</f>
        <v/>
      </c>
      <c r="AA5" s="10" t="str">
        <f>""</f>
        <v/>
      </c>
      <c r="AB5" s="10" t="str">
        <f>""</f>
        <v/>
      </c>
      <c r="AC5" s="10" t="str">
        <f>""</f>
        <v/>
      </c>
      <c r="AD5" s="10" t="str">
        <f>""</f>
        <v/>
      </c>
      <c r="AE5" s="10" t="str">
        <f>""</f>
        <v/>
      </c>
      <c r="AF5" s="10" t="str">
        <f>""</f>
        <v/>
      </c>
      <c r="AG5" s="10" t="str">
        <f>""</f>
        <v/>
      </c>
      <c r="AH5" s="10" t="str">
        <f>""</f>
        <v/>
      </c>
      <c r="AI5" s="10" t="str">
        <f>""</f>
        <v/>
      </c>
      <c r="AJ5" s="10" t="str">
        <f>""</f>
        <v/>
      </c>
      <c r="AK5" s="10" t="str">
        <f>""</f>
        <v/>
      </c>
      <c r="AL5" s="10" t="str">
        <f>""</f>
        <v/>
      </c>
      <c r="AM5" s="10" t="str">
        <f>""</f>
        <v/>
      </c>
      <c r="AN5" s="10" t="str">
        <f>""</f>
        <v/>
      </c>
    </row>
    <row r="6" spans="1:40">
      <c r="A6" s="10" t="str">
        <f>""</f>
        <v/>
      </c>
      <c r="B6" s="10" t="str">
        <f>"(.1936)"</f>
        <v>(.1936)</v>
      </c>
      <c r="C6" s="10" t="str">
        <f>"(.3495)"</f>
        <v>(.3495)</v>
      </c>
      <c r="D6" s="10" t="str">
        <f>"(.3905)"</f>
        <v>(.3905)</v>
      </c>
      <c r="E6" s="10" t="str">
        <f>""</f>
        <v/>
      </c>
      <c r="F6" s="10" t="str">
        <f>""</f>
        <v/>
      </c>
      <c r="G6" s="10" t="str">
        <f>""</f>
        <v/>
      </c>
      <c r="H6" s="10" t="str">
        <f>""</f>
        <v/>
      </c>
      <c r="I6" s="10" t="str">
        <f>""</f>
        <v/>
      </c>
      <c r="J6" s="10" t="str">
        <f>""</f>
        <v/>
      </c>
      <c r="K6" s="10" t="str">
        <f>""</f>
        <v/>
      </c>
      <c r="L6" s="10" t="str">
        <f>""</f>
        <v/>
      </c>
      <c r="M6" s="10" t="str">
        <f>""</f>
        <v/>
      </c>
      <c r="N6" s="10" t="str">
        <f>"(.0659)"</f>
        <v>(.0659)</v>
      </c>
      <c r="O6" s="10" t="str">
        <f>"(.1369)"</f>
        <v>(.1369)</v>
      </c>
      <c r="P6" s="10" t="str">
        <f>"(.08615)"</f>
        <v>(.08615)</v>
      </c>
      <c r="Q6" s="10" t="str">
        <f>"(.09468)"</f>
        <v>(.09468)</v>
      </c>
      <c r="R6" s="10" t="str">
        <f>"(.2216)"</f>
        <v>(.2216)</v>
      </c>
      <c r="S6" s="10" t="str">
        <f>"(.2194)"</f>
        <v>(.2194)</v>
      </c>
      <c r="T6" s="10" t="str">
        <f>""</f>
        <v/>
      </c>
      <c r="U6" s="10" t="str">
        <f>""</f>
        <v/>
      </c>
      <c r="V6" s="10" t="str">
        <f>""</f>
        <v/>
      </c>
      <c r="W6" s="10" t="str">
        <f>"(.1016)"</f>
        <v>(.1016)</v>
      </c>
      <c r="X6" s="10" t="str">
        <f>"(.1171)"</f>
        <v>(.1171)</v>
      </c>
      <c r="Y6" s="10" t="str">
        <f>"(.08327)"</f>
        <v>(.08327)</v>
      </c>
      <c r="Z6" s="10" t="str">
        <f>""</f>
        <v/>
      </c>
      <c r="AA6" s="10" t="str">
        <f>""</f>
        <v/>
      </c>
      <c r="AB6" s="10" t="str">
        <f>""</f>
        <v/>
      </c>
      <c r="AC6" s="10" t="str">
        <f>""</f>
        <v/>
      </c>
      <c r="AD6" s="10" t="str">
        <f>""</f>
        <v/>
      </c>
      <c r="AE6" s="10" t="str">
        <f>""</f>
        <v/>
      </c>
      <c r="AF6" s="10" t="str">
        <f>""</f>
        <v/>
      </c>
      <c r="AG6" s="10" t="str">
        <f>""</f>
        <v/>
      </c>
      <c r="AH6" s="10" t="str">
        <f>""</f>
        <v/>
      </c>
      <c r="AI6" s="10" t="str">
        <f>""</f>
        <v/>
      </c>
      <c r="AJ6" s="10" t="str">
        <f>""</f>
        <v/>
      </c>
      <c r="AK6" s="10" t="str">
        <f>""</f>
        <v/>
      </c>
      <c r="AL6" s="10" t="str">
        <f>""</f>
        <v/>
      </c>
      <c r="AM6" s="10" t="str">
        <f>""</f>
        <v/>
      </c>
      <c r="AN6" s="10" t="str">
        <f>""</f>
        <v/>
      </c>
    </row>
    <row r="7" spans="1:40">
      <c r="A7" s="10" t="str">
        <f>"Ealpha_c"</f>
        <v>Ealpha_c</v>
      </c>
      <c r="B7" s="10" t="str">
        <f>".218"</f>
        <v>.218</v>
      </c>
      <c r="C7" s="10" t="str">
        <f>"1.099"</f>
        <v>1.099</v>
      </c>
      <c r="D7" s="10" t="str">
        <f>"2.153*"</f>
        <v>2.153*</v>
      </c>
      <c r="E7" s="10" t="str">
        <f>""</f>
        <v/>
      </c>
      <c r="F7" s="10" t="str">
        <f>""</f>
        <v/>
      </c>
      <c r="G7" s="10" t="str">
        <f>""</f>
        <v/>
      </c>
      <c r="H7" s="10" t="str">
        <f>""</f>
        <v/>
      </c>
      <c r="I7" s="10" t="str">
        <f>""</f>
        <v/>
      </c>
      <c r="J7" s="10" t="str">
        <f>""</f>
        <v/>
      </c>
      <c r="K7" s="10" t="str">
        <f>""</f>
        <v/>
      </c>
      <c r="L7" s="10" t="str">
        <f>""</f>
        <v/>
      </c>
      <c r="M7" s="10" t="str">
        <f>""</f>
        <v/>
      </c>
      <c r="N7" s="10" t="str">
        <f>""</f>
        <v/>
      </c>
      <c r="O7" s="10" t="str">
        <f>""</f>
        <v/>
      </c>
      <c r="P7" s="10" t="str">
        <f>""</f>
        <v/>
      </c>
      <c r="Q7" s="10" t="str">
        <f>""</f>
        <v/>
      </c>
      <c r="R7" s="10" t="str">
        <f>""</f>
        <v/>
      </c>
      <c r="S7" s="10" t="str">
        <f>""</f>
        <v/>
      </c>
      <c r="T7" s="10" t="str">
        <f>""</f>
        <v/>
      </c>
      <c r="U7" s="10" t="str">
        <f>""</f>
        <v/>
      </c>
      <c r="V7" s="10" t="str">
        <f>""</f>
        <v/>
      </c>
      <c r="W7" s="10" t="str">
        <f>""</f>
        <v/>
      </c>
      <c r="X7" s="10" t="str">
        <f>""</f>
        <v/>
      </c>
      <c r="Y7" s="10" t="str">
        <f>""</f>
        <v/>
      </c>
      <c r="Z7" s="10" t="str">
        <f>"-.8325**"</f>
        <v>-.8325**</v>
      </c>
      <c r="AA7" s="10" t="str">
        <f>".1168"</f>
        <v>.1168</v>
      </c>
      <c r="AB7" s="10" t="str">
        <f>"-.2297"</f>
        <v>-.2297</v>
      </c>
      <c r="AC7" s="10" t="str">
        <f>".4706"</f>
        <v>.4706</v>
      </c>
      <c r="AD7" s="10" t="str">
        <f>"1.536*"</f>
        <v>1.536*</v>
      </c>
      <c r="AE7" s="10" t="str">
        <f>"2.005**"</f>
        <v>2.005**</v>
      </c>
      <c r="AF7" s="10" t="str">
        <f>"-1.504**"</f>
        <v>-1.504**</v>
      </c>
      <c r="AG7" s="10" t="str">
        <f>"-.7078"</f>
        <v>-.7078</v>
      </c>
      <c r="AH7" s="10" t="str">
        <f>"-.7836"</f>
        <v>-.7836</v>
      </c>
      <c r="AI7" s="10" t="str">
        <f>""</f>
        <v/>
      </c>
      <c r="AJ7" s="10" t="str">
        <f>""</f>
        <v/>
      </c>
      <c r="AK7" s="10" t="str">
        <f>""</f>
        <v/>
      </c>
      <c r="AL7" s="10" t="str">
        <f>"-1.292"</f>
        <v>-1.292</v>
      </c>
      <c r="AM7" s="10" t="str">
        <f>"-.7773"</f>
        <v>-.7773</v>
      </c>
      <c r="AN7" s="10" t="str">
        <f>"-1.725"</f>
        <v>-1.725</v>
      </c>
    </row>
    <row r="8" spans="1:40">
      <c r="A8" s="10" t="str">
        <f>""</f>
        <v/>
      </c>
      <c r="B8" s="10" t="str">
        <f>"(.6482)"</f>
        <v>(.6482)</v>
      </c>
      <c r="C8" s="10" t="str">
        <f>"(1.038)"</f>
        <v>(1.038)</v>
      </c>
      <c r="D8" s="10" t="str">
        <f>"(1.295)"</f>
        <v>(1.295)</v>
      </c>
      <c r="E8" s="10" t="str">
        <f>""</f>
        <v/>
      </c>
      <c r="F8" s="10" t="str">
        <f>""</f>
        <v/>
      </c>
      <c r="G8" s="10" t="str">
        <f>""</f>
        <v/>
      </c>
      <c r="H8" s="10" t="str">
        <f>""</f>
        <v/>
      </c>
      <c r="I8" s="10" t="str">
        <f>""</f>
        <v/>
      </c>
      <c r="J8" s="10" t="str">
        <f>""</f>
        <v/>
      </c>
      <c r="K8" s="10" t="str">
        <f>""</f>
        <v/>
      </c>
      <c r="L8" s="10" t="str">
        <f>""</f>
        <v/>
      </c>
      <c r="M8" s="10" t="str">
        <f>""</f>
        <v/>
      </c>
      <c r="N8" s="10" t="str">
        <f>""</f>
        <v/>
      </c>
      <c r="O8" s="10" t="str">
        <f>""</f>
        <v/>
      </c>
      <c r="P8" s="10" t="str">
        <f>""</f>
        <v/>
      </c>
      <c r="Q8" s="10" t="str">
        <f>""</f>
        <v/>
      </c>
      <c r="R8" s="10" t="str">
        <f>""</f>
        <v/>
      </c>
      <c r="S8" s="10" t="str">
        <f>""</f>
        <v/>
      </c>
      <c r="T8" s="10" t="str">
        <f>""</f>
        <v/>
      </c>
      <c r="U8" s="10" t="str">
        <f>""</f>
        <v/>
      </c>
      <c r="V8" s="10" t="str">
        <f>""</f>
        <v/>
      </c>
      <c r="W8" s="10" t="str">
        <f>""</f>
        <v/>
      </c>
      <c r="X8" s="10" t="str">
        <f>""</f>
        <v/>
      </c>
      <c r="Y8" s="10" t="str">
        <f>""</f>
        <v/>
      </c>
      <c r="Z8" s="10" t="str">
        <f>"(.3309)"</f>
        <v>(.3309)</v>
      </c>
      <c r="AA8" s="10" t="str">
        <f>"(.6627)"</f>
        <v>(.6627)</v>
      </c>
      <c r="AB8" s="10" t="str">
        <f>"(.9926)"</f>
        <v>(.9926)</v>
      </c>
      <c r="AC8" s="10" t="str">
        <f>"(.6317)"</f>
        <v>(.6317)</v>
      </c>
      <c r="AD8" s="10" t="str">
        <f>"(.9079)"</f>
        <v>(.9079)</v>
      </c>
      <c r="AE8" s="10" t="str">
        <f>"(.9943)"</f>
        <v>(.9943)</v>
      </c>
      <c r="AF8" s="10" t="str">
        <f>"(.7179)"</f>
        <v>(.7179)</v>
      </c>
      <c r="AG8" s="10" t="str">
        <f>"(1.122)"</f>
        <v>(1.122)</v>
      </c>
      <c r="AH8" s="10" t="str">
        <f>"(1.803)"</f>
        <v>(1.803)</v>
      </c>
      <c r="AI8" s="10" t="str">
        <f>""</f>
        <v/>
      </c>
      <c r="AJ8" s="10" t="str">
        <f>""</f>
        <v/>
      </c>
      <c r="AK8" s="10" t="str">
        <f>""</f>
        <v/>
      </c>
      <c r="AL8" s="10" t="str">
        <f>"(.8587)"</f>
        <v>(.8587)</v>
      </c>
      <c r="AM8" s="10" t="str">
        <f>"(1.52)"</f>
        <v>(1.52)</v>
      </c>
      <c r="AN8" s="10" t="str">
        <f>"(1.826)"</f>
        <v>(1.826)</v>
      </c>
    </row>
    <row r="9" spans="1:40">
      <c r="A9" s="10" t="str">
        <f>"s_alpha_q1q5"</f>
        <v>s_alpha_q1q5</v>
      </c>
      <c r="B9" s="10" t="str">
        <f>""</f>
        <v/>
      </c>
      <c r="C9" s="10" t="str">
        <f>""</f>
        <v/>
      </c>
      <c r="D9" s="10" t="str">
        <f>""</f>
        <v/>
      </c>
      <c r="E9" s="10" t="str">
        <f>".7757"</f>
        <v>.7757</v>
      </c>
      <c r="F9" s="10" t="str">
        <f>".5418"</f>
        <v>.5418</v>
      </c>
      <c r="G9" s="10" t="str">
        <f>".4509"</f>
        <v>.4509</v>
      </c>
      <c r="H9" s="10" t="str">
        <f>""</f>
        <v/>
      </c>
      <c r="I9" s="10" t="str">
        <f>""</f>
        <v/>
      </c>
      <c r="J9" s="10" t="str">
        <f>""</f>
        <v/>
      </c>
      <c r="K9" s="10" t="str">
        <f>""</f>
        <v/>
      </c>
      <c r="L9" s="10" t="str">
        <f>""</f>
        <v/>
      </c>
      <c r="M9" s="10" t="str">
        <f>""</f>
        <v/>
      </c>
      <c r="N9" s="10" t="str">
        <f>""</f>
        <v/>
      </c>
      <c r="O9" s="10" t="str">
        <f>""</f>
        <v/>
      </c>
      <c r="P9" s="10" t="str">
        <f>""</f>
        <v/>
      </c>
      <c r="Q9" s="10" t="str">
        <f>".7125*"</f>
        <v>.7125*</v>
      </c>
      <c r="R9" s="10" t="str">
        <f>".1682"</f>
        <v>.1682</v>
      </c>
      <c r="S9" s="10" t="str">
        <f>".2059"</f>
        <v>.2059</v>
      </c>
      <c r="T9" s="10" t="str">
        <f>""</f>
        <v/>
      </c>
      <c r="U9" s="10" t="str">
        <f>""</f>
        <v/>
      </c>
      <c r="V9" s="10" t="str">
        <f>""</f>
        <v/>
      </c>
      <c r="W9" s="10" t="str">
        <f>"-.2371"</f>
        <v>-.2371</v>
      </c>
      <c r="X9" s="10" t="str">
        <f>"-.9945***"</f>
        <v>-.9945***</v>
      </c>
      <c r="Y9" s="10" t="str">
        <f>"-.9559***"</f>
        <v>-.9559***</v>
      </c>
      <c r="Z9" s="10" t="str">
        <f>""</f>
        <v/>
      </c>
      <c r="AA9" s="10" t="str">
        <f>""</f>
        <v/>
      </c>
      <c r="AB9" s="10" t="str">
        <f>""</f>
        <v/>
      </c>
      <c r="AC9" s="10" t="str">
        <f>""</f>
        <v/>
      </c>
      <c r="AD9" s="10" t="str">
        <f>""</f>
        <v/>
      </c>
      <c r="AE9" s="10" t="str">
        <f>""</f>
        <v/>
      </c>
      <c r="AF9" s="10" t="str">
        <f>""</f>
        <v/>
      </c>
      <c r="AG9" s="10" t="str">
        <f>""</f>
        <v/>
      </c>
      <c r="AH9" s="10" t="str">
        <f>""</f>
        <v/>
      </c>
      <c r="AI9" s="10" t="str">
        <f>""</f>
        <v/>
      </c>
      <c r="AJ9" s="10" t="str">
        <f>""</f>
        <v/>
      </c>
      <c r="AK9" s="10" t="str">
        <f>""</f>
        <v/>
      </c>
      <c r="AL9" s="10" t="str">
        <f>""</f>
        <v/>
      </c>
      <c r="AM9" s="10" t="str">
        <f>""</f>
        <v/>
      </c>
      <c r="AN9" s="10" t="str">
        <f>""</f>
        <v/>
      </c>
    </row>
    <row r="10" spans="1:40">
      <c r="A10" s="10" t="str">
        <f>""</f>
        <v/>
      </c>
      <c r="B10" s="10" t="str">
        <f>""</f>
        <v/>
      </c>
      <c r="C10" s="10" t="str">
        <f>""</f>
        <v/>
      </c>
      <c r="D10" s="10" t="str">
        <f>""</f>
        <v/>
      </c>
      <c r="E10" s="10" t="str">
        <f>"(.5934)"</f>
        <v>(.5934)</v>
      </c>
      <c r="F10" s="10" t="str">
        <f>"(.8106)"</f>
        <v>(.8106)</v>
      </c>
      <c r="G10" s="10" t="str">
        <f>"(.8431)"</f>
        <v>(.8431)</v>
      </c>
      <c r="H10" s="10" t="str">
        <f>""</f>
        <v/>
      </c>
      <c r="I10" s="10" t="str">
        <f>""</f>
        <v/>
      </c>
      <c r="J10" s="10" t="str">
        <f>""</f>
        <v/>
      </c>
      <c r="K10" s="10" t="str">
        <f>""</f>
        <v/>
      </c>
      <c r="L10" s="10" t="str">
        <f>""</f>
        <v/>
      </c>
      <c r="M10" s="10" t="str">
        <f>""</f>
        <v/>
      </c>
      <c r="N10" s="10" t="str">
        <f>""</f>
        <v/>
      </c>
      <c r="O10" s="10" t="str">
        <f>""</f>
        <v/>
      </c>
      <c r="P10" s="10" t="str">
        <f>""</f>
        <v/>
      </c>
      <c r="Q10" s="10" t="str">
        <f>"(.4316)"</f>
        <v>(.4316)</v>
      </c>
      <c r="R10" s="10" t="str">
        <f>"(.6091)"</f>
        <v>(.6091)</v>
      </c>
      <c r="S10" s="10" t="str">
        <f>"(.5625)"</f>
        <v>(.5625)</v>
      </c>
      <c r="T10" s="10" t="str">
        <f>""</f>
        <v/>
      </c>
      <c r="U10" s="10" t="str">
        <f>""</f>
        <v/>
      </c>
      <c r="V10" s="10" t="str">
        <f>""</f>
        <v/>
      </c>
      <c r="W10" s="10" t="str">
        <f>"(.4783)"</f>
        <v>(.4783)</v>
      </c>
      <c r="X10" s="10" t="str">
        <f>"(.3754)"</f>
        <v>(.3754)</v>
      </c>
      <c r="Y10" s="10" t="str">
        <f>"(.3667)"</f>
        <v>(.3667)</v>
      </c>
      <c r="Z10" s="10" t="str">
        <f>""</f>
        <v/>
      </c>
      <c r="AA10" s="10" t="str">
        <f>""</f>
        <v/>
      </c>
      <c r="AB10" s="10" t="str">
        <f>""</f>
        <v/>
      </c>
      <c r="AC10" s="10" t="str">
        <f>""</f>
        <v/>
      </c>
      <c r="AD10" s="10" t="str">
        <f>""</f>
        <v/>
      </c>
      <c r="AE10" s="10" t="str">
        <f>""</f>
        <v/>
      </c>
      <c r="AF10" s="10" t="str">
        <f>""</f>
        <v/>
      </c>
      <c r="AG10" s="10" t="str">
        <f>""</f>
        <v/>
      </c>
      <c r="AH10" s="10" t="str">
        <f>""</f>
        <v/>
      </c>
      <c r="AI10" s="10" t="str">
        <f>""</f>
        <v/>
      </c>
      <c r="AJ10" s="10" t="str">
        <f>""</f>
        <v/>
      </c>
      <c r="AK10" s="10" t="str">
        <f>""</f>
        <v/>
      </c>
      <c r="AL10" s="10" t="str">
        <f>""</f>
        <v/>
      </c>
      <c r="AM10" s="10" t="str">
        <f>""</f>
        <v/>
      </c>
      <c r="AN10" s="10" t="str">
        <f>""</f>
        <v/>
      </c>
    </row>
    <row r="11" spans="1:40">
      <c r="A11" s="10" t="str">
        <f>"Es_alpha_q1q5"</f>
        <v>Es_alpha_q1q5</v>
      </c>
      <c r="B11" s="10" t="str">
        <f>""</f>
        <v/>
      </c>
      <c r="C11" s="10" t="str">
        <f>""</f>
        <v/>
      </c>
      <c r="D11" s="10" t="str">
        <f>""</f>
        <v/>
      </c>
      <c r="E11" s="10" t="str">
        <f>"-3.057***"</f>
        <v>-3.057***</v>
      </c>
      <c r="F11" s="10" t="str">
        <f>"1.173"</f>
        <v>1.173</v>
      </c>
      <c r="G11" s="10" t="str">
        <f>".917"</f>
        <v>.917</v>
      </c>
      <c r="H11" s="10" t="str">
        <f>""</f>
        <v/>
      </c>
      <c r="I11" s="10" t="str">
        <f>""</f>
        <v/>
      </c>
      <c r="J11" s="10" t="str">
        <f>""</f>
        <v/>
      </c>
      <c r="K11" s="10" t="str">
        <f>""</f>
        <v/>
      </c>
      <c r="L11" s="10" t="str">
        <f>""</f>
        <v/>
      </c>
      <c r="M11" s="10" t="str">
        <f>""</f>
        <v/>
      </c>
      <c r="N11" s="10" t="str">
        <f>""</f>
        <v/>
      </c>
      <c r="O11" s="10" t="str">
        <f>""</f>
        <v/>
      </c>
      <c r="P11" s="10" t="str">
        <f>""</f>
        <v/>
      </c>
      <c r="Q11" s="10" t="str">
        <f>""</f>
        <v/>
      </c>
      <c r="R11" s="10" t="str">
        <f>""</f>
        <v/>
      </c>
      <c r="S11" s="10" t="str">
        <f>""</f>
        <v/>
      </c>
      <c r="T11" s="10" t="str">
        <f>""</f>
        <v/>
      </c>
      <c r="U11" s="10" t="str">
        <f>""</f>
        <v/>
      </c>
      <c r="V11" s="10" t="str">
        <f>""</f>
        <v/>
      </c>
      <c r="W11" s="10" t="str">
        <f>""</f>
        <v/>
      </c>
      <c r="X11" s="10" t="str">
        <f>""</f>
        <v/>
      </c>
      <c r="Y11" s="10" t="str">
        <f>""</f>
        <v/>
      </c>
      <c r="Z11" s="10" t="str">
        <f>""</f>
        <v/>
      </c>
      <c r="AA11" s="10" t="str">
        <f>""</f>
        <v/>
      </c>
      <c r="AB11" s="10" t="str">
        <f>""</f>
        <v/>
      </c>
      <c r="AC11" s="10" t="str">
        <f>"-2.734"</f>
        <v>-2.734</v>
      </c>
      <c r="AD11" s="10" t="str">
        <f>"-1.057"</f>
        <v>-1.057</v>
      </c>
      <c r="AE11" s="10" t="str">
        <f>"-2.992"</f>
        <v>-2.992</v>
      </c>
      <c r="AF11" s="10" t="str">
        <f>"2.055"</f>
        <v>2.055</v>
      </c>
      <c r="AG11" s="10" t="str">
        <f>"1.913"</f>
        <v>1.913</v>
      </c>
      <c r="AH11" s="10" t="str">
        <f>".02269"</f>
        <v>.02269</v>
      </c>
      <c r="AI11" s="10" t="str">
        <f>""</f>
        <v/>
      </c>
      <c r="AJ11" s="10" t="str">
        <f>""</f>
        <v/>
      </c>
      <c r="AK11" s="10" t="str">
        <f>""</f>
        <v/>
      </c>
      <c r="AL11" s="10" t="str">
        <f>"1.948"</f>
        <v>1.948</v>
      </c>
      <c r="AM11" s="10" t="str">
        <f>"1.043"</f>
        <v>1.043</v>
      </c>
      <c r="AN11" s="10" t="str">
        <f>"1.552"</f>
        <v>1.552</v>
      </c>
    </row>
    <row r="12" spans="1:40">
      <c r="A12" s="10" t="str">
        <f>""</f>
        <v/>
      </c>
      <c r="B12" s="10" t="str">
        <f>""</f>
        <v/>
      </c>
      <c r="C12" s="10" t="str">
        <f>""</f>
        <v/>
      </c>
      <c r="D12" s="10" t="str">
        <f>""</f>
        <v/>
      </c>
      <c r="E12" s="10" t="str">
        <f>"(1.141)"</f>
        <v>(1.141)</v>
      </c>
      <c r="F12" s="10" t="str">
        <f>"(2.367)"</f>
        <v>(2.367)</v>
      </c>
      <c r="G12" s="10" t="str">
        <f>"(2.808)"</f>
        <v>(2.808)</v>
      </c>
      <c r="H12" s="10" t="str">
        <f>""</f>
        <v/>
      </c>
      <c r="I12" s="10" t="str">
        <f>""</f>
        <v/>
      </c>
      <c r="J12" s="10" t="str">
        <f>""</f>
        <v/>
      </c>
      <c r="K12" s="10" t="str">
        <f>""</f>
        <v/>
      </c>
      <c r="L12" s="10" t="str">
        <f>""</f>
        <v/>
      </c>
      <c r="M12" s="10" t="str">
        <f>""</f>
        <v/>
      </c>
      <c r="N12" s="10" t="str">
        <f>""</f>
        <v/>
      </c>
      <c r="O12" s="10" t="str">
        <f>""</f>
        <v/>
      </c>
      <c r="P12" s="10" t="str">
        <f>""</f>
        <v/>
      </c>
      <c r="Q12" s="10" t="str">
        <f>""</f>
        <v/>
      </c>
      <c r="R12" s="10" t="str">
        <f>""</f>
        <v/>
      </c>
      <c r="S12" s="10" t="str">
        <f>""</f>
        <v/>
      </c>
      <c r="T12" s="10" t="str">
        <f>""</f>
        <v/>
      </c>
      <c r="U12" s="10" t="str">
        <f>""</f>
        <v/>
      </c>
      <c r="V12" s="10" t="str">
        <f>""</f>
        <v/>
      </c>
      <c r="W12" s="10" t="str">
        <f>""</f>
        <v/>
      </c>
      <c r="X12" s="10" t="str">
        <f>""</f>
        <v/>
      </c>
      <c r="Y12" s="10" t="str">
        <f>""</f>
        <v/>
      </c>
      <c r="Z12" s="10" t="str">
        <f>""</f>
        <v/>
      </c>
      <c r="AA12" s="10" t="str">
        <f>""</f>
        <v/>
      </c>
      <c r="AB12" s="10" t="str">
        <f>""</f>
        <v/>
      </c>
      <c r="AC12" s="10" t="str">
        <f>"(2.206)"</f>
        <v>(2.206)</v>
      </c>
      <c r="AD12" s="10" t="str">
        <f>"(2.749)"</f>
        <v>(2.749)</v>
      </c>
      <c r="AE12" s="10" t="str">
        <f>"(3.238)"</f>
        <v>(3.238)</v>
      </c>
      <c r="AF12" s="10" t="str">
        <f>"(1.729)"</f>
        <v>(1.729)</v>
      </c>
      <c r="AG12" s="10" t="str">
        <f>"(2.332)"</f>
        <v>(2.332)</v>
      </c>
      <c r="AH12" s="10" t="str">
        <f>"(2.834)"</f>
        <v>(2.834)</v>
      </c>
      <c r="AI12" s="10" t="str">
        <f>""</f>
        <v/>
      </c>
      <c r="AJ12" s="10" t="str">
        <f>""</f>
        <v/>
      </c>
      <c r="AK12" s="10" t="str">
        <f>""</f>
        <v/>
      </c>
      <c r="AL12" s="10" t="str">
        <f>"(2.004)"</f>
        <v>(2.004)</v>
      </c>
      <c r="AM12" s="10" t="str">
        <f>"(2.584)"</f>
        <v>(2.584)</v>
      </c>
      <c r="AN12" s="10" t="str">
        <f>"(2.509)"</f>
        <v>(2.509)</v>
      </c>
    </row>
    <row r="13" spans="1:40">
      <c r="A13" s="10" t="str">
        <f>"psi_c"</f>
        <v>psi_c</v>
      </c>
      <c r="B13" s="10" t="str">
        <f>""</f>
        <v/>
      </c>
      <c r="C13" s="10" t="str">
        <f>""</f>
        <v/>
      </c>
      <c r="D13" s="10" t="str">
        <f>""</f>
        <v/>
      </c>
      <c r="E13" s="10" t="str">
        <f>""</f>
        <v/>
      </c>
      <c r="F13" s="10" t="str">
        <f>""</f>
        <v/>
      </c>
      <c r="G13" s="10" t="str">
        <f>""</f>
        <v/>
      </c>
      <c r="H13" s="10" t="str">
        <f>".8751***"</f>
        <v>.8751***</v>
      </c>
      <c r="I13" s="10" t="str">
        <f>"1.518***"</f>
        <v>1.518***</v>
      </c>
      <c r="J13" s="10" t="str">
        <f>"1.783***"</f>
        <v>1.783***</v>
      </c>
      <c r="K13" s="10" t="str">
        <f>""</f>
        <v/>
      </c>
      <c r="L13" s="10" t="str">
        <f>""</f>
        <v/>
      </c>
      <c r="M13" s="10" t="str">
        <f>""</f>
        <v/>
      </c>
      <c r="N13" s="10" t="str">
        <f>"1.656***"</f>
        <v>1.656***</v>
      </c>
      <c r="O13" s="10" t="str">
        <f>"1.744***"</f>
        <v>1.744***</v>
      </c>
      <c r="P13" s="10" t="str">
        <f>"1.932***"</f>
        <v>1.932***</v>
      </c>
      <c r="Q13" s="10" t="str">
        <f>""</f>
        <v/>
      </c>
      <c r="R13" s="10" t="str">
        <f>""</f>
        <v/>
      </c>
      <c r="S13" s="10" t="str">
        <f>""</f>
        <v/>
      </c>
      <c r="T13" s="10" t="str">
        <f>".8691"</f>
        <v>.8691</v>
      </c>
      <c r="U13" s="10" t="str">
        <f>"1.409"</f>
        <v>1.409</v>
      </c>
      <c r="V13" s="10" t="str">
        <f>"1.404*"</f>
        <v>1.404*</v>
      </c>
      <c r="W13" s="10" t="str">
        <f>"-.2294"</f>
        <v>-.2294</v>
      </c>
      <c r="X13" s="10" t="str">
        <f>".7585"</f>
        <v>.7585</v>
      </c>
      <c r="Y13" s="10" t="str">
        <f>".7812"</f>
        <v>.7812</v>
      </c>
      <c r="Z13" s="10" t="str">
        <f>""</f>
        <v/>
      </c>
      <c r="AA13" s="10" t="str">
        <f>""</f>
        <v/>
      </c>
      <c r="AB13" s="10" t="str">
        <f>""</f>
        <v/>
      </c>
      <c r="AC13" s="10" t="str">
        <f>""</f>
        <v/>
      </c>
      <c r="AD13" s="10" t="str">
        <f>""</f>
        <v/>
      </c>
      <c r="AE13" s="10" t="str">
        <f>""</f>
        <v/>
      </c>
      <c r="AF13" s="10" t="str">
        <f>""</f>
        <v/>
      </c>
      <c r="AG13" s="10" t="str">
        <f>""</f>
        <v/>
      </c>
      <c r="AH13" s="10" t="str">
        <f>""</f>
        <v/>
      </c>
      <c r="AI13" s="10" t="str">
        <f>""</f>
        <v/>
      </c>
      <c r="AJ13" s="10" t="str">
        <f>""</f>
        <v/>
      </c>
      <c r="AK13" s="10" t="str">
        <f>""</f>
        <v/>
      </c>
      <c r="AL13" s="10" t="str">
        <f>""</f>
        <v/>
      </c>
      <c r="AM13" s="10" t="str">
        <f>""</f>
        <v/>
      </c>
      <c r="AN13" s="10" t="str">
        <f>""</f>
        <v/>
      </c>
    </row>
    <row r="14" spans="1:40">
      <c r="A14" s="10" t="str">
        <f>""</f>
        <v/>
      </c>
      <c r="B14" s="10" t="str">
        <f>""</f>
        <v/>
      </c>
      <c r="C14" s="10" t="str">
        <f>""</f>
        <v/>
      </c>
      <c r="D14" s="10" t="str">
        <f>""</f>
        <v/>
      </c>
      <c r="E14" s="10" t="str">
        <f>""</f>
        <v/>
      </c>
      <c r="F14" s="10" t="str">
        <f>""</f>
        <v/>
      </c>
      <c r="G14" s="10" t="str">
        <f>""</f>
        <v/>
      </c>
      <c r="H14" s="10" t="str">
        <f>"(.2514)"</f>
        <v>(.2514)</v>
      </c>
      <c r="I14" s="10" t="str">
        <f>"(.1606)"</f>
        <v>(.1606)</v>
      </c>
      <c r="J14" s="10" t="str">
        <f>"(.2366)"</f>
        <v>(.2366)</v>
      </c>
      <c r="K14" s="10" t="str">
        <f>""</f>
        <v/>
      </c>
      <c r="L14" s="10" t="str">
        <f>""</f>
        <v/>
      </c>
      <c r="M14" s="10" t="str">
        <f>""</f>
        <v/>
      </c>
      <c r="N14" s="10" t="str">
        <f>"(.1747)"</f>
        <v>(.1747)</v>
      </c>
      <c r="O14" s="10" t="str">
        <f>"(.2077)"</f>
        <v>(.2077)</v>
      </c>
      <c r="P14" s="10" t="str">
        <f>"(.2112)"</f>
        <v>(.2112)</v>
      </c>
      <c r="Q14" s="10" t="str">
        <f>""</f>
        <v/>
      </c>
      <c r="R14" s="10" t="str">
        <f>""</f>
        <v/>
      </c>
      <c r="S14" s="10" t="str">
        <f>""</f>
        <v/>
      </c>
      <c r="T14" s="10" t="str">
        <f>"(1.203)"</f>
        <v>(1.203)</v>
      </c>
      <c r="U14" s="10" t="str">
        <f>"(1.119)"</f>
        <v>(1.119)</v>
      </c>
      <c r="V14" s="10" t="str">
        <f>"(.7881)"</f>
        <v>(.7881)</v>
      </c>
      <c r="W14" s="10" t="str">
        <f>"(.5786)"</f>
        <v>(.5786)</v>
      </c>
      <c r="X14" s="10" t="str">
        <f>"(.8186)"</f>
        <v>(.8186)</v>
      </c>
      <c r="Y14" s="10" t="str">
        <f>"(.5794)"</f>
        <v>(.5794)</v>
      </c>
      <c r="Z14" s="10" t="str">
        <f>""</f>
        <v/>
      </c>
      <c r="AA14" s="10" t="str">
        <f>""</f>
        <v/>
      </c>
      <c r="AB14" s="10" t="str">
        <f>""</f>
        <v/>
      </c>
      <c r="AC14" s="10" t="str">
        <f>""</f>
        <v/>
      </c>
      <c r="AD14" s="10" t="str">
        <f>""</f>
        <v/>
      </c>
      <c r="AE14" s="10" t="str">
        <f>""</f>
        <v/>
      </c>
      <c r="AF14" s="10" t="str">
        <f>""</f>
        <v/>
      </c>
      <c r="AG14" s="10" t="str">
        <f>""</f>
        <v/>
      </c>
      <c r="AH14" s="10" t="str">
        <f>""</f>
        <v/>
      </c>
      <c r="AI14" s="10" t="str">
        <f>""</f>
        <v/>
      </c>
      <c r="AJ14" s="10" t="str">
        <f>""</f>
        <v/>
      </c>
      <c r="AK14" s="10" t="str">
        <f>""</f>
        <v/>
      </c>
      <c r="AL14" s="10" t="str">
        <f>""</f>
        <v/>
      </c>
      <c r="AM14" s="10" t="str">
        <f>""</f>
        <v/>
      </c>
      <c r="AN14" s="10" t="str">
        <f>""</f>
        <v/>
      </c>
    </row>
    <row r="15" spans="1:40">
      <c r="A15" s="10" t="str">
        <f>"Epsi_c"</f>
        <v>Epsi_c</v>
      </c>
      <c r="B15" s="10" t="str">
        <f>""</f>
        <v/>
      </c>
      <c r="C15" s="10" t="str">
        <f>""</f>
        <v/>
      </c>
      <c r="D15" s="10" t="str">
        <f>""</f>
        <v/>
      </c>
      <c r="E15" s="10" t="str">
        <f>""</f>
        <v/>
      </c>
      <c r="F15" s="10" t="str">
        <f>""</f>
        <v/>
      </c>
      <c r="G15" s="10" t="str">
        <f>""</f>
        <v/>
      </c>
      <c r="H15" s="10" t="str">
        <f>"1.443"</f>
        <v>1.443</v>
      </c>
      <c r="I15" s="10" t="str">
        <f>"1.162"</f>
        <v>1.162</v>
      </c>
      <c r="J15" s="10" t="str">
        <f>".4513"</f>
        <v>.4513</v>
      </c>
      <c r="K15" s="10" t="str">
        <f>""</f>
        <v/>
      </c>
      <c r="L15" s="10" t="str">
        <f>""</f>
        <v/>
      </c>
      <c r="M15" s="10" t="str">
        <f>""</f>
        <v/>
      </c>
      <c r="N15" s="10" t="str">
        <f>""</f>
        <v/>
      </c>
      <c r="O15" s="10" t="str">
        <f>""</f>
        <v/>
      </c>
      <c r="P15" s="10" t="str">
        <f>""</f>
        <v/>
      </c>
      <c r="Q15" s="10" t="str">
        <f>""</f>
        <v/>
      </c>
      <c r="R15" s="10" t="str">
        <f>""</f>
        <v/>
      </c>
      <c r="S15" s="10" t="str">
        <f>""</f>
        <v/>
      </c>
      <c r="T15" s="10" t="str">
        <f>""</f>
        <v/>
      </c>
      <c r="U15" s="10" t="str">
        <f>""</f>
        <v/>
      </c>
      <c r="V15" s="10" t="str">
        <f>""</f>
        <v/>
      </c>
      <c r="W15" s="10" t="str">
        <f>""</f>
        <v/>
      </c>
      <c r="X15" s="10" t="str">
        <f>""</f>
        <v/>
      </c>
      <c r="Y15" s="10" t="str">
        <f>""</f>
        <v/>
      </c>
      <c r="Z15" s="10" t="str">
        <f>"3.632***"</f>
        <v>3.632***</v>
      </c>
      <c r="AA15" s="10" t="str">
        <f>"3.551**"</f>
        <v>3.551**</v>
      </c>
      <c r="AB15" s="10" t="str">
        <f>"4.314**"</f>
        <v>4.314**</v>
      </c>
      <c r="AC15" s="10" t="str">
        <f>""</f>
        <v/>
      </c>
      <c r="AD15" s="10" t="str">
        <f>""</f>
        <v/>
      </c>
      <c r="AE15" s="10" t="str">
        <f>""</f>
        <v/>
      </c>
      <c r="AF15" s="10" t="str">
        <f>"4.026"</f>
        <v>4.026</v>
      </c>
      <c r="AG15" s="10" t="str">
        <f>"2.603"</f>
        <v>2.603</v>
      </c>
      <c r="AH15" s="10" t="str">
        <f>"1.44"</f>
        <v>1.44</v>
      </c>
      <c r="AI15" s="10" t="str">
        <f>""</f>
        <v/>
      </c>
      <c r="AJ15" s="10" t="str">
        <f>""</f>
        <v/>
      </c>
      <c r="AK15" s="10" t="str">
        <f>""</f>
        <v/>
      </c>
      <c r="AL15" s="10" t="str">
        <f>"9.111***"</f>
        <v>9.111***</v>
      </c>
      <c r="AM15" s="10" t="str">
        <f>"5.694"</f>
        <v>5.694</v>
      </c>
      <c r="AN15" s="10" t="str">
        <f>"6.734"</f>
        <v>6.734</v>
      </c>
    </row>
    <row r="16" spans="1:40">
      <c r="A16" s="10" t="str">
        <f>""</f>
        <v/>
      </c>
      <c r="B16" s="10" t="str">
        <f>""</f>
        <v/>
      </c>
      <c r="C16" s="10" t="str">
        <f>""</f>
        <v/>
      </c>
      <c r="D16" s="10" t="str">
        <f>""</f>
        <v/>
      </c>
      <c r="E16" s="10" t="str">
        <f>""</f>
        <v/>
      </c>
      <c r="F16" s="10" t="str">
        <f>""</f>
        <v/>
      </c>
      <c r="G16" s="10" t="str">
        <f>""</f>
        <v/>
      </c>
      <c r="H16" s="10" t="str">
        <f>"(.9505)"</f>
        <v>(.9505)</v>
      </c>
      <c r="I16" s="10" t="str">
        <f>"(1.014)"</f>
        <v>(1.014)</v>
      </c>
      <c r="J16" s="10" t="str">
        <f>"(1.006)"</f>
        <v>(1.006)</v>
      </c>
      <c r="K16" s="10" t="str">
        <f>""</f>
        <v/>
      </c>
      <c r="L16" s="10" t="str">
        <f>""</f>
        <v/>
      </c>
      <c r="M16" s="10" t="str">
        <f>""</f>
        <v/>
      </c>
      <c r="N16" s="10" t="str">
        <f>""</f>
        <v/>
      </c>
      <c r="O16" s="10" t="str">
        <f>""</f>
        <v/>
      </c>
      <c r="P16" s="10" t="str">
        <f>""</f>
        <v/>
      </c>
      <c r="Q16" s="10" t="str">
        <f>""</f>
        <v/>
      </c>
      <c r="R16" s="10" t="str">
        <f>""</f>
        <v/>
      </c>
      <c r="S16" s="10" t="str">
        <f>""</f>
        <v/>
      </c>
      <c r="T16" s="10" t="str">
        <f>""</f>
        <v/>
      </c>
      <c r="U16" s="10" t="str">
        <f>""</f>
        <v/>
      </c>
      <c r="V16" s="10" t="str">
        <f>""</f>
        <v/>
      </c>
      <c r="W16" s="10" t="str">
        <f>""</f>
        <v/>
      </c>
      <c r="X16" s="10" t="str">
        <f>""</f>
        <v/>
      </c>
      <c r="Y16" s="10" t="str">
        <f>""</f>
        <v/>
      </c>
      <c r="Z16" s="10" t="str">
        <f>"(.8723)"</f>
        <v>(.8723)</v>
      </c>
      <c r="AA16" s="10" t="str">
        <f>"(1.397)"</f>
        <v>(1.397)</v>
      </c>
      <c r="AB16" s="10" t="str">
        <f>"(1.873)"</f>
        <v>(1.873)</v>
      </c>
      <c r="AC16" s="10" t="str">
        <f>""</f>
        <v/>
      </c>
      <c r="AD16" s="10" t="str">
        <f>""</f>
        <v/>
      </c>
      <c r="AE16" s="10" t="str">
        <f>""</f>
        <v/>
      </c>
      <c r="AF16" s="10" t="str">
        <f>"(2.992)"</f>
        <v>(2.992)</v>
      </c>
      <c r="AG16" s="10" t="str">
        <f>"(3.822)"</f>
        <v>(3.822)</v>
      </c>
      <c r="AH16" s="10" t="str">
        <f>"(5.068)"</f>
        <v>(5.068)</v>
      </c>
      <c r="AI16" s="10" t="str">
        <f>""</f>
        <v/>
      </c>
      <c r="AJ16" s="10" t="str">
        <f>""</f>
        <v/>
      </c>
      <c r="AK16" s="10" t="str">
        <f>""</f>
        <v/>
      </c>
      <c r="AL16" s="10" t="str">
        <f>"(3.146)"</f>
        <v>(3.146)</v>
      </c>
      <c r="AM16" s="10" t="str">
        <f>"(4.656)"</f>
        <v>(4.656)</v>
      </c>
      <c r="AN16" s="10" t="str">
        <f>"(5.039)"</f>
        <v>(5.039)</v>
      </c>
    </row>
    <row r="17" spans="1:40">
      <c r="A17" s="10" t="str">
        <f>"s_psi_q1q5"</f>
        <v>s_psi_q1q5</v>
      </c>
      <c r="B17" s="10" t="str">
        <f>""</f>
        <v/>
      </c>
      <c r="C17" s="10" t="str">
        <f>""</f>
        <v/>
      </c>
      <c r="D17" s="10" t="str">
        <f>""</f>
        <v/>
      </c>
      <c r="E17" s="10" t="str">
        <f>""</f>
        <v/>
      </c>
      <c r="F17" s="10" t="str">
        <f>""</f>
        <v/>
      </c>
      <c r="G17" s="10" t="str">
        <f>""</f>
        <v/>
      </c>
      <c r="H17" s="10" t="str">
        <f>""</f>
        <v/>
      </c>
      <c r="I17" s="10" t="str">
        <f>""</f>
        <v/>
      </c>
      <c r="J17" s="10" t="str">
        <f>""</f>
        <v/>
      </c>
      <c r="K17" s="10" t="str">
        <f>".4639***"</f>
        <v>.4639***</v>
      </c>
      <c r="L17" s="10" t="str">
        <f>".6736***"</f>
        <v>.6736***</v>
      </c>
      <c r="M17" s="10" t="str">
        <f>".8061***"</f>
        <v>.8061***</v>
      </c>
      <c r="N17" s="10" t="str">
        <f>""</f>
        <v/>
      </c>
      <c r="O17" s="10" t="str">
        <f>""</f>
        <v/>
      </c>
      <c r="P17" s="10" t="str">
        <f>""</f>
        <v/>
      </c>
      <c r="Q17" s="10" t="str">
        <f>""</f>
        <v/>
      </c>
      <c r="R17" s="10" t="str">
        <f>""</f>
        <v/>
      </c>
      <c r="S17" s="10" t="str">
        <f>""</f>
        <v/>
      </c>
      <c r="T17" s="10" t="str">
        <f>".06823"</f>
        <v>.06823</v>
      </c>
      <c r="U17" s="10" t="str">
        <f>".1177"</f>
        <v>.1177</v>
      </c>
      <c r="V17" s="10" t="str">
        <f>".2365"</f>
        <v>.2365</v>
      </c>
      <c r="W17" s="10" t="str">
        <f>"1.084***"</f>
        <v>1.084***</v>
      </c>
      <c r="X17" s="10" t="str">
        <f>".6221"</f>
        <v>.6221</v>
      </c>
      <c r="Y17" s="10" t="str">
        <f>".7311**"</f>
        <v>.7311**</v>
      </c>
      <c r="Z17" s="10" t="str">
        <f>""</f>
        <v/>
      </c>
      <c r="AA17" s="10" t="str">
        <f>""</f>
        <v/>
      </c>
      <c r="AB17" s="10" t="str">
        <f>""</f>
        <v/>
      </c>
      <c r="AC17" s="10" t="str">
        <f>""</f>
        <v/>
      </c>
      <c r="AD17" s="10" t="str">
        <f>""</f>
        <v/>
      </c>
      <c r="AE17" s="10" t="str">
        <f>""</f>
        <v/>
      </c>
      <c r="AF17" s="10" t="str">
        <f>""</f>
        <v/>
      </c>
      <c r="AG17" s="10" t="str">
        <f>""</f>
        <v/>
      </c>
      <c r="AH17" s="10" t="str">
        <f>""</f>
        <v/>
      </c>
      <c r="AI17" s="10" t="str">
        <f>""</f>
        <v/>
      </c>
      <c r="AJ17" s="10" t="str">
        <f>""</f>
        <v/>
      </c>
      <c r="AK17" s="10" t="str">
        <f>""</f>
        <v/>
      </c>
      <c r="AL17" s="10" t="str">
        <f>""</f>
        <v/>
      </c>
      <c r="AM17" s="10" t="str">
        <f>""</f>
        <v/>
      </c>
      <c r="AN17" s="10" t="str">
        <f>""</f>
        <v/>
      </c>
    </row>
    <row r="18" spans="1:40">
      <c r="A18" s="10" t="str">
        <f>""</f>
        <v/>
      </c>
      <c r="B18" s="10" t="str">
        <f>""</f>
        <v/>
      </c>
      <c r="C18" s="10" t="str">
        <f>""</f>
        <v/>
      </c>
      <c r="D18" s="10" t="str">
        <f>""</f>
        <v/>
      </c>
      <c r="E18" s="10" t="str">
        <f>""</f>
        <v/>
      </c>
      <c r="F18" s="10" t="str">
        <f>""</f>
        <v/>
      </c>
      <c r="G18" s="10" t="str">
        <f>""</f>
        <v/>
      </c>
      <c r="H18" s="10" t="str">
        <f>""</f>
        <v/>
      </c>
      <c r="I18" s="10" t="str">
        <f>""</f>
        <v/>
      </c>
      <c r="J18" s="10" t="str">
        <f>""</f>
        <v/>
      </c>
      <c r="K18" s="10" t="str">
        <f>"(.1507)"</f>
        <v>(.1507)</v>
      </c>
      <c r="L18" s="10" t="str">
        <f>"(.1155)"</f>
        <v>(.1155)</v>
      </c>
      <c r="M18" s="10" t="str">
        <f>"(.1235)"</f>
        <v>(.1235)</v>
      </c>
      <c r="N18" s="10" t="str">
        <f>""</f>
        <v/>
      </c>
      <c r="O18" s="10" t="str">
        <f>""</f>
        <v/>
      </c>
      <c r="P18" s="10" t="str">
        <f>""</f>
        <v/>
      </c>
      <c r="Q18" s="10" t="str">
        <f>""</f>
        <v/>
      </c>
      <c r="R18" s="10" t="str">
        <f>""</f>
        <v/>
      </c>
      <c r="S18" s="10" t="str">
        <f>""</f>
        <v/>
      </c>
      <c r="T18" s="10" t="str">
        <f>"(.6052)"</f>
        <v>(.6052)</v>
      </c>
      <c r="U18" s="10" t="str">
        <f>"(.5371)"</f>
        <v>(.5371)</v>
      </c>
      <c r="V18" s="10" t="str">
        <f>"(.3614)"</f>
        <v>(.3614)</v>
      </c>
      <c r="W18" s="10" t="str">
        <f>"(.3009)"</f>
        <v>(.3009)</v>
      </c>
      <c r="X18" s="10" t="str">
        <f>"(.3889)"</f>
        <v>(.3889)</v>
      </c>
      <c r="Y18" s="10" t="str">
        <f>"(.3566)"</f>
        <v>(.3566)</v>
      </c>
      <c r="Z18" s="10" t="str">
        <f>""</f>
        <v/>
      </c>
      <c r="AA18" s="10" t="str">
        <f>""</f>
        <v/>
      </c>
      <c r="AB18" s="10" t="str">
        <f>""</f>
        <v/>
      </c>
      <c r="AC18" s="10" t="str">
        <f>""</f>
        <v/>
      </c>
      <c r="AD18" s="10" t="str">
        <f>""</f>
        <v/>
      </c>
      <c r="AE18" s="10" t="str">
        <f>""</f>
        <v/>
      </c>
      <c r="AF18" s="10" t="str">
        <f>""</f>
        <v/>
      </c>
      <c r="AG18" s="10" t="str">
        <f>""</f>
        <v/>
      </c>
      <c r="AH18" s="10" t="str">
        <f>""</f>
        <v/>
      </c>
      <c r="AI18" s="10" t="str">
        <f>""</f>
        <v/>
      </c>
      <c r="AJ18" s="10" t="str">
        <f>""</f>
        <v/>
      </c>
      <c r="AK18" s="10" t="str">
        <f>""</f>
        <v/>
      </c>
      <c r="AL18" s="10" t="str">
        <f>""</f>
        <v/>
      </c>
      <c r="AM18" s="10" t="str">
        <f>""</f>
        <v/>
      </c>
      <c r="AN18" s="10" t="str">
        <f>""</f>
        <v/>
      </c>
    </row>
    <row r="19" spans="1:40">
      <c r="A19" s="10" t="str">
        <f>"Es_psi_q1q5"</f>
        <v>Es_psi_q1q5</v>
      </c>
      <c r="B19" s="10" t="str">
        <f>""</f>
        <v/>
      </c>
      <c r="C19" s="10" t="str">
        <f>""</f>
        <v/>
      </c>
      <c r="D19" s="10" t="str">
        <f>""</f>
        <v/>
      </c>
      <c r="E19" s="10" t="str">
        <f>""</f>
        <v/>
      </c>
      <c r="F19" s="10" t="str">
        <f>""</f>
        <v/>
      </c>
      <c r="G19" s="10" t="str">
        <f>""</f>
        <v/>
      </c>
      <c r="H19" s="10" t="str">
        <f>""</f>
        <v/>
      </c>
      <c r="I19" s="10" t="str">
        <f>""</f>
        <v/>
      </c>
      <c r="J19" s="10" t="str">
        <f>""</f>
        <v/>
      </c>
      <c r="K19" s="10" t="str">
        <f>".03638"</f>
        <v>.03638</v>
      </c>
      <c r="L19" s="10" t="str">
        <f>".7969"</f>
        <v>.7969</v>
      </c>
      <c r="M19" s="10" t="str">
        <f>".4017"</f>
        <v>.4017</v>
      </c>
      <c r="N19" s="10" t="str">
        <f>""</f>
        <v/>
      </c>
      <c r="O19" s="10" t="str">
        <f>""</f>
        <v/>
      </c>
      <c r="P19" s="10" t="str">
        <f>""</f>
        <v/>
      </c>
      <c r="Q19" s="10" t="str">
        <f>""</f>
        <v/>
      </c>
      <c r="R19" s="10" t="str">
        <f>""</f>
        <v/>
      </c>
      <c r="S19" s="10" t="str">
        <f>""</f>
        <v/>
      </c>
      <c r="T19" s="10" t="str">
        <f>""</f>
        <v/>
      </c>
      <c r="U19" s="10" t="str">
        <f>""</f>
        <v/>
      </c>
      <c r="V19" s="10" t="str">
        <f>""</f>
        <v/>
      </c>
      <c r="W19" s="10" t="str">
        <f>""</f>
        <v/>
      </c>
      <c r="X19" s="10" t="str">
        <f>""</f>
        <v/>
      </c>
      <c r="Y19" s="10" t="str">
        <f>""</f>
        <v/>
      </c>
      <c r="Z19" s="10" t="str">
        <f>""</f>
        <v/>
      </c>
      <c r="AA19" s="10" t="str">
        <f>""</f>
        <v/>
      </c>
      <c r="AB19" s="10" t="str">
        <f>""</f>
        <v/>
      </c>
      <c r="AC19" s="10" t="str">
        <f>""</f>
        <v/>
      </c>
      <c r="AD19" s="10" t="str">
        <f>""</f>
        <v/>
      </c>
      <c r="AE19" s="10" t="str">
        <f>""</f>
        <v/>
      </c>
      <c r="AF19" s="10" t="str">
        <f>".1239"</f>
        <v>.1239</v>
      </c>
      <c r="AG19" s="10" t="str">
        <f>".996"</f>
        <v>.996</v>
      </c>
      <c r="AH19" s="10" t="str">
        <f>"2.037"</f>
        <v>2.037</v>
      </c>
      <c r="AI19" s="10" t="str">
        <f>""</f>
        <v/>
      </c>
      <c r="AJ19" s="10" t="str">
        <f>""</f>
        <v/>
      </c>
      <c r="AK19" s="10" t="str">
        <f>""</f>
        <v/>
      </c>
      <c r="AL19" s="10" t="str">
        <f>"-2.658"</f>
        <v>-2.658</v>
      </c>
      <c r="AM19" s="10" t="str">
        <f>"-.39"</f>
        <v>-.39</v>
      </c>
      <c r="AN19" s="10" t="str">
        <f>"-.165"</f>
        <v>-.165</v>
      </c>
    </row>
    <row r="20" spans="1:40">
      <c r="A20" s="10" t="str">
        <f>""</f>
        <v/>
      </c>
      <c r="B20" s="10" t="str">
        <f>""</f>
        <v/>
      </c>
      <c r="C20" s="10" t="str">
        <f>""</f>
        <v/>
      </c>
      <c r="D20" s="10" t="str">
        <f>""</f>
        <v/>
      </c>
      <c r="E20" s="10" t="str">
        <f>""</f>
        <v/>
      </c>
      <c r="F20" s="10" t="str">
        <f>""</f>
        <v/>
      </c>
      <c r="G20" s="10" t="str">
        <f>""</f>
        <v/>
      </c>
      <c r="H20" s="10" t="str">
        <f>""</f>
        <v/>
      </c>
      <c r="I20" s="10" t="str">
        <f>""</f>
        <v/>
      </c>
      <c r="J20" s="10" t="str">
        <f>""</f>
        <v/>
      </c>
      <c r="K20" s="10" t="str">
        <f>"(.5385)"</f>
        <v>(.5385)</v>
      </c>
      <c r="L20" s="10" t="str">
        <f>"(.5686)"</f>
        <v>(.5686)</v>
      </c>
      <c r="M20" s="10" t="str">
        <f>"(.4592)"</f>
        <v>(.4592)</v>
      </c>
      <c r="N20" s="10" t="str">
        <f>""</f>
        <v/>
      </c>
      <c r="O20" s="10" t="str">
        <f>""</f>
        <v/>
      </c>
      <c r="P20" s="10" t="str">
        <f>""</f>
        <v/>
      </c>
      <c r="Q20" s="10" t="str">
        <f>""</f>
        <v/>
      </c>
      <c r="R20" s="10" t="str">
        <f>""</f>
        <v/>
      </c>
      <c r="S20" s="10" t="str">
        <f>""</f>
        <v/>
      </c>
      <c r="T20" s="10" t="str">
        <f>""</f>
        <v/>
      </c>
      <c r="U20" s="10" t="str">
        <f>""</f>
        <v/>
      </c>
      <c r="V20" s="10" t="str">
        <f>""</f>
        <v/>
      </c>
      <c r="W20" s="10" t="str">
        <f>""</f>
        <v/>
      </c>
      <c r="X20" s="10" t="str">
        <f>""</f>
        <v/>
      </c>
      <c r="Y20" s="10" t="str">
        <f>""</f>
        <v/>
      </c>
      <c r="Z20" s="10" t="str">
        <f>""</f>
        <v/>
      </c>
      <c r="AA20" s="10" t="str">
        <f>""</f>
        <v/>
      </c>
      <c r="AB20" s="10" t="str">
        <f>""</f>
        <v/>
      </c>
      <c r="AC20" s="10" t="str">
        <f>""</f>
        <v/>
      </c>
      <c r="AD20" s="10" t="str">
        <f>""</f>
        <v/>
      </c>
      <c r="AE20" s="10" t="str">
        <f>""</f>
        <v/>
      </c>
      <c r="AF20" s="10" t="str">
        <f>"(1.93)"</f>
        <v>(1.93)</v>
      </c>
      <c r="AG20" s="10" t="str">
        <f>"(2.353)"</f>
        <v>(2.353)</v>
      </c>
      <c r="AH20" s="10" t="str">
        <f>"(3.112)"</f>
        <v>(3.112)</v>
      </c>
      <c r="AI20" s="10" t="str">
        <f>""</f>
        <v/>
      </c>
      <c r="AJ20" s="10" t="str">
        <f>""</f>
        <v/>
      </c>
      <c r="AK20" s="10" t="str">
        <f>""</f>
        <v/>
      </c>
      <c r="AL20" s="10" t="str">
        <f>"(2.071)"</f>
        <v>(2.071)</v>
      </c>
      <c r="AM20" s="10" t="str">
        <f>"(2.491)"</f>
        <v>(2.491)</v>
      </c>
      <c r="AN20" s="10" t="str">
        <f>"(2.893)"</f>
        <v>(2.893)</v>
      </c>
    </row>
    <row r="21" spans="1:40">
      <c r="A21" s="10" t="str">
        <f>"lnmw"</f>
        <v>lnmw</v>
      </c>
      <c r="B21" s="10" t="str">
        <f>""</f>
        <v/>
      </c>
      <c r="C21" s="10" t="str">
        <f>""</f>
        <v/>
      </c>
      <c r="D21" s="10" t="str">
        <f>""</f>
        <v/>
      </c>
      <c r="E21" s="10" t="str">
        <f>""</f>
        <v/>
      </c>
      <c r="F21" s="10" t="str">
        <f>""</f>
        <v/>
      </c>
      <c r="G21" s="10" t="str">
        <f>""</f>
        <v/>
      </c>
      <c r="H21" s="10" t="str">
        <f>""</f>
        <v/>
      </c>
      <c r="I21" s="10" t="str">
        <f>""</f>
        <v/>
      </c>
      <c r="J21" s="10" t="str">
        <f>""</f>
        <v/>
      </c>
      <c r="K21" s="10" t="str">
        <f>""</f>
        <v/>
      </c>
      <c r="L21" s="10" t="str">
        <f>""</f>
        <v/>
      </c>
      <c r="M21" s="10" t="str">
        <f>""</f>
        <v/>
      </c>
      <c r="N21" s="10" t="str">
        <f>""</f>
        <v/>
      </c>
      <c r="O21" s="10" t="str">
        <f>""</f>
        <v/>
      </c>
      <c r="P21" s="10" t="str">
        <f>""</f>
        <v/>
      </c>
      <c r="Q21" s="10" t="str">
        <f>""</f>
        <v/>
      </c>
      <c r="R21" s="10" t="str">
        <f>""</f>
        <v/>
      </c>
      <c r="S21" s="10" t="str">
        <f>""</f>
        <v/>
      </c>
      <c r="T21" s="10" t="str">
        <f>""</f>
        <v/>
      </c>
      <c r="U21" s="10" t="str">
        <f>""</f>
        <v/>
      </c>
      <c r="V21" s="10" t="str">
        <f>""</f>
        <v/>
      </c>
      <c r="W21" s="10" t="str">
        <f>""</f>
        <v/>
      </c>
      <c r="X21" s="10" t="str">
        <f>""</f>
        <v/>
      </c>
      <c r="Y21" s="10" t="str">
        <f>""</f>
        <v/>
      </c>
      <c r="Z21" s="10" t="str">
        <f>""</f>
        <v/>
      </c>
      <c r="AA21" s="10" t="str">
        <f>""</f>
        <v/>
      </c>
      <c r="AB21" s="10" t="str">
        <f>""</f>
        <v/>
      </c>
      <c r="AC21" s="10" t="str">
        <f>""</f>
        <v/>
      </c>
      <c r="AD21" s="10" t="str">
        <f>""</f>
        <v/>
      </c>
      <c r="AE21" s="10" t="str">
        <f>""</f>
        <v/>
      </c>
      <c r="AF21" s="10" t="str">
        <f>""</f>
        <v/>
      </c>
      <c r="AG21" s="10" t="str">
        <f>""</f>
        <v/>
      </c>
      <c r="AH21" s="10" t="str">
        <f>""</f>
        <v/>
      </c>
      <c r="AI21" s="10" t="str">
        <f>"-.03009"</f>
        <v>-.03009</v>
      </c>
      <c r="AJ21" s="10" t="str">
        <f>".1561"</f>
        <v>.1561</v>
      </c>
      <c r="AK21" s="10" t="str">
        <f>".2191"</f>
        <v>.2191</v>
      </c>
      <c r="AL21" s="10" t="str">
        <f>".2209"</f>
        <v>.2209</v>
      </c>
      <c r="AM21" s="10" t="str">
        <f>".1272"</f>
        <v>.1272</v>
      </c>
      <c r="AN21" s="10" t="str">
        <f>".2197"</f>
        <v>.2197</v>
      </c>
    </row>
    <row r="22" spans="1:40">
      <c r="A22" s="10" t="str">
        <f>""</f>
        <v/>
      </c>
      <c r="B22" s="10" t="str">
        <f>""</f>
        <v/>
      </c>
      <c r="C22" s="10" t="str">
        <f>""</f>
        <v/>
      </c>
      <c r="D22" s="10" t="str">
        <f>""</f>
        <v/>
      </c>
      <c r="E22" s="10" t="str">
        <f>""</f>
        <v/>
      </c>
      <c r="F22" s="10" t="str">
        <f>""</f>
        <v/>
      </c>
      <c r="G22" s="10" t="str">
        <f>""</f>
        <v/>
      </c>
      <c r="H22" s="10" t="str">
        <f>""</f>
        <v/>
      </c>
      <c r="I22" s="10" t="str">
        <f>""</f>
        <v/>
      </c>
      <c r="J22" s="10" t="str">
        <f>""</f>
        <v/>
      </c>
      <c r="K22" s="10" t="str">
        <f>""</f>
        <v/>
      </c>
      <c r="L22" s="10" t="str">
        <f>""</f>
        <v/>
      </c>
      <c r="M22" s="10" t="str">
        <f>""</f>
        <v/>
      </c>
      <c r="N22" s="10" t="str">
        <f>""</f>
        <v/>
      </c>
      <c r="O22" s="10" t="str">
        <f>""</f>
        <v/>
      </c>
      <c r="P22" s="10" t="str">
        <f>""</f>
        <v/>
      </c>
      <c r="Q22" s="10" t="str">
        <f>""</f>
        <v/>
      </c>
      <c r="R22" s="10" t="str">
        <f>""</f>
        <v/>
      </c>
      <c r="S22" s="10" t="str">
        <f>""</f>
        <v/>
      </c>
      <c r="T22" s="10" t="str">
        <f>""</f>
        <v/>
      </c>
      <c r="U22" s="10" t="str">
        <f>""</f>
        <v/>
      </c>
      <c r="V22" s="10" t="str">
        <f>""</f>
        <v/>
      </c>
      <c r="W22" s="10" t="str">
        <f>""</f>
        <v/>
      </c>
      <c r="X22" s="10" t="str">
        <f>""</f>
        <v/>
      </c>
      <c r="Y22" s="10" t="str">
        <f>""</f>
        <v/>
      </c>
      <c r="Z22" s="10" t="str">
        <f>""</f>
        <v/>
      </c>
      <c r="AA22" s="10" t="str">
        <f>""</f>
        <v/>
      </c>
      <c r="AB22" s="10" t="str">
        <f>""</f>
        <v/>
      </c>
      <c r="AC22" s="10" t="str">
        <f>""</f>
        <v/>
      </c>
      <c r="AD22" s="10" t="str">
        <f>""</f>
        <v/>
      </c>
      <c r="AE22" s="10" t="str">
        <f>""</f>
        <v/>
      </c>
      <c r="AF22" s="10" t="str">
        <f>""</f>
        <v/>
      </c>
      <c r="AG22" s="10" t="str">
        <f>""</f>
        <v/>
      </c>
      <c r="AH22" s="10" t="str">
        <f>""</f>
        <v/>
      </c>
      <c r="AI22" s="10" t="str">
        <f>"(.09904)"</f>
        <v>(.09904)</v>
      </c>
      <c r="AJ22" s="10" t="str">
        <f>"(.1508)"</f>
        <v>(.1508)</v>
      </c>
      <c r="AK22" s="10" t="str">
        <f>"(.154)"</f>
        <v>(.154)</v>
      </c>
      <c r="AL22" s="10" t="str">
        <f>"(.1533)"</f>
        <v>(.1533)</v>
      </c>
      <c r="AM22" s="10" t="str">
        <f>"(.2086)"</f>
        <v>(.2086)</v>
      </c>
      <c r="AN22" s="10" t="str">
        <f>"(.2465)"</f>
        <v>(.2465)</v>
      </c>
    </row>
    <row r="23" spans="1:40">
      <c r="A23" s="10" t="str">
        <f>"coverage"</f>
        <v>coverage</v>
      </c>
      <c r="B23" s="10" t="str">
        <f>""</f>
        <v/>
      </c>
      <c r="C23" s="10" t="str">
        <f>""</f>
        <v/>
      </c>
      <c r="D23" s="10" t="str">
        <f>""</f>
        <v/>
      </c>
      <c r="E23" s="10" t="str">
        <f>""</f>
        <v/>
      </c>
      <c r="F23" s="10" t="str">
        <f>""</f>
        <v/>
      </c>
      <c r="G23" s="10" t="str">
        <f>""</f>
        <v/>
      </c>
      <c r="H23" s="10" t="str">
        <f>""</f>
        <v/>
      </c>
      <c r="I23" s="10" t="str">
        <f>""</f>
        <v/>
      </c>
      <c r="J23" s="10" t="str">
        <f>""</f>
        <v/>
      </c>
      <c r="K23" s="10" t="str">
        <f>""</f>
        <v/>
      </c>
      <c r="L23" s="10" t="str">
        <f>""</f>
        <v/>
      </c>
      <c r="M23" s="10" t="str">
        <f>""</f>
        <v/>
      </c>
      <c r="N23" s="10" t="str">
        <f>""</f>
        <v/>
      </c>
      <c r="O23" s="10" t="str">
        <f>""</f>
        <v/>
      </c>
      <c r="P23" s="10" t="str">
        <f>""</f>
        <v/>
      </c>
      <c r="Q23" s="10" t="str">
        <f>""</f>
        <v/>
      </c>
      <c r="R23" s="10" t="str">
        <f>""</f>
        <v/>
      </c>
      <c r="S23" s="10" t="str">
        <f>""</f>
        <v/>
      </c>
      <c r="T23" s="10" t="str">
        <f>""</f>
        <v/>
      </c>
      <c r="U23" s="10" t="str">
        <f>""</f>
        <v/>
      </c>
      <c r="V23" s="10" t="str">
        <f>""</f>
        <v/>
      </c>
      <c r="W23" s="10" t="str">
        <f>""</f>
        <v/>
      </c>
      <c r="X23" s="10" t="str">
        <f>""</f>
        <v/>
      </c>
      <c r="Y23" s="10" t="str">
        <f>""</f>
        <v/>
      </c>
      <c r="Z23" s="10" t="str">
        <f>""</f>
        <v/>
      </c>
      <c r="AA23" s="10" t="str">
        <f>""</f>
        <v/>
      </c>
      <c r="AB23" s="10" t="str">
        <f>""</f>
        <v/>
      </c>
      <c r="AC23" s="10" t="str">
        <f>""</f>
        <v/>
      </c>
      <c r="AD23" s="10" t="str">
        <f>""</f>
        <v/>
      </c>
      <c r="AE23" s="10" t="str">
        <f>""</f>
        <v/>
      </c>
      <c r="AF23" s="10" t="str">
        <f>""</f>
        <v/>
      </c>
      <c r="AG23" s="10" t="str">
        <f>""</f>
        <v/>
      </c>
      <c r="AH23" s="10" t="str">
        <f>""</f>
        <v/>
      </c>
      <c r="AI23" s="10" t="str">
        <f>".3497"</f>
        <v>.3497</v>
      </c>
      <c r="AJ23" s="10" t="str">
        <f>".4112"</f>
        <v>.4112</v>
      </c>
      <c r="AK23" s="10" t="str">
        <f>".1205"</f>
        <v>.1205</v>
      </c>
      <c r="AL23" s="10" t="str">
        <f>".3196"</f>
        <v>.3196</v>
      </c>
      <c r="AM23" s="10" t="str">
        <f>".6121"</f>
        <v>.6121</v>
      </c>
      <c r="AN23" s="10" t="str">
        <f>".6059"</f>
        <v>.6059</v>
      </c>
    </row>
    <row r="24" spans="1:40">
      <c r="A24" s="10" t="str">
        <f>""</f>
        <v/>
      </c>
      <c r="B24" s="10" t="str">
        <f>""</f>
        <v/>
      </c>
      <c r="C24" s="10" t="str">
        <f>""</f>
        <v/>
      </c>
      <c r="D24" s="10" t="str">
        <f>""</f>
        <v/>
      </c>
      <c r="E24" s="10" t="str">
        <f>""</f>
        <v/>
      </c>
      <c r="F24" s="10" t="str">
        <f>""</f>
        <v/>
      </c>
      <c r="G24" s="10" t="str">
        <f>""</f>
        <v/>
      </c>
      <c r="H24" s="10" t="str">
        <f>""</f>
        <v/>
      </c>
      <c r="I24" s="10" t="str">
        <f>""</f>
        <v/>
      </c>
      <c r="J24" s="10" t="str">
        <f>""</f>
        <v/>
      </c>
      <c r="K24" s="10" t="str">
        <f>""</f>
        <v/>
      </c>
      <c r="L24" s="10" t="str">
        <f>""</f>
        <v/>
      </c>
      <c r="M24" s="10" t="str">
        <f>""</f>
        <v/>
      </c>
      <c r="N24" s="10" t="str">
        <f>""</f>
        <v/>
      </c>
      <c r="O24" s="10" t="str">
        <f>""</f>
        <v/>
      </c>
      <c r="P24" s="10" t="str">
        <f>""</f>
        <v/>
      </c>
      <c r="Q24" s="10" t="str">
        <f>""</f>
        <v/>
      </c>
      <c r="R24" s="10" t="str">
        <f>""</f>
        <v/>
      </c>
      <c r="S24" s="10" t="str">
        <f>""</f>
        <v/>
      </c>
      <c r="T24" s="10" t="str">
        <f>""</f>
        <v/>
      </c>
      <c r="U24" s="10" t="str">
        <f>""</f>
        <v/>
      </c>
      <c r="V24" s="10" t="str">
        <f>""</f>
        <v/>
      </c>
      <c r="W24" s="10" t="str">
        <f>""</f>
        <v/>
      </c>
      <c r="X24" s="10" t="str">
        <f>""</f>
        <v/>
      </c>
      <c r="Y24" s="10" t="str">
        <f>""</f>
        <v/>
      </c>
      <c r="Z24" s="10" t="str">
        <f>""</f>
        <v/>
      </c>
      <c r="AA24" s="10" t="str">
        <f>""</f>
        <v/>
      </c>
      <c r="AB24" s="10" t="str">
        <f>""</f>
        <v/>
      </c>
      <c r="AC24" s="10" t="str">
        <f>""</f>
        <v/>
      </c>
      <c r="AD24" s="10" t="str">
        <f>""</f>
        <v/>
      </c>
      <c r="AE24" s="10" t="str">
        <f>""</f>
        <v/>
      </c>
      <c r="AF24" s="10" t="str">
        <f>""</f>
        <v/>
      </c>
      <c r="AG24" s="10" t="str">
        <f>""</f>
        <v/>
      </c>
      <c r="AH24" s="10" t="str">
        <f>""</f>
        <v/>
      </c>
      <c r="AI24" s="10" t="str">
        <f>"(.27)"</f>
        <v>(.27)</v>
      </c>
      <c r="AJ24" s="10" t="str">
        <f>"(.512)"</f>
        <v>(.512)</v>
      </c>
      <c r="AK24" s="10" t="str">
        <f>"(.5851)"</f>
        <v>(.5851)</v>
      </c>
      <c r="AL24" s="10" t="str">
        <f>"(.2849)"</f>
        <v>(.2849)</v>
      </c>
      <c r="AM24" s="10" t="str">
        <f>"(.4304)"</f>
        <v>(.4304)</v>
      </c>
      <c r="AN24" s="10" t="str">
        <f>"(.4863)"</f>
        <v>(.4863)</v>
      </c>
    </row>
    <row r="26" spans="1:40">
      <c r="A26" s="10" t="str">
        <f>"Division-CZ dummies"</f>
        <v>Division-CZ dummies</v>
      </c>
      <c r="B26" s="10" t="str">
        <f>"No"</f>
        <v>No</v>
      </c>
      <c r="C26" s="10" t="str">
        <f>"Yes"</f>
        <v>Yes</v>
      </c>
      <c r="D26" s="10" t="str">
        <f>"Yes"</f>
        <v>Yes</v>
      </c>
      <c r="E26" s="10" t="str">
        <f>"No"</f>
        <v>No</v>
      </c>
      <c r="F26" s="10" t="str">
        <f>"Yes"</f>
        <v>Yes</v>
      </c>
      <c r="G26" s="10" t="str">
        <f>"Yes"</f>
        <v>Yes</v>
      </c>
      <c r="H26" s="10" t="str">
        <f>"No"</f>
        <v>No</v>
      </c>
      <c r="I26" s="10" t="str">
        <f>"Yes"</f>
        <v>Yes</v>
      </c>
      <c r="J26" s="10" t="str">
        <f>"Yes"</f>
        <v>Yes</v>
      </c>
      <c r="K26" s="10" t="str">
        <f>"No"</f>
        <v>No</v>
      </c>
      <c r="L26" s="10" t="str">
        <f>"Yes"</f>
        <v>Yes</v>
      </c>
      <c r="M26" s="10" t="str">
        <f>"Yes"</f>
        <v>Yes</v>
      </c>
      <c r="N26" s="10" t="str">
        <f>"No"</f>
        <v>No</v>
      </c>
      <c r="O26" s="10" t="str">
        <f>"Yes"</f>
        <v>Yes</v>
      </c>
      <c r="P26" s="10" t="str">
        <f>"Yes"</f>
        <v>Yes</v>
      </c>
      <c r="Q26" s="10" t="str">
        <f>"No"</f>
        <v>No</v>
      </c>
      <c r="R26" s="10" t="str">
        <f>"Yes"</f>
        <v>Yes</v>
      </c>
      <c r="S26" s="10" t="str">
        <f>"Yes"</f>
        <v>Yes</v>
      </c>
      <c r="T26" s="10" t="str">
        <f>"No"</f>
        <v>No</v>
      </c>
      <c r="U26" s="10" t="str">
        <f>"Yes"</f>
        <v>Yes</v>
      </c>
      <c r="V26" s="10" t="str">
        <f>"Yes"</f>
        <v>Yes</v>
      </c>
      <c r="W26" s="10" t="str">
        <f>"No"</f>
        <v>No</v>
      </c>
      <c r="X26" s="10" t="str">
        <f>"Yes"</f>
        <v>Yes</v>
      </c>
      <c r="Y26" s="10" t="str">
        <f>"Yes"</f>
        <v>Yes</v>
      </c>
      <c r="Z26" s="10" t="str">
        <f>"No"</f>
        <v>No</v>
      </c>
      <c r="AA26" s="10" t="str">
        <f>"Yes"</f>
        <v>Yes</v>
      </c>
      <c r="AB26" s="10" t="str">
        <f>"Yes"</f>
        <v>Yes</v>
      </c>
      <c r="AC26" s="10" t="str">
        <f>"No"</f>
        <v>No</v>
      </c>
      <c r="AD26" s="10" t="str">
        <f>"Yes"</f>
        <v>Yes</v>
      </c>
      <c r="AE26" s="10" t="str">
        <f>"Yes"</f>
        <v>Yes</v>
      </c>
      <c r="AF26" s="10" t="str">
        <f>"No"</f>
        <v>No</v>
      </c>
      <c r="AG26" s="10" t="str">
        <f>"Yes"</f>
        <v>Yes</v>
      </c>
      <c r="AH26" s="10" t="str">
        <f>"Yes"</f>
        <v>Yes</v>
      </c>
      <c r="AI26" s="10" t="str">
        <f>"No"</f>
        <v>No</v>
      </c>
      <c r="AJ26" s="10" t="str">
        <f>"Yes"</f>
        <v>Yes</v>
      </c>
      <c r="AK26" s="10" t="str">
        <f>"Yes"</f>
        <v>Yes</v>
      </c>
      <c r="AL26" s="10" t="str">
        <f>"No"</f>
        <v>No</v>
      </c>
      <c r="AM26" s="10" t="str">
        <f>"Yes"</f>
        <v>Yes</v>
      </c>
      <c r="AN26" s="10" t="str">
        <f>"Yes"</f>
        <v>Yes</v>
      </c>
    </row>
    <row r="27" spans="1:40">
      <c r="A27" s="10" t="str">
        <f>"Region dummies"</f>
        <v>Region dummies</v>
      </c>
      <c r="B27" s="10" t="str">
        <f>"No"</f>
        <v>No</v>
      </c>
      <c r="C27" s="10" t="str">
        <f>"No"</f>
        <v>No</v>
      </c>
      <c r="D27" s="10" t="str">
        <f>"Yes"</f>
        <v>Yes</v>
      </c>
      <c r="E27" s="10" t="str">
        <f>"No"</f>
        <v>No</v>
      </c>
      <c r="F27" s="10" t="str">
        <f>"No"</f>
        <v>No</v>
      </c>
      <c r="G27" s="10" t="str">
        <f>"Yes"</f>
        <v>Yes</v>
      </c>
      <c r="H27" s="10" t="str">
        <f>"No"</f>
        <v>No</v>
      </c>
      <c r="I27" s="10" t="str">
        <f>"No"</f>
        <v>No</v>
      </c>
      <c r="J27" s="10" t="str">
        <f>"Yes"</f>
        <v>Yes</v>
      </c>
      <c r="K27" s="10" t="str">
        <f>"No"</f>
        <v>No</v>
      </c>
      <c r="L27" s="10" t="str">
        <f>"No"</f>
        <v>No</v>
      </c>
      <c r="M27" s="10" t="str">
        <f>"Yes"</f>
        <v>Yes</v>
      </c>
      <c r="N27" s="10" t="str">
        <f>"No"</f>
        <v>No</v>
      </c>
      <c r="O27" s="10" t="str">
        <f>"No"</f>
        <v>No</v>
      </c>
      <c r="P27" s="10" t="str">
        <f>"Yes"</f>
        <v>Yes</v>
      </c>
      <c r="Q27" s="10" t="str">
        <f>"No"</f>
        <v>No</v>
      </c>
      <c r="R27" s="10" t="str">
        <f>"No"</f>
        <v>No</v>
      </c>
      <c r="S27" s="10" t="str">
        <f>"Yes"</f>
        <v>Yes</v>
      </c>
      <c r="T27" s="10" t="str">
        <f>"No"</f>
        <v>No</v>
      </c>
      <c r="U27" s="10" t="str">
        <f>"No"</f>
        <v>No</v>
      </c>
      <c r="V27" s="10" t="str">
        <f>"Yes"</f>
        <v>Yes</v>
      </c>
      <c r="W27" s="10" t="str">
        <f>"No"</f>
        <v>No</v>
      </c>
      <c r="X27" s="10" t="str">
        <f>"No"</f>
        <v>No</v>
      </c>
      <c r="Y27" s="10" t="str">
        <f>"Yes"</f>
        <v>Yes</v>
      </c>
      <c r="Z27" s="10" t="str">
        <f>"No"</f>
        <v>No</v>
      </c>
      <c r="AA27" s="10" t="str">
        <f>"No"</f>
        <v>No</v>
      </c>
      <c r="AB27" s="10" t="str">
        <f>"Yes"</f>
        <v>Yes</v>
      </c>
      <c r="AC27" s="10" t="str">
        <f>"No"</f>
        <v>No</v>
      </c>
      <c r="AD27" s="10" t="str">
        <f>"No"</f>
        <v>No</v>
      </c>
      <c r="AE27" s="10" t="str">
        <f>"Yes"</f>
        <v>Yes</v>
      </c>
      <c r="AF27" s="10" t="str">
        <f>"No"</f>
        <v>No</v>
      </c>
      <c r="AG27" s="10" t="str">
        <f>"No"</f>
        <v>No</v>
      </c>
      <c r="AH27" s="10" t="str">
        <f>"Yes"</f>
        <v>Yes</v>
      </c>
      <c r="AI27" s="10" t="str">
        <f>"No"</f>
        <v>No</v>
      </c>
      <c r="AJ27" s="10" t="str">
        <f>"No"</f>
        <v>No</v>
      </c>
      <c r="AK27" s="10" t="str">
        <f>"Yes"</f>
        <v>Yes</v>
      </c>
      <c r="AL27" s="10" t="str">
        <f>"No"</f>
        <v>No</v>
      </c>
      <c r="AM27" s="10" t="str">
        <f>"No"</f>
        <v>No</v>
      </c>
      <c r="AN27" s="10" t="str">
        <f>"Yes"</f>
        <v>Yes</v>
      </c>
    </row>
    <row r="28" spans="1:40">
      <c r="A28" s="10" t="str">
        <f>"N"</f>
        <v>N</v>
      </c>
      <c r="B28" s="170" t="str">
        <f>"60"</f>
        <v>60</v>
      </c>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row>
    <row r="29" spans="1:40">
      <c r="A29" s="10" t="str">
        <f>"r2_a"</f>
        <v>r2_a</v>
      </c>
      <c r="B29" s="10" t="str">
        <f>"-.01792"</f>
        <v>-.01792</v>
      </c>
      <c r="C29" s="10" t="str">
        <f>".1096"</f>
        <v>.1096</v>
      </c>
      <c r="D29" s="10" t="str">
        <f>".1902"</f>
        <v>.1902</v>
      </c>
      <c r="E29" s="10" t="str">
        <f>".04398"</f>
        <v>.04398</v>
      </c>
      <c r="F29" s="10" t="str">
        <f>".0551"</f>
        <v>.0551</v>
      </c>
      <c r="G29" s="10" t="str">
        <f>".07961"</f>
        <v>.07961</v>
      </c>
      <c r="H29" s="10" t="str">
        <f>".2939"</f>
        <v>.2939</v>
      </c>
      <c r="I29" s="10" t="str">
        <f>".7092"</f>
        <v>.7092</v>
      </c>
      <c r="J29" s="10" t="str">
        <f>".7372"</f>
        <v>.7372</v>
      </c>
      <c r="K29" s="10" t="str">
        <f>".2392"</f>
        <v>.2392</v>
      </c>
      <c r="L29" s="10" t="str">
        <f>".673"</f>
        <v>.673</v>
      </c>
      <c r="M29" s="10" t="str">
        <f>".6955"</f>
        <v>.6955</v>
      </c>
      <c r="N29" s="10" t="str">
        <f>".5314"</f>
        <v>.5314</v>
      </c>
      <c r="O29" s="10" t="str">
        <f>".6996"</f>
        <v>.6996</v>
      </c>
      <c r="P29" s="10" t="str">
        <f>".7416"</f>
        <v>.7416</v>
      </c>
      <c r="Q29" s="10" t="str">
        <f>".02061"</f>
        <v>.02061</v>
      </c>
      <c r="R29" s="10" t="str">
        <f>".08126"</f>
        <v>.08126</v>
      </c>
      <c r="S29" s="10" t="str">
        <f>".09221"</f>
        <v>.09221</v>
      </c>
      <c r="T29" s="10" t="str">
        <f>".2596"</f>
        <v>.2596</v>
      </c>
      <c r="U29" s="10" t="str">
        <f>".692"</f>
        <v>.692</v>
      </c>
      <c r="V29" s="10" t="str">
        <f>".7413"</f>
        <v>.7413</v>
      </c>
      <c r="W29" s="10" t="str">
        <f>".616"</f>
        <v>.616</v>
      </c>
      <c r="X29" s="10" t="str">
        <f>".7518"</f>
        <v>.7518</v>
      </c>
      <c r="Y29" s="10" t="str">
        <f>".8013"</f>
        <v>.8013</v>
      </c>
      <c r="Z29" s="10" t="str">
        <f>".1783"</f>
        <v>.1783</v>
      </c>
      <c r="AA29" s="10" t="str">
        <f>".2263"</f>
        <v>.2263</v>
      </c>
      <c r="AB29" s="10" t="str">
        <f>".3191"</f>
        <v>.3191</v>
      </c>
      <c r="AC29" s="10" t="str">
        <f>".00199"</f>
        <v>.00199</v>
      </c>
      <c r="AD29" s="10" t="str">
        <f>".1114"</f>
        <v>.1114</v>
      </c>
      <c r="AE29" s="10" t="str">
        <f>".1958"</f>
        <v>.1958</v>
      </c>
      <c r="AF29" s="10" t="str">
        <f>".1596"</f>
        <v>.1596</v>
      </c>
      <c r="AG29" s="10" t="str">
        <f>".2087"</f>
        <v>.2087</v>
      </c>
      <c r="AH29" s="10" t="str">
        <f>".2962"</f>
        <v>.2962</v>
      </c>
      <c r="AI29" s="10" t="str">
        <f>".02262"</f>
        <v>.02262</v>
      </c>
      <c r="AJ29" s="10" t="str">
        <f>".1496"</f>
        <v>.1496</v>
      </c>
      <c r="AK29" s="10" t="str">
        <f>".1064"</f>
        <v>.1064</v>
      </c>
      <c r="AL29" s="10" t="str">
        <f>".3005"</f>
        <v>.3005</v>
      </c>
      <c r="AM29" s="10" t="str">
        <f>".389"</f>
        <v>.389</v>
      </c>
      <c r="AN29" s="10" t="str">
        <f>".3807"</f>
        <v>.3807</v>
      </c>
    </row>
    <row r="30" spans="1:40">
      <c r="A30" s="10" t="str">
        <f>"rmse"</f>
        <v>rmse</v>
      </c>
      <c r="B30" s="10" t="str">
        <f>".08256"</f>
        <v>.08256</v>
      </c>
      <c r="C30" s="10" t="str">
        <f>".07722"</f>
        <v>.07722</v>
      </c>
      <c r="D30" s="10" t="str">
        <f>".07364"</f>
        <v>.07364</v>
      </c>
      <c r="E30" s="10" t="str">
        <f>".08001"</f>
        <v>.08001</v>
      </c>
      <c r="F30" s="10" t="str">
        <f>".07955"</f>
        <v>.07955</v>
      </c>
      <c r="G30" s="10" t="str">
        <f>".07851"</f>
        <v>.07851</v>
      </c>
      <c r="H30" s="10" t="str">
        <f>".06876"</f>
        <v>.06876</v>
      </c>
      <c r="I30" s="10" t="str">
        <f>".04413"</f>
        <v>.04413</v>
      </c>
      <c r="J30" s="10" t="str">
        <f>".04195"</f>
        <v>.04195</v>
      </c>
      <c r="K30" s="10" t="str">
        <f>".07138"</f>
        <v>.07138</v>
      </c>
      <c r="L30" s="10" t="str">
        <f>".04679"</f>
        <v>.04679</v>
      </c>
      <c r="M30" s="10" t="str">
        <f>".04516"</f>
        <v>.04516</v>
      </c>
      <c r="N30" s="10" t="str">
        <f>".05602"</f>
        <v>.05602</v>
      </c>
      <c r="O30" s="10" t="str">
        <f>".04485"</f>
        <v>.04485</v>
      </c>
      <c r="P30" s="10" t="str">
        <f>".0416"</f>
        <v>.0416</v>
      </c>
      <c r="Q30" s="10" t="str">
        <f>".08099"</f>
        <v>.08099</v>
      </c>
      <c r="R30" s="10" t="str">
        <f>".07844"</f>
        <v>.07844</v>
      </c>
      <c r="S30" s="10" t="str">
        <f>".07797"</f>
        <v>.07797</v>
      </c>
      <c r="T30" s="10" t="str">
        <f>".07041"</f>
        <v>.07041</v>
      </c>
      <c r="U30" s="10" t="str">
        <f>".04541"</f>
        <v>.04541</v>
      </c>
      <c r="V30" s="10" t="str">
        <f>".04162"</f>
        <v>.04162</v>
      </c>
      <c r="W30" s="10" t="str">
        <f>".05071"</f>
        <v>.05071</v>
      </c>
      <c r="X30" s="10" t="str">
        <f>".04077"</f>
        <v>.04077</v>
      </c>
      <c r="Y30" s="10" t="str">
        <f>".03648"</f>
        <v>.03648</v>
      </c>
      <c r="Z30" s="10" t="str">
        <f>".07418"</f>
        <v>.07418</v>
      </c>
      <c r="AA30" s="10" t="str">
        <f>".07198"</f>
        <v>.07198</v>
      </c>
      <c r="AB30" s="10" t="str">
        <f>".06753"</f>
        <v>.06753</v>
      </c>
      <c r="AC30" s="10" t="str">
        <f>".08175"</f>
        <v>.08175</v>
      </c>
      <c r="AD30" s="10" t="str">
        <f>".07714"</f>
        <v>.07714</v>
      </c>
      <c r="AE30" s="10" t="str">
        <f>".07339"</f>
        <v>.07339</v>
      </c>
      <c r="AF30" s="10" t="str">
        <f>".07502"</f>
        <v>.07502</v>
      </c>
      <c r="AG30" s="10" t="str">
        <f>".0728"</f>
        <v>.0728</v>
      </c>
      <c r="AH30" s="10" t="str">
        <f>".06865"</f>
        <v>.06865</v>
      </c>
      <c r="AI30" s="10" t="str">
        <f>".0809"</f>
        <v>.0809</v>
      </c>
      <c r="AJ30" s="10" t="str">
        <f>".07546"</f>
        <v>.07546</v>
      </c>
      <c r="AK30" s="10" t="str">
        <f>".07736"</f>
        <v>.07736</v>
      </c>
      <c r="AL30" s="10" t="str">
        <f>".06844"</f>
        <v>.06844</v>
      </c>
      <c r="AM30" s="10" t="str">
        <f>".06397"</f>
        <v>.06397</v>
      </c>
      <c r="AN30" s="10" t="str">
        <f>".0644"</f>
        <v>.0644</v>
      </c>
    </row>
    <row r="34" spans="1:40">
      <c r="A34" s="10" t="str">
        <f>"Output 9b - Multivariate Regressions, Top59 100%"</f>
        <v>Output 9b - Multivariate Regressions, Top59 100%</v>
      </c>
    </row>
    <row r="35" spans="1:40" s="11" customFormat="1"/>
    <row r="36" spans="1:40">
      <c r="A36" s="10" t="str">
        <f>""</f>
        <v/>
      </c>
      <c r="B36" s="170" t="s">
        <v>116</v>
      </c>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row>
    <row r="38" spans="1:40">
      <c r="A38" s="10" t="str">
        <f>"alpha_c"</f>
        <v>alpha_c</v>
      </c>
      <c r="B38" s="10" t="str">
        <f>".4336**"</f>
        <v>.4336**</v>
      </c>
      <c r="C38" s="10" t="str">
        <f>".3668*"</f>
        <v>.3668*</v>
      </c>
      <c r="D38" s="10" t="str">
        <f>".389*"</f>
        <v>.389*</v>
      </c>
      <c r="E38" s="10" t="str">
        <f>""</f>
        <v/>
      </c>
      <c r="F38" s="10" t="str">
        <f>""</f>
        <v/>
      </c>
      <c r="G38" s="10" t="str">
        <f>""</f>
        <v/>
      </c>
      <c r="H38" s="10" t="str">
        <f>""</f>
        <v/>
      </c>
      <c r="I38" s="10" t="str">
        <f>""</f>
        <v/>
      </c>
      <c r="J38" s="10" t="str">
        <f>""</f>
        <v/>
      </c>
      <c r="K38" s="10" t="str">
        <f>""</f>
        <v/>
      </c>
      <c r="L38" s="10" t="str">
        <f>""</f>
        <v/>
      </c>
      <c r="M38" s="10" t="str">
        <f>""</f>
        <v/>
      </c>
      <c r="N38" s="10" t="str">
        <f>".8235***"</f>
        <v>.8235***</v>
      </c>
      <c r="O38" s="10" t="str">
        <f>".6567***"</f>
        <v>.6567***</v>
      </c>
      <c r="P38" s="10" t="str">
        <f>".6811***"</f>
        <v>.6811***</v>
      </c>
      <c r="Q38" s="10" t="str">
        <f>".8325***"</f>
        <v>.8325***</v>
      </c>
      <c r="R38" s="10" t="str">
        <f>".7034***"</f>
        <v>.7034***</v>
      </c>
      <c r="S38" s="10" t="str">
        <f>".7543***"</f>
        <v>.7543***</v>
      </c>
      <c r="T38" s="10" t="str">
        <f>""</f>
        <v/>
      </c>
      <c r="U38" s="10" t="str">
        <f>""</f>
        <v/>
      </c>
      <c r="V38" s="10" t="str">
        <f>""</f>
        <v/>
      </c>
      <c r="W38" s="10" t="str">
        <f>".8233***"</f>
        <v>.8233***</v>
      </c>
      <c r="X38" s="10" t="str">
        <f>".6916***"</f>
        <v>.6916***</v>
      </c>
      <c r="Y38" s="10" t="str">
        <f>".7088***"</f>
        <v>.7088***</v>
      </c>
      <c r="Z38" s="10" t="str">
        <f>""</f>
        <v/>
      </c>
      <c r="AA38" s="10" t="str">
        <f>""</f>
        <v/>
      </c>
      <c r="AB38" s="10" t="str">
        <f>""</f>
        <v/>
      </c>
      <c r="AC38" s="10" t="str">
        <f>""</f>
        <v/>
      </c>
      <c r="AD38" s="10" t="str">
        <f>""</f>
        <v/>
      </c>
      <c r="AE38" s="10" t="str">
        <f>""</f>
        <v/>
      </c>
      <c r="AF38" s="10" t="str">
        <f>""</f>
        <v/>
      </c>
      <c r="AG38" s="10" t="str">
        <f>""</f>
        <v/>
      </c>
      <c r="AH38" s="10" t="str">
        <f>""</f>
        <v/>
      </c>
      <c r="AI38" s="10" t="str">
        <f>""</f>
        <v/>
      </c>
      <c r="AJ38" s="10" t="str">
        <f>""</f>
        <v/>
      </c>
      <c r="AK38" s="10" t="str">
        <f>""</f>
        <v/>
      </c>
      <c r="AL38" s="10" t="str">
        <f>""</f>
        <v/>
      </c>
      <c r="AM38" s="10" t="str">
        <f>""</f>
        <v/>
      </c>
      <c r="AN38" s="10" t="str">
        <f>""</f>
        <v/>
      </c>
    </row>
    <row r="39" spans="1:40">
      <c r="A39" s="10" t="str">
        <f>""</f>
        <v/>
      </c>
      <c r="B39" s="10" t="str">
        <f>"(.1782)"</f>
        <v>(.1782)</v>
      </c>
      <c r="C39" s="10" t="str">
        <f>"(.2229)"</f>
        <v>(.2229)</v>
      </c>
      <c r="D39" s="10" t="str">
        <f>"(.2155)"</f>
        <v>(.2155)</v>
      </c>
      <c r="E39" s="10" t="str">
        <f>""</f>
        <v/>
      </c>
      <c r="F39" s="10" t="str">
        <f>""</f>
        <v/>
      </c>
      <c r="G39" s="10" t="str">
        <f>""</f>
        <v/>
      </c>
      <c r="H39" s="10" t="str">
        <f>""</f>
        <v/>
      </c>
      <c r="I39" s="10" t="str">
        <f>""</f>
        <v/>
      </c>
      <c r="J39" s="10" t="str">
        <f>""</f>
        <v/>
      </c>
      <c r="K39" s="10" t="str">
        <f>""</f>
        <v/>
      </c>
      <c r="L39" s="10" t="str">
        <f>""</f>
        <v/>
      </c>
      <c r="M39" s="10" t="str">
        <f>""</f>
        <v/>
      </c>
      <c r="N39" s="10" t="str">
        <f>"(.1309)"</f>
        <v>(.1309)</v>
      </c>
      <c r="O39" s="10" t="str">
        <f>"(.1821)"</f>
        <v>(.1821)</v>
      </c>
      <c r="P39" s="10" t="str">
        <f>"(.1082)"</f>
        <v>(.1082)</v>
      </c>
      <c r="Q39" s="10" t="str">
        <f>"(.09353)"</f>
        <v>(.09353)</v>
      </c>
      <c r="R39" s="10" t="str">
        <f>"(.1778)"</f>
        <v>(.1778)</v>
      </c>
      <c r="S39" s="10" t="str">
        <f>"(.1759)"</f>
        <v>(.1759)</v>
      </c>
      <c r="T39" s="10" t="str">
        <f>""</f>
        <v/>
      </c>
      <c r="U39" s="10" t="str">
        <f>""</f>
        <v/>
      </c>
      <c r="V39" s="10" t="str">
        <f>""</f>
        <v/>
      </c>
      <c r="W39" s="10" t="str">
        <f>"(.09969)"</f>
        <v>(.09969)</v>
      </c>
      <c r="X39" s="10" t="str">
        <f>"(.1733)"</f>
        <v>(.1733)</v>
      </c>
      <c r="Y39" s="10" t="str">
        <f>"(.1612)"</f>
        <v>(.1612)</v>
      </c>
      <c r="Z39" s="10" t="str">
        <f>""</f>
        <v/>
      </c>
      <c r="AA39" s="10" t="str">
        <f>""</f>
        <v/>
      </c>
      <c r="AB39" s="10" t="str">
        <f>""</f>
        <v/>
      </c>
      <c r="AC39" s="10" t="str">
        <f>""</f>
        <v/>
      </c>
      <c r="AD39" s="10" t="str">
        <f>""</f>
        <v/>
      </c>
      <c r="AE39" s="10" t="str">
        <f>""</f>
        <v/>
      </c>
      <c r="AF39" s="10" t="str">
        <f>""</f>
        <v/>
      </c>
      <c r="AG39" s="10" t="str">
        <f>""</f>
        <v/>
      </c>
      <c r="AH39" s="10" t="str">
        <f>""</f>
        <v/>
      </c>
      <c r="AI39" s="10" t="str">
        <f>""</f>
        <v/>
      </c>
      <c r="AJ39" s="10" t="str">
        <f>""</f>
        <v/>
      </c>
      <c r="AK39" s="10" t="str">
        <f>""</f>
        <v/>
      </c>
      <c r="AL39" s="10" t="str">
        <f>""</f>
        <v/>
      </c>
      <c r="AM39" s="10" t="str">
        <f>""</f>
        <v/>
      </c>
      <c r="AN39" s="10" t="str">
        <f>""</f>
        <v/>
      </c>
    </row>
    <row r="40" spans="1:40">
      <c r="A40" s="10" t="str">
        <f>"Ealpha_c"</f>
        <v>Ealpha_c</v>
      </c>
      <c r="B40" s="10" t="str">
        <f>"2.185***"</f>
        <v>2.185***</v>
      </c>
      <c r="C40" s="10" t="str">
        <f>"2.07***"</f>
        <v>2.07***</v>
      </c>
      <c r="D40" s="10" t="str">
        <f>"2.046***"</f>
        <v>2.046***</v>
      </c>
      <c r="E40" s="10" t="str">
        <f>""</f>
        <v/>
      </c>
      <c r="F40" s="10" t="str">
        <f>""</f>
        <v/>
      </c>
      <c r="G40" s="10" t="str">
        <f>""</f>
        <v/>
      </c>
      <c r="H40" s="10" t="str">
        <f>""</f>
        <v/>
      </c>
      <c r="I40" s="10" t="str">
        <f>""</f>
        <v/>
      </c>
      <c r="J40" s="10" t="str">
        <f>""</f>
        <v/>
      </c>
      <c r="K40" s="10" t="str">
        <f>""</f>
        <v/>
      </c>
      <c r="L40" s="10" t="str">
        <f>""</f>
        <v/>
      </c>
      <c r="M40" s="10" t="str">
        <f>""</f>
        <v/>
      </c>
      <c r="N40" s="10" t="str">
        <f>""</f>
        <v/>
      </c>
      <c r="O40" s="10" t="str">
        <f>""</f>
        <v/>
      </c>
      <c r="P40" s="10" t="str">
        <f>""</f>
        <v/>
      </c>
      <c r="Q40" s="10" t="str">
        <f>""</f>
        <v/>
      </c>
      <c r="R40" s="10" t="str">
        <f>""</f>
        <v/>
      </c>
      <c r="S40" s="10" t="str">
        <f>""</f>
        <v/>
      </c>
      <c r="T40" s="10" t="str">
        <f>""</f>
        <v/>
      </c>
      <c r="U40" s="10" t="str">
        <f>""</f>
        <v/>
      </c>
      <c r="V40" s="10" t="str">
        <f>""</f>
        <v/>
      </c>
      <c r="W40" s="10" t="str">
        <f>""</f>
        <v/>
      </c>
      <c r="X40" s="10" t="str">
        <f>""</f>
        <v/>
      </c>
      <c r="Y40" s="10" t="str">
        <f>""</f>
        <v/>
      </c>
      <c r="Z40" s="10" t="str">
        <f>"3.964***"</f>
        <v>3.964***</v>
      </c>
      <c r="AA40" s="10" t="str">
        <f>"3.23***"</f>
        <v>3.23***</v>
      </c>
      <c r="AB40" s="10" t="str">
        <f>"3.203***"</f>
        <v>3.203***</v>
      </c>
      <c r="AC40" s="10" t="str">
        <f>"3.39***"</f>
        <v>3.39***</v>
      </c>
      <c r="AD40" s="10" t="str">
        <f>"3.05***"</f>
        <v>3.05***</v>
      </c>
      <c r="AE40" s="10" t="str">
        <f>"3.292***"</f>
        <v>3.292***</v>
      </c>
      <c r="AF40" s="10" t="str">
        <f>"2.456***"</f>
        <v>2.456***</v>
      </c>
      <c r="AG40" s="10" t="str">
        <f>"2.085***"</f>
        <v>2.085***</v>
      </c>
      <c r="AH40" s="10" t="str">
        <f>"1.993**"</f>
        <v>1.993**</v>
      </c>
      <c r="AI40" s="10" t="str">
        <f>""</f>
        <v/>
      </c>
      <c r="AJ40" s="10" t="str">
        <f>""</f>
        <v/>
      </c>
      <c r="AK40" s="10" t="str">
        <f>""</f>
        <v/>
      </c>
      <c r="AL40" s="10" t="str">
        <f>"2.401***"</f>
        <v>2.401***</v>
      </c>
      <c r="AM40" s="10" t="str">
        <f>"2.07**"</f>
        <v>2.07**</v>
      </c>
      <c r="AN40" s="10" t="str">
        <f>"1.862*"</f>
        <v>1.862*</v>
      </c>
    </row>
    <row r="41" spans="1:40">
      <c r="A41" s="10" t="str">
        <f>""</f>
        <v/>
      </c>
      <c r="B41" s="10" t="str">
        <f>"(.6607)"</f>
        <v>(.6607)</v>
      </c>
      <c r="C41" s="10" t="str">
        <f>"(.7799)"</f>
        <v>(.7799)</v>
      </c>
      <c r="D41" s="10" t="str">
        <f>"(.7581)"</f>
        <v>(.7581)</v>
      </c>
      <c r="E41" s="10" t="str">
        <f>""</f>
        <v/>
      </c>
      <c r="F41" s="10" t="str">
        <f>""</f>
        <v/>
      </c>
      <c r="G41" s="10" t="str">
        <f>""</f>
        <v/>
      </c>
      <c r="H41" s="10" t="str">
        <f>""</f>
        <v/>
      </c>
      <c r="I41" s="10" t="str">
        <f>""</f>
        <v/>
      </c>
      <c r="J41" s="10" t="str">
        <f>""</f>
        <v/>
      </c>
      <c r="K41" s="10" t="str">
        <f>""</f>
        <v/>
      </c>
      <c r="L41" s="10" t="str">
        <f>""</f>
        <v/>
      </c>
      <c r="M41" s="10" t="str">
        <f>""</f>
        <v/>
      </c>
      <c r="N41" s="10" t="str">
        <f>""</f>
        <v/>
      </c>
      <c r="O41" s="10" t="str">
        <f>""</f>
        <v/>
      </c>
      <c r="P41" s="10" t="str">
        <f>""</f>
        <v/>
      </c>
      <c r="Q41" s="10" t="str">
        <f>""</f>
        <v/>
      </c>
      <c r="R41" s="10" t="str">
        <f>""</f>
        <v/>
      </c>
      <c r="S41" s="10" t="str">
        <f>""</f>
        <v/>
      </c>
      <c r="T41" s="10" t="str">
        <f>""</f>
        <v/>
      </c>
      <c r="U41" s="10" t="str">
        <f>""</f>
        <v/>
      </c>
      <c r="V41" s="10" t="str">
        <f>""</f>
        <v/>
      </c>
      <c r="W41" s="10" t="str">
        <f>""</f>
        <v/>
      </c>
      <c r="X41" s="10" t="str">
        <f>""</f>
        <v/>
      </c>
      <c r="Y41" s="10" t="str">
        <f>""</f>
        <v/>
      </c>
      <c r="Z41" s="10" t="str">
        <f>"(.3172)"</f>
        <v>(.3172)</v>
      </c>
      <c r="AA41" s="10" t="str">
        <f>"(.6649)"</f>
        <v>(.6649)</v>
      </c>
      <c r="AB41" s="10" t="str">
        <f>"(.9278)"</f>
        <v>(.9278)</v>
      </c>
      <c r="AC41" s="10" t="str">
        <f>"(.9854)"</f>
        <v>(.9854)</v>
      </c>
      <c r="AD41" s="10" t="str">
        <f>"(1.175)"</f>
        <v>(1.175)</v>
      </c>
      <c r="AE41" s="10" t="str">
        <f>"(1.143)"</f>
        <v>(1.143)</v>
      </c>
      <c r="AF41" s="10" t="str">
        <f>"(.6794)"</f>
        <v>(.6794)</v>
      </c>
      <c r="AG41" s="10" t="str">
        <f>"(.7957)"</f>
        <v>(.7957)</v>
      </c>
      <c r="AH41" s="10" t="str">
        <f>"(1.016)"</f>
        <v>(1.016)</v>
      </c>
      <c r="AI41" s="10" t="str">
        <f>""</f>
        <v/>
      </c>
      <c r="AJ41" s="10" t="str">
        <f>""</f>
        <v/>
      </c>
      <c r="AK41" s="10" t="str">
        <f>""</f>
        <v/>
      </c>
      <c r="AL41" s="10" t="str">
        <f>"(.6649)"</f>
        <v>(.6649)</v>
      </c>
      <c r="AM41" s="10" t="str">
        <f>"(.8356)"</f>
        <v>(.8356)</v>
      </c>
      <c r="AN41" s="10" t="str">
        <f>"(1.082)"</f>
        <v>(1.082)</v>
      </c>
    </row>
    <row r="42" spans="1:40">
      <c r="A42" s="10" t="str">
        <f>"s_alpha_q1q5"</f>
        <v>s_alpha_q1q5</v>
      </c>
      <c r="B42" s="10" t="str">
        <f>""</f>
        <v/>
      </c>
      <c r="C42" s="10" t="str">
        <f>""</f>
        <v/>
      </c>
      <c r="D42" s="10" t="str">
        <f>""</f>
        <v/>
      </c>
      <c r="E42" s="10" t="str">
        <f>".9279"</f>
        <v>.9279</v>
      </c>
      <c r="F42" s="10" t="str">
        <f>"1.065"</f>
        <v>1.065</v>
      </c>
      <c r="G42" s="10" t="str">
        <f>"1.178"</f>
        <v>1.178</v>
      </c>
      <c r="H42" s="10" t="str">
        <f>""</f>
        <v/>
      </c>
      <c r="I42" s="10" t="str">
        <f>""</f>
        <v/>
      </c>
      <c r="J42" s="10" t="str">
        <f>""</f>
        <v/>
      </c>
      <c r="K42" s="10" t="str">
        <f>""</f>
        <v/>
      </c>
      <c r="L42" s="10" t="str">
        <f>""</f>
        <v/>
      </c>
      <c r="M42" s="10" t="str">
        <f>""</f>
        <v/>
      </c>
      <c r="N42" s="10" t="str">
        <f>""</f>
        <v/>
      </c>
      <c r="O42" s="10" t="str">
        <f>""</f>
        <v/>
      </c>
      <c r="P42" s="10" t="str">
        <f>""</f>
        <v/>
      </c>
      <c r="Q42" s="10" t="str">
        <f>".3469"</f>
        <v>.3469</v>
      </c>
      <c r="R42" s="10" t="str">
        <f>".1976"</f>
        <v>.1976</v>
      </c>
      <c r="S42" s="10" t="str">
        <f>".2146"</f>
        <v>.2146</v>
      </c>
      <c r="T42" s="10" t="str">
        <f>""</f>
        <v/>
      </c>
      <c r="U42" s="10" t="str">
        <f>""</f>
        <v/>
      </c>
      <c r="V42" s="10" t="str">
        <f>""</f>
        <v/>
      </c>
      <c r="W42" s="10" t="str">
        <f>".3509"</f>
        <v>.3509</v>
      </c>
      <c r="X42" s="10" t="str">
        <f>".01169"</f>
        <v>.01169</v>
      </c>
      <c r="Y42" s="10" t="str">
        <f>"-.1841"</f>
        <v>-.1841</v>
      </c>
      <c r="Z42" s="10" t="str">
        <f>""</f>
        <v/>
      </c>
      <c r="AA42" s="10" t="str">
        <f>""</f>
        <v/>
      </c>
      <c r="AB42" s="10" t="str">
        <f>""</f>
        <v/>
      </c>
      <c r="AC42" s="10" t="str">
        <f>""</f>
        <v/>
      </c>
      <c r="AD42" s="10" t="str">
        <f>""</f>
        <v/>
      </c>
      <c r="AE42" s="10" t="str">
        <f>""</f>
        <v/>
      </c>
      <c r="AF42" s="10" t="str">
        <f>""</f>
        <v/>
      </c>
      <c r="AG42" s="10" t="str">
        <f>""</f>
        <v/>
      </c>
      <c r="AH42" s="10" t="str">
        <f>""</f>
        <v/>
      </c>
      <c r="AI42" s="10" t="str">
        <f>""</f>
        <v/>
      </c>
      <c r="AJ42" s="10" t="str">
        <f>""</f>
        <v/>
      </c>
      <c r="AK42" s="10" t="str">
        <f>""</f>
        <v/>
      </c>
      <c r="AL42" s="10" t="str">
        <f>""</f>
        <v/>
      </c>
      <c r="AM42" s="10" t="str">
        <f>""</f>
        <v/>
      </c>
      <c r="AN42" s="10" t="str">
        <f>""</f>
        <v/>
      </c>
    </row>
    <row r="43" spans="1:40">
      <c r="A43" s="10" t="str">
        <f>""</f>
        <v/>
      </c>
      <c r="B43" s="10" t="str">
        <f>""</f>
        <v/>
      </c>
      <c r="C43" s="10" t="str">
        <f>""</f>
        <v/>
      </c>
      <c r="D43" s="10" t="str">
        <f>""</f>
        <v/>
      </c>
      <c r="E43" s="10" t="str">
        <f>"(.5729)"</f>
        <v>(.5729)</v>
      </c>
      <c r="F43" s="10" t="str">
        <f>"(.7059)"</f>
        <v>(.7059)</v>
      </c>
      <c r="G43" s="10" t="str">
        <f>"(.7429)"</f>
        <v>(.7429)</v>
      </c>
      <c r="H43" s="10" t="str">
        <f>""</f>
        <v/>
      </c>
      <c r="I43" s="10" t="str">
        <f>""</f>
        <v/>
      </c>
      <c r="J43" s="10" t="str">
        <f>""</f>
        <v/>
      </c>
      <c r="K43" s="10" t="str">
        <f>""</f>
        <v/>
      </c>
      <c r="L43" s="10" t="str">
        <f>""</f>
        <v/>
      </c>
      <c r="M43" s="10" t="str">
        <f>""</f>
        <v/>
      </c>
      <c r="N43" s="10" t="str">
        <f>""</f>
        <v/>
      </c>
      <c r="O43" s="10" t="str">
        <f>""</f>
        <v/>
      </c>
      <c r="P43" s="10" t="str">
        <f>""</f>
        <v/>
      </c>
      <c r="Q43" s="10" t="str">
        <f>"(.4358)"</f>
        <v>(.4358)</v>
      </c>
      <c r="R43" s="10" t="str">
        <f>"(.4874)"</f>
        <v>(.4874)</v>
      </c>
      <c r="S43" s="10" t="str">
        <f>"(.5135)"</f>
        <v>(.5135)</v>
      </c>
      <c r="T43" s="10" t="str">
        <f>""</f>
        <v/>
      </c>
      <c r="U43" s="10" t="str">
        <f>""</f>
        <v/>
      </c>
      <c r="V43" s="10" t="str">
        <f>""</f>
        <v/>
      </c>
      <c r="W43" s="10" t="str">
        <f>"(.4377)"</f>
        <v>(.4377)</v>
      </c>
      <c r="X43" s="10" t="str">
        <f>"(.542)"</f>
        <v>(.542)</v>
      </c>
      <c r="Y43" s="10" t="str">
        <f>"(.5453)"</f>
        <v>(.5453)</v>
      </c>
      <c r="Z43" s="10" t="str">
        <f>""</f>
        <v/>
      </c>
      <c r="AA43" s="10" t="str">
        <f>""</f>
        <v/>
      </c>
      <c r="AB43" s="10" t="str">
        <f>""</f>
        <v/>
      </c>
      <c r="AC43" s="10" t="str">
        <f>""</f>
        <v/>
      </c>
      <c r="AD43" s="10" t="str">
        <f>""</f>
        <v/>
      </c>
      <c r="AE43" s="10" t="str">
        <f>""</f>
        <v/>
      </c>
      <c r="AF43" s="10" t="str">
        <f>""</f>
        <v/>
      </c>
      <c r="AG43" s="10" t="str">
        <f>""</f>
        <v/>
      </c>
      <c r="AH43" s="10" t="str">
        <f>""</f>
        <v/>
      </c>
      <c r="AI43" s="10" t="str">
        <f>""</f>
        <v/>
      </c>
      <c r="AJ43" s="10" t="str">
        <f>""</f>
        <v/>
      </c>
      <c r="AK43" s="10" t="str">
        <f>""</f>
        <v/>
      </c>
      <c r="AL43" s="10" t="str">
        <f>""</f>
        <v/>
      </c>
      <c r="AM43" s="10" t="str">
        <f>""</f>
        <v/>
      </c>
      <c r="AN43" s="10" t="str">
        <f>""</f>
        <v/>
      </c>
    </row>
    <row r="44" spans="1:40">
      <c r="A44" s="10" t="str">
        <f>"Es_alpha_q1q5"</f>
        <v>Es_alpha_q1q5</v>
      </c>
      <c r="B44" s="10" t="str">
        <f>""</f>
        <v/>
      </c>
      <c r="C44" s="10" t="str">
        <f>""</f>
        <v/>
      </c>
      <c r="D44" s="10" t="str">
        <f>""</f>
        <v/>
      </c>
      <c r="E44" s="10" t="str">
        <f>"9.147***"</f>
        <v>9.147***</v>
      </c>
      <c r="F44" s="10" t="str">
        <f>"5.812"</f>
        <v>5.812</v>
      </c>
      <c r="G44" s="10" t="str">
        <f>"5.875"</f>
        <v>5.875</v>
      </c>
      <c r="H44" s="10" t="str">
        <f>""</f>
        <v/>
      </c>
      <c r="I44" s="10" t="str">
        <f>""</f>
        <v/>
      </c>
      <c r="J44" s="10" t="str">
        <f>""</f>
        <v/>
      </c>
      <c r="K44" s="10" t="str">
        <f>""</f>
        <v/>
      </c>
      <c r="L44" s="10" t="str">
        <f>""</f>
        <v/>
      </c>
      <c r="M44" s="10" t="str">
        <f>""</f>
        <v/>
      </c>
      <c r="N44" s="10" t="str">
        <f>""</f>
        <v/>
      </c>
      <c r="O44" s="10" t="str">
        <f>""</f>
        <v/>
      </c>
      <c r="P44" s="10" t="str">
        <f>""</f>
        <v/>
      </c>
      <c r="Q44" s="10" t="str">
        <f>""</f>
        <v/>
      </c>
      <c r="R44" s="10" t="str">
        <f>""</f>
        <v/>
      </c>
      <c r="S44" s="10" t="str">
        <f>""</f>
        <v/>
      </c>
      <c r="T44" s="10" t="str">
        <f>""</f>
        <v/>
      </c>
      <c r="U44" s="10" t="str">
        <f>""</f>
        <v/>
      </c>
      <c r="V44" s="10" t="str">
        <f>""</f>
        <v/>
      </c>
      <c r="W44" s="10" t="str">
        <f>""</f>
        <v/>
      </c>
      <c r="X44" s="10" t="str">
        <f>""</f>
        <v/>
      </c>
      <c r="Y44" s="10" t="str">
        <f>""</f>
        <v/>
      </c>
      <c r="Z44" s="10" t="str">
        <f>""</f>
        <v/>
      </c>
      <c r="AA44" s="10" t="str">
        <f>""</f>
        <v/>
      </c>
      <c r="AB44" s="10" t="str">
        <f>""</f>
        <v/>
      </c>
      <c r="AC44" s="10" t="str">
        <f>"1.775"</f>
        <v>1.775</v>
      </c>
      <c r="AD44" s="10" t="str">
        <f>"1.356"</f>
        <v>1.356</v>
      </c>
      <c r="AE44" s="10" t="str">
        <f>".4646"</f>
        <v>.4646</v>
      </c>
      <c r="AF44" s="10" t="str">
        <f>"-.6438"</f>
        <v>-.6438</v>
      </c>
      <c r="AG44" s="10" t="str">
        <f>".02166"</f>
        <v>.02166</v>
      </c>
      <c r="AH44" s="10" t="str">
        <f>"-.1308"</f>
        <v>-.1308</v>
      </c>
      <c r="AI44" s="10" t="str">
        <f>""</f>
        <v/>
      </c>
      <c r="AJ44" s="10" t="str">
        <f>""</f>
        <v/>
      </c>
      <c r="AK44" s="10" t="str">
        <f>""</f>
        <v/>
      </c>
      <c r="AL44" s="10" t="str">
        <f>"-.5424"</f>
        <v>-.5424</v>
      </c>
      <c r="AM44" s="10" t="str">
        <f>"-.08314"</f>
        <v>-.08314</v>
      </c>
      <c r="AN44" s="10" t="str">
        <f>".1789"</f>
        <v>.1789</v>
      </c>
    </row>
    <row r="45" spans="1:40">
      <c r="A45" s="10" t="str">
        <f>""</f>
        <v/>
      </c>
      <c r="B45" s="10" t="str">
        <f>""</f>
        <v/>
      </c>
      <c r="C45" s="10" t="str">
        <f>""</f>
        <v/>
      </c>
      <c r="D45" s="10" t="str">
        <f>""</f>
        <v/>
      </c>
      <c r="E45" s="10" t="str">
        <f>"(1.884)"</f>
        <v>(1.884)</v>
      </c>
      <c r="F45" s="10" t="str">
        <f>"(4.102)"</f>
        <v>(4.102)</v>
      </c>
      <c r="G45" s="10" t="str">
        <f>"(3.957)"</f>
        <v>(3.957)</v>
      </c>
      <c r="H45" s="10" t="str">
        <f>""</f>
        <v/>
      </c>
      <c r="I45" s="10" t="str">
        <f>""</f>
        <v/>
      </c>
      <c r="J45" s="10" t="str">
        <f>""</f>
        <v/>
      </c>
      <c r="K45" s="10" t="str">
        <f>""</f>
        <v/>
      </c>
      <c r="L45" s="10" t="str">
        <f>""</f>
        <v/>
      </c>
      <c r="M45" s="10" t="str">
        <f>""</f>
        <v/>
      </c>
      <c r="N45" s="10" t="str">
        <f>""</f>
        <v/>
      </c>
      <c r="O45" s="10" t="str">
        <f>""</f>
        <v/>
      </c>
      <c r="P45" s="10" t="str">
        <f>""</f>
        <v/>
      </c>
      <c r="Q45" s="10" t="str">
        <f>""</f>
        <v/>
      </c>
      <c r="R45" s="10" t="str">
        <f>""</f>
        <v/>
      </c>
      <c r="S45" s="10" t="str">
        <f>""</f>
        <v/>
      </c>
      <c r="T45" s="10" t="str">
        <f>""</f>
        <v/>
      </c>
      <c r="U45" s="10" t="str">
        <f>""</f>
        <v/>
      </c>
      <c r="V45" s="10" t="str">
        <f>""</f>
        <v/>
      </c>
      <c r="W45" s="10" t="str">
        <f>""</f>
        <v/>
      </c>
      <c r="X45" s="10" t="str">
        <f>""</f>
        <v/>
      </c>
      <c r="Y45" s="10" t="str">
        <f>""</f>
        <v/>
      </c>
      <c r="Z45" s="10" t="str">
        <f>""</f>
        <v/>
      </c>
      <c r="AA45" s="10" t="str">
        <f>""</f>
        <v/>
      </c>
      <c r="AB45" s="10" t="str">
        <f>""</f>
        <v/>
      </c>
      <c r="AC45" s="10" t="str">
        <f>"(2.98)"</f>
        <v>(2.98)</v>
      </c>
      <c r="AD45" s="10" t="str">
        <f>"(4.188)"</f>
        <v>(4.188)</v>
      </c>
      <c r="AE45" s="10" t="str">
        <f>"(4.171)"</f>
        <v>(4.171)</v>
      </c>
      <c r="AF45" s="10" t="str">
        <f>"(2.477)"</f>
        <v>(2.477)</v>
      </c>
      <c r="AG45" s="10" t="str">
        <f>"(3.284)"</f>
        <v>(3.284)</v>
      </c>
      <c r="AH45" s="10" t="str">
        <f>"(2.91)"</f>
        <v>(2.91)</v>
      </c>
      <c r="AI45" s="10" t="str">
        <f>""</f>
        <v/>
      </c>
      <c r="AJ45" s="10" t="str">
        <f>""</f>
        <v/>
      </c>
      <c r="AK45" s="10" t="str">
        <f>""</f>
        <v/>
      </c>
      <c r="AL45" s="10" t="str">
        <f>"(2.439)"</f>
        <v>(2.439)</v>
      </c>
      <c r="AM45" s="10" t="str">
        <f>"(3.316)"</f>
        <v>(3.316)</v>
      </c>
      <c r="AN45" s="10" t="str">
        <f>"(3.015)"</f>
        <v>(3.015)</v>
      </c>
    </row>
    <row r="46" spans="1:40">
      <c r="A46" s="10" t="str">
        <f>"psi_c"</f>
        <v>psi_c</v>
      </c>
      <c r="B46" s="10" t="str">
        <f>""</f>
        <v/>
      </c>
      <c r="C46" s="10" t="str">
        <f>""</f>
        <v/>
      </c>
      <c r="D46" s="10" t="str">
        <f>""</f>
        <v/>
      </c>
      <c r="E46" s="10" t="str">
        <f>""</f>
        <v/>
      </c>
      <c r="F46" s="10" t="str">
        <f>""</f>
        <v/>
      </c>
      <c r="G46" s="10" t="str">
        <f>""</f>
        <v/>
      </c>
      <c r="H46" s="10" t="str">
        <f>"1.568***"</f>
        <v>1.568***</v>
      </c>
      <c r="I46" s="10" t="str">
        <f>".7281***"</f>
        <v>.7281***</v>
      </c>
      <c r="J46" s="10" t="str">
        <f>".7555*"</f>
        <v>.7555*</v>
      </c>
      <c r="K46" s="10" t="str">
        <f>""</f>
        <v/>
      </c>
      <c r="L46" s="10" t="str">
        <f>""</f>
        <v/>
      </c>
      <c r="M46" s="10" t="str">
        <f>""</f>
        <v/>
      </c>
      <c r="N46" s="10" t="str">
        <f>".3434"</f>
        <v>.3434</v>
      </c>
      <c r="O46" s="10" t="str">
        <f>".4376*"</f>
        <v>.4376*</v>
      </c>
      <c r="P46" s="10" t="str">
        <f>".8029***"</f>
        <v>.8029***</v>
      </c>
      <c r="Q46" s="10" t="str">
        <f>""</f>
        <v/>
      </c>
      <c r="R46" s="10" t="str">
        <f>""</f>
        <v/>
      </c>
      <c r="S46" s="10" t="str">
        <f>""</f>
        <v/>
      </c>
      <c r="T46" s="10" t="str">
        <f>"-.8787"</f>
        <v>-.8787</v>
      </c>
      <c r="U46" s="10" t="str">
        <f>"-.9902"</f>
        <v>-.9902</v>
      </c>
      <c r="V46" s="10" t="str">
        <f>"-.8882"</f>
        <v>-.8882</v>
      </c>
      <c r="W46" s="10" t="str">
        <f>".969"</f>
        <v>.969</v>
      </c>
      <c r="X46" s="10" t="str">
        <f>".7763"</f>
        <v>.7763</v>
      </c>
      <c r="Y46" s="10" t="str">
        <f>".783"</f>
        <v>.783</v>
      </c>
      <c r="Z46" s="10" t="str">
        <f>""</f>
        <v/>
      </c>
      <c r="AA46" s="10" t="str">
        <f>""</f>
        <v/>
      </c>
      <c r="AB46" s="10" t="str">
        <f>""</f>
        <v/>
      </c>
      <c r="AC46" s="10" t="str">
        <f>""</f>
        <v/>
      </c>
      <c r="AD46" s="10" t="str">
        <f>""</f>
        <v/>
      </c>
      <c r="AE46" s="10" t="str">
        <f>""</f>
        <v/>
      </c>
      <c r="AF46" s="10" t="str">
        <f>""</f>
        <v/>
      </c>
      <c r="AG46" s="10" t="str">
        <f>""</f>
        <v/>
      </c>
      <c r="AH46" s="10" t="str">
        <f>""</f>
        <v/>
      </c>
      <c r="AI46" s="10" t="str">
        <f>""</f>
        <v/>
      </c>
      <c r="AJ46" s="10" t="str">
        <f>""</f>
        <v/>
      </c>
      <c r="AK46" s="10" t="str">
        <f>""</f>
        <v/>
      </c>
      <c r="AL46" s="10" t="str">
        <f>""</f>
        <v/>
      </c>
      <c r="AM46" s="10" t="str">
        <f>""</f>
        <v/>
      </c>
      <c r="AN46" s="10" t="str">
        <f>""</f>
        <v/>
      </c>
    </row>
    <row r="47" spans="1:40">
      <c r="A47" s="10" t="str">
        <f>""</f>
        <v/>
      </c>
      <c r="B47" s="10" t="str">
        <f>""</f>
        <v/>
      </c>
      <c r="C47" s="10" t="str">
        <f>""</f>
        <v/>
      </c>
      <c r="D47" s="10" t="str">
        <f>""</f>
        <v/>
      </c>
      <c r="E47" s="10" t="str">
        <f>""</f>
        <v/>
      </c>
      <c r="F47" s="10" t="str">
        <f>""</f>
        <v/>
      </c>
      <c r="G47" s="10" t="str">
        <f>""</f>
        <v/>
      </c>
      <c r="H47" s="10" t="str">
        <f>"(.3725)"</f>
        <v>(.3725)</v>
      </c>
      <c r="I47" s="10" t="str">
        <f>"(.2412)"</f>
        <v>(.2412)</v>
      </c>
      <c r="J47" s="10" t="str">
        <f>"(.3991)"</f>
        <v>(.3991)</v>
      </c>
      <c r="K47" s="10" t="str">
        <f>""</f>
        <v/>
      </c>
      <c r="L47" s="10" t="str">
        <f>""</f>
        <v/>
      </c>
      <c r="M47" s="10" t="str">
        <f>""</f>
        <v/>
      </c>
      <c r="N47" s="10" t="str">
        <f>"(.262)"</f>
        <v>(.262)</v>
      </c>
      <c r="O47" s="10" t="str">
        <f>"(.2589)"</f>
        <v>(.2589)</v>
      </c>
      <c r="P47" s="10" t="str">
        <f>"(.2789)"</f>
        <v>(.2789)</v>
      </c>
      <c r="Q47" s="10" t="str">
        <f>""</f>
        <v/>
      </c>
      <c r="R47" s="10" t="str">
        <f>""</f>
        <v/>
      </c>
      <c r="S47" s="10" t="str">
        <f>""</f>
        <v/>
      </c>
      <c r="T47" s="10" t="str">
        <f>"(.988)"</f>
        <v>(.988)</v>
      </c>
      <c r="U47" s="10" t="str">
        <f>"(.7093)"</f>
        <v>(.7093)</v>
      </c>
      <c r="V47" s="10" t="str">
        <f>"(.7129)"</f>
        <v>(.7129)</v>
      </c>
      <c r="W47" s="10" t="str">
        <f>"(.8506)"</f>
        <v>(.8506)</v>
      </c>
      <c r="X47" s="10" t="str">
        <f>"(.9304)"</f>
        <v>(.9304)</v>
      </c>
      <c r="Y47" s="10" t="str">
        <f>"(.6374)"</f>
        <v>(.6374)</v>
      </c>
      <c r="Z47" s="10" t="str">
        <f>""</f>
        <v/>
      </c>
      <c r="AA47" s="10" t="str">
        <f>""</f>
        <v/>
      </c>
      <c r="AB47" s="10" t="str">
        <f>""</f>
        <v/>
      </c>
      <c r="AC47" s="10" t="str">
        <f>""</f>
        <v/>
      </c>
      <c r="AD47" s="10" t="str">
        <f>""</f>
        <v/>
      </c>
      <c r="AE47" s="10" t="str">
        <f>""</f>
        <v/>
      </c>
      <c r="AF47" s="10" t="str">
        <f>""</f>
        <v/>
      </c>
      <c r="AG47" s="10" t="str">
        <f>""</f>
        <v/>
      </c>
      <c r="AH47" s="10" t="str">
        <f>""</f>
        <v/>
      </c>
      <c r="AI47" s="10" t="str">
        <f>""</f>
        <v/>
      </c>
      <c r="AJ47" s="10" t="str">
        <f>""</f>
        <v/>
      </c>
      <c r="AK47" s="10" t="str">
        <f>""</f>
        <v/>
      </c>
      <c r="AL47" s="10" t="str">
        <f>""</f>
        <v/>
      </c>
      <c r="AM47" s="10" t="str">
        <f>""</f>
        <v/>
      </c>
      <c r="AN47" s="10" t="str">
        <f>""</f>
        <v/>
      </c>
    </row>
    <row r="48" spans="1:40">
      <c r="A48" s="10" t="str">
        <f>"Epsi_c"</f>
        <v>Epsi_c</v>
      </c>
      <c r="B48" s="10" t="str">
        <f>""</f>
        <v/>
      </c>
      <c r="C48" s="10" t="str">
        <f>""</f>
        <v/>
      </c>
      <c r="D48" s="10" t="str">
        <f>""</f>
        <v/>
      </c>
      <c r="E48" s="10" t="str">
        <f>""</f>
        <v/>
      </c>
      <c r="F48" s="10" t="str">
        <f>""</f>
        <v/>
      </c>
      <c r="G48" s="10" t="str">
        <f>""</f>
        <v/>
      </c>
      <c r="H48" s="10" t="str">
        <f>"1.945"</f>
        <v>1.945</v>
      </c>
      <c r="I48" s="10" t="str">
        <f>"3.47***"</f>
        <v>3.47***</v>
      </c>
      <c r="J48" s="10" t="str">
        <f>"3.749***"</f>
        <v>3.749***</v>
      </c>
      <c r="K48" s="10" t="str">
        <f>""</f>
        <v/>
      </c>
      <c r="L48" s="10" t="str">
        <f>""</f>
        <v/>
      </c>
      <c r="M48" s="10" t="str">
        <f>""</f>
        <v/>
      </c>
      <c r="N48" s="10" t="str">
        <f>""</f>
        <v/>
      </c>
      <c r="O48" s="10" t="str">
        <f>""</f>
        <v/>
      </c>
      <c r="P48" s="10" t="str">
        <f>""</f>
        <v/>
      </c>
      <c r="Q48" s="10" t="str">
        <f>""</f>
        <v/>
      </c>
      <c r="R48" s="10" t="str">
        <f>""</f>
        <v/>
      </c>
      <c r="S48" s="10" t="str">
        <f>""</f>
        <v/>
      </c>
      <c r="T48" s="10" t="str">
        <f>""</f>
        <v/>
      </c>
      <c r="U48" s="10" t="str">
        <f>""</f>
        <v/>
      </c>
      <c r="V48" s="10" t="str">
        <f>""</f>
        <v/>
      </c>
      <c r="W48" s="10" t="str">
        <f>""</f>
        <v/>
      </c>
      <c r="X48" s="10" t="str">
        <f>""</f>
        <v/>
      </c>
      <c r="Y48" s="10" t="str">
        <f>""</f>
        <v/>
      </c>
      <c r="Z48" s="10" t="str">
        <f>"-.6307"</f>
        <v>-.6307</v>
      </c>
      <c r="AA48" s="10" t="str">
        <f>".352"</f>
        <v>.352</v>
      </c>
      <c r="AB48" s="10" t="str">
        <f>".5179"</f>
        <v>.5179</v>
      </c>
      <c r="AC48" s="10" t="str">
        <f>""</f>
        <v/>
      </c>
      <c r="AD48" s="10" t="str">
        <f>""</f>
        <v/>
      </c>
      <c r="AE48" s="10" t="str">
        <f>""</f>
        <v/>
      </c>
      <c r="AF48" s="10" t="str">
        <f>"-9.904***"</f>
        <v>-9.904***</v>
      </c>
      <c r="AG48" s="10" t="str">
        <f>"-6.657**"</f>
        <v>-6.657**</v>
      </c>
      <c r="AH48" s="10" t="str">
        <f>"-6.123*"</f>
        <v>-6.123*</v>
      </c>
      <c r="AI48" s="10" t="str">
        <f>""</f>
        <v/>
      </c>
      <c r="AJ48" s="10" t="str">
        <f>""</f>
        <v/>
      </c>
      <c r="AK48" s="10" t="str">
        <f>""</f>
        <v/>
      </c>
      <c r="AL48" s="10" t="str">
        <f>"-10.32***"</f>
        <v>-10.32***</v>
      </c>
      <c r="AM48" s="10" t="str">
        <f>"-6.411"</f>
        <v>-6.411</v>
      </c>
      <c r="AN48" s="10" t="str">
        <f>"-5.482"</f>
        <v>-5.482</v>
      </c>
    </row>
    <row r="49" spans="1:40">
      <c r="A49" s="10" t="str">
        <f>""</f>
        <v/>
      </c>
      <c r="B49" s="10" t="str">
        <f>""</f>
        <v/>
      </c>
      <c r="C49" s="10" t="str">
        <f>""</f>
        <v/>
      </c>
      <c r="D49" s="10" t="str">
        <f>""</f>
        <v/>
      </c>
      <c r="E49" s="10" t="str">
        <f>""</f>
        <v/>
      </c>
      <c r="F49" s="10" t="str">
        <f>""</f>
        <v/>
      </c>
      <c r="G49" s="10" t="str">
        <f>""</f>
        <v/>
      </c>
      <c r="H49" s="10" t="str">
        <f>"(1.796)"</f>
        <v>(1.796)</v>
      </c>
      <c r="I49" s="10" t="str">
        <f>"(1.274)"</f>
        <v>(1.274)</v>
      </c>
      <c r="J49" s="10" t="str">
        <f>"(1.345)"</f>
        <v>(1.345)</v>
      </c>
      <c r="K49" s="10" t="str">
        <f>""</f>
        <v/>
      </c>
      <c r="L49" s="10" t="str">
        <f>""</f>
        <v/>
      </c>
      <c r="M49" s="10" t="str">
        <f>""</f>
        <v/>
      </c>
      <c r="N49" s="10" t="str">
        <f>""</f>
        <v/>
      </c>
      <c r="O49" s="10" t="str">
        <f>""</f>
        <v/>
      </c>
      <c r="P49" s="10" t="str">
        <f>""</f>
        <v/>
      </c>
      <c r="Q49" s="10" t="str">
        <f>""</f>
        <v/>
      </c>
      <c r="R49" s="10" t="str">
        <f>""</f>
        <v/>
      </c>
      <c r="S49" s="10" t="str">
        <f>""</f>
        <v/>
      </c>
      <c r="T49" s="10" t="str">
        <f>""</f>
        <v/>
      </c>
      <c r="U49" s="10" t="str">
        <f>""</f>
        <v/>
      </c>
      <c r="V49" s="10" t="str">
        <f>""</f>
        <v/>
      </c>
      <c r="W49" s="10" t="str">
        <f>""</f>
        <v/>
      </c>
      <c r="X49" s="10" t="str">
        <f>""</f>
        <v/>
      </c>
      <c r="Y49" s="10" t="str">
        <f>""</f>
        <v/>
      </c>
      <c r="Z49" s="10" t="str">
        <f>"(1.257)"</f>
        <v>(1.257)</v>
      </c>
      <c r="AA49" s="10" t="str">
        <f>"(1.892)"</f>
        <v>(1.892)</v>
      </c>
      <c r="AB49" s="10" t="str">
        <f>"(2.507)"</f>
        <v>(2.507)</v>
      </c>
      <c r="AC49" s="10" t="str">
        <f>""</f>
        <v/>
      </c>
      <c r="AD49" s="10" t="str">
        <f>""</f>
        <v/>
      </c>
      <c r="AE49" s="10" t="str">
        <f>""</f>
        <v/>
      </c>
      <c r="AF49" s="10" t="str">
        <f>"(2.987)"</f>
        <v>(2.987)</v>
      </c>
      <c r="AG49" s="10" t="str">
        <f>"(3.37)"</f>
        <v>(3.37)</v>
      </c>
      <c r="AH49" s="10" t="str">
        <f>"(3.435)"</f>
        <v>(3.435)</v>
      </c>
      <c r="AI49" s="10" t="str">
        <f>""</f>
        <v/>
      </c>
      <c r="AJ49" s="10" t="str">
        <f>""</f>
        <v/>
      </c>
      <c r="AK49" s="10" t="str">
        <f>""</f>
        <v/>
      </c>
      <c r="AL49" s="10" t="str">
        <f>"(3.947)"</f>
        <v>(3.947)</v>
      </c>
      <c r="AM49" s="10" t="str">
        <f>"(4.24)"</f>
        <v>(4.24)</v>
      </c>
      <c r="AN49" s="10" t="str">
        <f>"(3.701)"</f>
        <v>(3.701)</v>
      </c>
    </row>
    <row r="50" spans="1:40">
      <c r="A50" s="10" t="str">
        <f>"s_psi_q1q5"</f>
        <v>s_psi_q1q5</v>
      </c>
      <c r="B50" s="10" t="str">
        <f>""</f>
        <v/>
      </c>
      <c r="C50" s="10" t="str">
        <f>""</f>
        <v/>
      </c>
      <c r="D50" s="10" t="str">
        <f>""</f>
        <v/>
      </c>
      <c r="E50" s="10" t="str">
        <f>""</f>
        <v/>
      </c>
      <c r="F50" s="10" t="str">
        <f>""</f>
        <v/>
      </c>
      <c r="G50" s="10" t="str">
        <f>""</f>
        <v/>
      </c>
      <c r="H50" s="10" t="str">
        <f>""</f>
        <v/>
      </c>
      <c r="I50" s="10" t="str">
        <f>""</f>
        <v/>
      </c>
      <c r="J50" s="10" t="str">
        <f>""</f>
        <v/>
      </c>
      <c r="K50" s="10" t="str">
        <f>".6233***"</f>
        <v>.6233***</v>
      </c>
      <c r="L50" s="10" t="str">
        <f>".3728***"</f>
        <v>.3728***</v>
      </c>
      <c r="M50" s="10" t="str">
        <f>".4292***"</f>
        <v>.4292***</v>
      </c>
      <c r="N50" s="10" t="str">
        <f>""</f>
        <v/>
      </c>
      <c r="O50" s="10" t="str">
        <f>""</f>
        <v/>
      </c>
      <c r="P50" s="10" t="str">
        <f>""</f>
        <v/>
      </c>
      <c r="Q50" s="10" t="str">
        <f>""</f>
        <v/>
      </c>
      <c r="R50" s="10" t="str">
        <f>""</f>
        <v/>
      </c>
      <c r="S50" s="10" t="str">
        <f>""</f>
        <v/>
      </c>
      <c r="T50" s="10" t="str">
        <f>"1.328***"</f>
        <v>1.328***</v>
      </c>
      <c r="U50" s="10" t="str">
        <f>"1.04***"</f>
        <v>1.04***</v>
      </c>
      <c r="V50" s="10" t="str">
        <f>"1.184***"</f>
        <v>1.184***</v>
      </c>
      <c r="W50" s="10" t="str">
        <f>"-.3819"</f>
        <v>-.3819</v>
      </c>
      <c r="X50" s="10" t="str">
        <f>"-.1872"</f>
        <v>-.1872</v>
      </c>
      <c r="Y50" s="10" t="str">
        <f>".0267"</f>
        <v>.0267</v>
      </c>
      <c r="Z50" s="10" t="str">
        <f>""</f>
        <v/>
      </c>
      <c r="AA50" s="10" t="str">
        <f>""</f>
        <v/>
      </c>
      <c r="AB50" s="10" t="str">
        <f>""</f>
        <v/>
      </c>
      <c r="AC50" s="10" t="str">
        <f>""</f>
        <v/>
      </c>
      <c r="AD50" s="10" t="str">
        <f>""</f>
        <v/>
      </c>
      <c r="AE50" s="10" t="str">
        <f>""</f>
        <v/>
      </c>
      <c r="AF50" s="10" t="str">
        <f>""</f>
        <v/>
      </c>
      <c r="AG50" s="10" t="str">
        <f>""</f>
        <v/>
      </c>
      <c r="AH50" s="10" t="str">
        <f>""</f>
        <v/>
      </c>
      <c r="AI50" s="10" t="str">
        <f>""</f>
        <v/>
      </c>
      <c r="AJ50" s="10" t="str">
        <f>""</f>
        <v/>
      </c>
      <c r="AK50" s="10" t="str">
        <f>""</f>
        <v/>
      </c>
      <c r="AL50" s="10" t="str">
        <f>""</f>
        <v/>
      </c>
      <c r="AM50" s="10" t="str">
        <f>""</f>
        <v/>
      </c>
      <c r="AN50" s="10" t="str">
        <f>""</f>
        <v/>
      </c>
    </row>
    <row r="51" spans="1:40">
      <c r="A51" s="10" t="str">
        <f>""</f>
        <v/>
      </c>
      <c r="B51" s="10" t="str">
        <f>""</f>
        <v/>
      </c>
      <c r="C51" s="10" t="str">
        <f>""</f>
        <v/>
      </c>
      <c r="D51" s="10" t="str">
        <f>""</f>
        <v/>
      </c>
      <c r="E51" s="10" t="str">
        <f>""</f>
        <v/>
      </c>
      <c r="F51" s="10" t="str">
        <f>""</f>
        <v/>
      </c>
      <c r="G51" s="10" t="str">
        <f>""</f>
        <v/>
      </c>
      <c r="H51" s="10" t="str">
        <f>""</f>
        <v/>
      </c>
      <c r="I51" s="10" t="str">
        <f>""</f>
        <v/>
      </c>
      <c r="J51" s="10" t="str">
        <f>""</f>
        <v/>
      </c>
      <c r="K51" s="10" t="str">
        <f>"(.1508)"</f>
        <v>(.1508)</v>
      </c>
      <c r="L51" s="10" t="str">
        <f>"(.1035)"</f>
        <v>(.1035)</v>
      </c>
      <c r="M51" s="10" t="str">
        <f>"(.1594)"</f>
        <v>(.1594)</v>
      </c>
      <c r="N51" s="10" t="str">
        <f>""</f>
        <v/>
      </c>
      <c r="O51" s="10" t="str">
        <f>""</f>
        <v/>
      </c>
      <c r="P51" s="10" t="str">
        <f>""</f>
        <v/>
      </c>
      <c r="Q51" s="10" t="str">
        <f>""</f>
        <v/>
      </c>
      <c r="R51" s="10" t="str">
        <f>""</f>
        <v/>
      </c>
      <c r="S51" s="10" t="str">
        <f>""</f>
        <v/>
      </c>
      <c r="T51" s="10" t="str">
        <f>"(.451)"</f>
        <v>(.451)</v>
      </c>
      <c r="U51" s="10" t="str">
        <f>"(.3353)"</f>
        <v>(.3353)</v>
      </c>
      <c r="V51" s="10" t="str">
        <f>"(.3592)"</f>
        <v>(.3592)</v>
      </c>
      <c r="W51" s="10" t="str">
        <f>"(.4016)"</f>
        <v>(.4016)</v>
      </c>
      <c r="X51" s="10" t="str">
        <f>"(.4428)"</f>
        <v>(.4428)</v>
      </c>
      <c r="Y51" s="10" t="str">
        <f>"(.3617)"</f>
        <v>(.3617)</v>
      </c>
      <c r="Z51" s="10" t="str">
        <f>""</f>
        <v/>
      </c>
      <c r="AA51" s="10" t="str">
        <f>""</f>
        <v/>
      </c>
      <c r="AB51" s="10" t="str">
        <f>""</f>
        <v/>
      </c>
      <c r="AC51" s="10" t="str">
        <f>""</f>
        <v/>
      </c>
      <c r="AD51" s="10" t="str">
        <f>""</f>
        <v/>
      </c>
      <c r="AE51" s="10" t="str">
        <f>""</f>
        <v/>
      </c>
      <c r="AF51" s="10" t="str">
        <f>""</f>
        <v/>
      </c>
      <c r="AG51" s="10" t="str">
        <f>""</f>
        <v/>
      </c>
      <c r="AH51" s="10" t="str">
        <f>""</f>
        <v/>
      </c>
      <c r="AI51" s="10" t="str">
        <f>""</f>
        <v/>
      </c>
      <c r="AJ51" s="10" t="str">
        <f>""</f>
        <v/>
      </c>
      <c r="AK51" s="10" t="str">
        <f>""</f>
        <v/>
      </c>
      <c r="AL51" s="10" t="str">
        <f>""</f>
        <v/>
      </c>
      <c r="AM51" s="10" t="str">
        <f>""</f>
        <v/>
      </c>
      <c r="AN51" s="10" t="str">
        <f>""</f>
        <v/>
      </c>
    </row>
    <row r="52" spans="1:40">
      <c r="A52" s="10" t="str">
        <f>"Es_psi_q1q5"</f>
        <v>Es_psi_q1q5</v>
      </c>
      <c r="B52" s="10" t="str">
        <f>""</f>
        <v/>
      </c>
      <c r="C52" s="10" t="str">
        <f>""</f>
        <v/>
      </c>
      <c r="D52" s="10" t="str">
        <f>""</f>
        <v/>
      </c>
      <c r="E52" s="10" t="str">
        <f>""</f>
        <v/>
      </c>
      <c r="F52" s="10" t="str">
        <f>""</f>
        <v/>
      </c>
      <c r="G52" s="10" t="str">
        <f>""</f>
        <v/>
      </c>
      <c r="H52" s="10" t="str">
        <f>""</f>
        <v/>
      </c>
      <c r="I52" s="10" t="str">
        <f>""</f>
        <v/>
      </c>
      <c r="J52" s="10" t="str">
        <f>""</f>
        <v/>
      </c>
      <c r="K52" s="10" t="str">
        <f>"2.865***"</f>
        <v>2.865***</v>
      </c>
      <c r="L52" s="10" t="str">
        <f>"2.493***"</f>
        <v>2.493***</v>
      </c>
      <c r="M52" s="10" t="str">
        <f>"2.405***"</f>
        <v>2.405***</v>
      </c>
      <c r="N52" s="10" t="str">
        <f>""</f>
        <v/>
      </c>
      <c r="O52" s="10" t="str">
        <f>""</f>
        <v/>
      </c>
      <c r="P52" s="10" t="str">
        <f>""</f>
        <v/>
      </c>
      <c r="Q52" s="10" t="str">
        <f>""</f>
        <v/>
      </c>
      <c r="R52" s="10" t="str">
        <f>""</f>
        <v/>
      </c>
      <c r="S52" s="10" t="str">
        <f>""</f>
        <v/>
      </c>
      <c r="T52" s="10" t="str">
        <f>""</f>
        <v/>
      </c>
      <c r="U52" s="10" t="str">
        <f>""</f>
        <v/>
      </c>
      <c r="V52" s="10" t="str">
        <f>""</f>
        <v/>
      </c>
      <c r="W52" s="10" t="str">
        <f>""</f>
        <v/>
      </c>
      <c r="X52" s="10" t="str">
        <f>""</f>
        <v/>
      </c>
      <c r="Y52" s="10" t="str">
        <f>""</f>
        <v/>
      </c>
      <c r="Z52" s="10" t="str">
        <f>""</f>
        <v/>
      </c>
      <c r="AA52" s="10" t="str">
        <f>""</f>
        <v/>
      </c>
      <c r="AB52" s="10" t="str">
        <f>""</f>
        <v/>
      </c>
      <c r="AC52" s="10" t="str">
        <f>""</f>
        <v/>
      </c>
      <c r="AD52" s="10" t="str">
        <f>""</f>
        <v/>
      </c>
      <c r="AE52" s="10" t="str">
        <f>""</f>
        <v/>
      </c>
      <c r="AF52" s="10" t="str">
        <f>"6.413***"</f>
        <v>6.413***</v>
      </c>
      <c r="AG52" s="10" t="str">
        <f>"4.811**"</f>
        <v>4.811**</v>
      </c>
      <c r="AH52" s="10" t="str">
        <f>"4.67*"</f>
        <v>4.67*</v>
      </c>
      <c r="AI52" s="10" t="str">
        <f>""</f>
        <v/>
      </c>
      <c r="AJ52" s="10" t="str">
        <f>""</f>
        <v/>
      </c>
      <c r="AK52" s="10" t="str">
        <f>""</f>
        <v/>
      </c>
      <c r="AL52" s="10" t="str">
        <f>"6.788***"</f>
        <v>6.788***</v>
      </c>
      <c r="AM52" s="10" t="str">
        <f>"4.728*"</f>
        <v>4.728*</v>
      </c>
      <c r="AN52" s="10" t="str">
        <f>"4.435"</f>
        <v>4.435</v>
      </c>
    </row>
    <row r="53" spans="1:40">
      <c r="A53" s="10" t="str">
        <f>""</f>
        <v/>
      </c>
      <c r="B53" s="10" t="str">
        <f>""</f>
        <v/>
      </c>
      <c r="C53" s="10" t="str">
        <f>""</f>
        <v/>
      </c>
      <c r="D53" s="10" t="str">
        <f>""</f>
        <v/>
      </c>
      <c r="E53" s="10" t="str">
        <f>""</f>
        <v/>
      </c>
      <c r="F53" s="10" t="str">
        <f>""</f>
        <v/>
      </c>
      <c r="G53" s="10" t="str">
        <f>""</f>
        <v/>
      </c>
      <c r="H53" s="10" t="str">
        <f>""</f>
        <v/>
      </c>
      <c r="I53" s="10" t="str">
        <f>""</f>
        <v/>
      </c>
      <c r="J53" s="10" t="str">
        <f>""</f>
        <v/>
      </c>
      <c r="K53" s="10" t="str">
        <f>"(.7099)"</f>
        <v>(.7099)</v>
      </c>
      <c r="L53" s="10" t="str">
        <f>"(.5641)"</f>
        <v>(.5641)</v>
      </c>
      <c r="M53" s="10" t="str">
        <f>"(.6118)"</f>
        <v>(.6118)</v>
      </c>
      <c r="N53" s="10" t="str">
        <f>""</f>
        <v/>
      </c>
      <c r="O53" s="10" t="str">
        <f>""</f>
        <v/>
      </c>
      <c r="P53" s="10" t="str">
        <f>""</f>
        <v/>
      </c>
      <c r="Q53" s="10" t="str">
        <f>""</f>
        <v/>
      </c>
      <c r="R53" s="10" t="str">
        <f>""</f>
        <v/>
      </c>
      <c r="S53" s="10" t="str">
        <f>""</f>
        <v/>
      </c>
      <c r="T53" s="10" t="str">
        <f>""</f>
        <v/>
      </c>
      <c r="U53" s="10" t="str">
        <f>""</f>
        <v/>
      </c>
      <c r="V53" s="10" t="str">
        <f>""</f>
        <v/>
      </c>
      <c r="W53" s="10" t="str">
        <f>""</f>
        <v/>
      </c>
      <c r="X53" s="10" t="str">
        <f>""</f>
        <v/>
      </c>
      <c r="Y53" s="10" t="str">
        <f>""</f>
        <v/>
      </c>
      <c r="Z53" s="10" t="str">
        <f>""</f>
        <v/>
      </c>
      <c r="AA53" s="10" t="str">
        <f>""</f>
        <v/>
      </c>
      <c r="AB53" s="10" t="str">
        <f>""</f>
        <v/>
      </c>
      <c r="AC53" s="10" t="str">
        <f>""</f>
        <v/>
      </c>
      <c r="AD53" s="10" t="str">
        <f>""</f>
        <v/>
      </c>
      <c r="AE53" s="10" t="str">
        <f>""</f>
        <v/>
      </c>
      <c r="AF53" s="10" t="str">
        <f>"(1.964)"</f>
        <v>(1.964)</v>
      </c>
      <c r="AG53" s="10" t="str">
        <f>"(2.24)"</f>
        <v>(2.24)</v>
      </c>
      <c r="AH53" s="10" t="str">
        <f>"(2.611)"</f>
        <v>(2.611)</v>
      </c>
      <c r="AI53" s="10" t="str">
        <f>""</f>
        <v/>
      </c>
      <c r="AJ53" s="10" t="str">
        <f>""</f>
        <v/>
      </c>
      <c r="AK53" s="10" t="str">
        <f>""</f>
        <v/>
      </c>
      <c r="AL53" s="10" t="str">
        <f>"(2.568)"</f>
        <v>(2.568)</v>
      </c>
      <c r="AM53" s="10" t="str">
        <f>"(2.857)"</f>
        <v>(2.857)</v>
      </c>
      <c r="AN53" s="10" t="str">
        <f>"(2.757)"</f>
        <v>(2.757)</v>
      </c>
    </row>
    <row r="54" spans="1:40">
      <c r="A54" s="10" t="str">
        <f>"lnmw"</f>
        <v>lnmw</v>
      </c>
      <c r="B54" s="10" t="str">
        <f>""</f>
        <v/>
      </c>
      <c r="C54" s="10" t="str">
        <f>""</f>
        <v/>
      </c>
      <c r="D54" s="10" t="str">
        <f>""</f>
        <v/>
      </c>
      <c r="E54" s="10" t="str">
        <f>""</f>
        <v/>
      </c>
      <c r="F54" s="10" t="str">
        <f>""</f>
        <v/>
      </c>
      <c r="G54" s="10" t="str">
        <f>""</f>
        <v/>
      </c>
      <c r="H54" s="10" t="str">
        <f>""</f>
        <v/>
      </c>
      <c r="I54" s="10" t="str">
        <f>""</f>
        <v/>
      </c>
      <c r="J54" s="10" t="str">
        <f>""</f>
        <v/>
      </c>
      <c r="K54" s="10" t="str">
        <f>""</f>
        <v/>
      </c>
      <c r="L54" s="10" t="str">
        <f>""</f>
        <v/>
      </c>
      <c r="M54" s="10" t="str">
        <f>""</f>
        <v/>
      </c>
      <c r="N54" s="10" t="str">
        <f>""</f>
        <v/>
      </c>
      <c r="O54" s="10" t="str">
        <f>""</f>
        <v/>
      </c>
      <c r="P54" s="10" t="str">
        <f>""</f>
        <v/>
      </c>
      <c r="Q54" s="10" t="str">
        <f>""</f>
        <v/>
      </c>
      <c r="R54" s="10" t="str">
        <f>""</f>
        <v/>
      </c>
      <c r="S54" s="10" t="str">
        <f>""</f>
        <v/>
      </c>
      <c r="T54" s="10" t="str">
        <f>""</f>
        <v/>
      </c>
      <c r="U54" s="10" t="str">
        <f>""</f>
        <v/>
      </c>
      <c r="V54" s="10" t="str">
        <f>""</f>
        <v/>
      </c>
      <c r="W54" s="10" t="str">
        <f>""</f>
        <v/>
      </c>
      <c r="X54" s="10" t="str">
        <f>""</f>
        <v/>
      </c>
      <c r="Y54" s="10" t="str">
        <f>""</f>
        <v/>
      </c>
      <c r="Z54" s="10" t="str">
        <f>""</f>
        <v/>
      </c>
      <c r="AA54" s="10" t="str">
        <f>""</f>
        <v/>
      </c>
      <c r="AB54" s="10" t="str">
        <f>""</f>
        <v/>
      </c>
      <c r="AC54" s="10" t="str">
        <f>""</f>
        <v/>
      </c>
      <c r="AD54" s="10" t="str">
        <f>""</f>
        <v/>
      </c>
      <c r="AE54" s="10" t="str">
        <f>""</f>
        <v/>
      </c>
      <c r="AF54" s="10" t="str">
        <f>""</f>
        <v/>
      </c>
      <c r="AG54" s="10" t="str">
        <f>""</f>
        <v/>
      </c>
      <c r="AH54" s="10" t="str">
        <f>""</f>
        <v/>
      </c>
      <c r="AI54" s="10" t="str">
        <f>".8345***"</f>
        <v>.8345***</v>
      </c>
      <c r="AJ54" s="10" t="str">
        <f>".4586***"</f>
        <v>.4586***</v>
      </c>
      <c r="AK54" s="10" t="str">
        <f>".6111***"</f>
        <v>.6111***</v>
      </c>
      <c r="AL54" s="10" t="str">
        <f>"-.05337"</f>
        <v>-.05337</v>
      </c>
      <c r="AM54" s="10" t="str">
        <f>".00732"</f>
        <v>.00732</v>
      </c>
      <c r="AN54" s="10" t="str">
        <f>".007664"</f>
        <v>.007664</v>
      </c>
    </row>
    <row r="55" spans="1:40">
      <c r="A55" s="10" t="str">
        <f>""</f>
        <v/>
      </c>
      <c r="B55" s="10" t="str">
        <f>""</f>
        <v/>
      </c>
      <c r="C55" s="10" t="str">
        <f>""</f>
        <v/>
      </c>
      <c r="D55" s="10" t="str">
        <f>""</f>
        <v/>
      </c>
      <c r="E55" s="10" t="str">
        <f>""</f>
        <v/>
      </c>
      <c r="F55" s="10" t="str">
        <f>""</f>
        <v/>
      </c>
      <c r="G55" s="10" t="str">
        <f>""</f>
        <v/>
      </c>
      <c r="H55" s="10" t="str">
        <f>""</f>
        <v/>
      </c>
      <c r="I55" s="10" t="str">
        <f>""</f>
        <v/>
      </c>
      <c r="J55" s="10" t="str">
        <f>""</f>
        <v/>
      </c>
      <c r="K55" s="10" t="str">
        <f>""</f>
        <v/>
      </c>
      <c r="L55" s="10" t="str">
        <f>""</f>
        <v/>
      </c>
      <c r="M55" s="10" t="str">
        <f>""</f>
        <v/>
      </c>
      <c r="N55" s="10" t="str">
        <f>""</f>
        <v/>
      </c>
      <c r="O55" s="10" t="str">
        <f>""</f>
        <v/>
      </c>
      <c r="P55" s="10" t="str">
        <f>""</f>
        <v/>
      </c>
      <c r="Q55" s="10" t="str">
        <f>""</f>
        <v/>
      </c>
      <c r="R55" s="10" t="str">
        <f>""</f>
        <v/>
      </c>
      <c r="S55" s="10" t="str">
        <f>""</f>
        <v/>
      </c>
      <c r="T55" s="10" t="str">
        <f>""</f>
        <v/>
      </c>
      <c r="U55" s="10" t="str">
        <f>""</f>
        <v/>
      </c>
      <c r="V55" s="10" t="str">
        <f>""</f>
        <v/>
      </c>
      <c r="W55" s="10" t="str">
        <f>""</f>
        <v/>
      </c>
      <c r="X55" s="10" t="str">
        <f>""</f>
        <v/>
      </c>
      <c r="Y55" s="10" t="str">
        <f>""</f>
        <v/>
      </c>
      <c r="Z55" s="10" t="str">
        <f>""</f>
        <v/>
      </c>
      <c r="AA55" s="10" t="str">
        <f>""</f>
        <v/>
      </c>
      <c r="AB55" s="10" t="str">
        <f>""</f>
        <v/>
      </c>
      <c r="AC55" s="10" t="str">
        <f>""</f>
        <v/>
      </c>
      <c r="AD55" s="10" t="str">
        <f>""</f>
        <v/>
      </c>
      <c r="AE55" s="10" t="str">
        <f>""</f>
        <v/>
      </c>
      <c r="AF55" s="10" t="str">
        <f>""</f>
        <v/>
      </c>
      <c r="AG55" s="10" t="str">
        <f>""</f>
        <v/>
      </c>
      <c r="AH55" s="10" t="str">
        <f>""</f>
        <v/>
      </c>
      <c r="AI55" s="10" t="str">
        <f>"(.1298)"</f>
        <v>(.1298)</v>
      </c>
      <c r="AJ55" s="10" t="str">
        <f>"(.1415)"</f>
        <v>(.1415)</v>
      </c>
      <c r="AK55" s="10" t="str">
        <f>"(.1527)"</f>
        <v>(.1527)</v>
      </c>
      <c r="AL55" s="10" t="str">
        <f>"(.1442)"</f>
        <v>(.1442)</v>
      </c>
      <c r="AM55" s="10" t="str">
        <f>"(.1488)"</f>
        <v>(.1488)</v>
      </c>
      <c r="AN55" s="10" t="str">
        <f>"(.1986)"</f>
        <v>(.1986)</v>
      </c>
    </row>
    <row r="57" spans="1:40">
      <c r="A57" s="10" t="str">
        <f>"Division-CZ dummies"</f>
        <v>Division-CZ dummies</v>
      </c>
      <c r="B57" s="10" t="str">
        <f>"No"</f>
        <v>No</v>
      </c>
      <c r="C57" s="10" t="str">
        <f>"Yes"</f>
        <v>Yes</v>
      </c>
      <c r="D57" s="10" t="str">
        <f>"Yes"</f>
        <v>Yes</v>
      </c>
      <c r="E57" s="10" t="str">
        <f>"No"</f>
        <v>No</v>
      </c>
      <c r="F57" s="10" t="str">
        <f>"Yes"</f>
        <v>Yes</v>
      </c>
      <c r="G57" s="10" t="str">
        <f>"Yes"</f>
        <v>Yes</v>
      </c>
      <c r="H57" s="10" t="str">
        <f>"No"</f>
        <v>No</v>
      </c>
      <c r="I57" s="10" t="str">
        <f>"Yes"</f>
        <v>Yes</v>
      </c>
      <c r="J57" s="10" t="str">
        <f>"Yes"</f>
        <v>Yes</v>
      </c>
      <c r="K57" s="10" t="str">
        <f>"No"</f>
        <v>No</v>
      </c>
      <c r="L57" s="10" t="str">
        <f>"Yes"</f>
        <v>Yes</v>
      </c>
      <c r="M57" s="10" t="str">
        <f>"Yes"</f>
        <v>Yes</v>
      </c>
      <c r="N57" s="10" t="str">
        <f>"No"</f>
        <v>No</v>
      </c>
      <c r="O57" s="10" t="str">
        <f>"Yes"</f>
        <v>Yes</v>
      </c>
      <c r="P57" s="10" t="str">
        <f>"Yes"</f>
        <v>Yes</v>
      </c>
      <c r="Q57" s="10" t="str">
        <f>"No"</f>
        <v>No</v>
      </c>
      <c r="R57" s="10" t="str">
        <f>"Yes"</f>
        <v>Yes</v>
      </c>
      <c r="S57" s="10" t="str">
        <f>"Yes"</f>
        <v>Yes</v>
      </c>
      <c r="T57" s="10" t="str">
        <f>"No"</f>
        <v>No</v>
      </c>
      <c r="U57" s="10" t="str">
        <f>"Yes"</f>
        <v>Yes</v>
      </c>
      <c r="V57" s="10" t="str">
        <f>"Yes"</f>
        <v>Yes</v>
      </c>
      <c r="W57" s="10" t="str">
        <f>"No"</f>
        <v>No</v>
      </c>
      <c r="X57" s="10" t="str">
        <f>"Yes"</f>
        <v>Yes</v>
      </c>
      <c r="Y57" s="10" t="str">
        <f>"Yes"</f>
        <v>Yes</v>
      </c>
      <c r="Z57" s="10" t="str">
        <f>"No"</f>
        <v>No</v>
      </c>
      <c r="AA57" s="10" t="str">
        <f>"Yes"</f>
        <v>Yes</v>
      </c>
      <c r="AB57" s="10" t="str">
        <f>"Yes"</f>
        <v>Yes</v>
      </c>
      <c r="AC57" s="10" t="str">
        <f>"No"</f>
        <v>No</v>
      </c>
      <c r="AD57" s="10" t="str">
        <f>"Yes"</f>
        <v>Yes</v>
      </c>
      <c r="AE57" s="10" t="str">
        <f>"Yes"</f>
        <v>Yes</v>
      </c>
      <c r="AF57" s="10" t="str">
        <f>"No"</f>
        <v>No</v>
      </c>
      <c r="AG57" s="10" t="str">
        <f>"Yes"</f>
        <v>Yes</v>
      </c>
      <c r="AH57" s="10" t="str">
        <f>"Yes"</f>
        <v>Yes</v>
      </c>
      <c r="AI57" s="10" t="str">
        <f>"No"</f>
        <v>No</v>
      </c>
      <c r="AJ57" s="10" t="str">
        <f>"Yes"</f>
        <v>Yes</v>
      </c>
      <c r="AK57" s="10" t="str">
        <f>"Yes"</f>
        <v>Yes</v>
      </c>
      <c r="AL57" s="10" t="str">
        <f>"No"</f>
        <v>No</v>
      </c>
      <c r="AM57" s="10" t="str">
        <f>"Yes"</f>
        <v>Yes</v>
      </c>
      <c r="AN57" s="10" t="str">
        <f>"Yes"</f>
        <v>Yes</v>
      </c>
    </row>
    <row r="58" spans="1:40">
      <c r="A58" s="10" t="str">
        <f>"Region dummies"</f>
        <v>Region dummies</v>
      </c>
      <c r="B58" s="10" t="str">
        <f>"No"</f>
        <v>No</v>
      </c>
      <c r="C58" s="10" t="str">
        <f>"No"</f>
        <v>No</v>
      </c>
      <c r="D58" s="10" t="str">
        <f>"Yes"</f>
        <v>Yes</v>
      </c>
      <c r="E58" s="10" t="str">
        <f>"No"</f>
        <v>No</v>
      </c>
      <c r="F58" s="10" t="str">
        <f>"No"</f>
        <v>No</v>
      </c>
      <c r="G58" s="10" t="str">
        <f>"Yes"</f>
        <v>Yes</v>
      </c>
      <c r="H58" s="10" t="str">
        <f>"No"</f>
        <v>No</v>
      </c>
      <c r="I58" s="10" t="str">
        <f>"No"</f>
        <v>No</v>
      </c>
      <c r="J58" s="10" t="str">
        <f>"Yes"</f>
        <v>Yes</v>
      </c>
      <c r="K58" s="10" t="str">
        <f>"No"</f>
        <v>No</v>
      </c>
      <c r="L58" s="10" t="str">
        <f>"No"</f>
        <v>No</v>
      </c>
      <c r="M58" s="10" t="str">
        <f>"Yes"</f>
        <v>Yes</v>
      </c>
      <c r="N58" s="10" t="str">
        <f>"No"</f>
        <v>No</v>
      </c>
      <c r="O58" s="10" t="str">
        <f>"No"</f>
        <v>No</v>
      </c>
      <c r="P58" s="10" t="str">
        <f>"Yes"</f>
        <v>Yes</v>
      </c>
      <c r="Q58" s="10" t="str">
        <f>"No"</f>
        <v>No</v>
      </c>
      <c r="R58" s="10" t="str">
        <f>"No"</f>
        <v>No</v>
      </c>
      <c r="S58" s="10" t="str">
        <f>"Yes"</f>
        <v>Yes</v>
      </c>
      <c r="T58" s="10" t="str">
        <f>"No"</f>
        <v>No</v>
      </c>
      <c r="U58" s="10" t="str">
        <f>"No"</f>
        <v>No</v>
      </c>
      <c r="V58" s="10" t="str">
        <f>"Yes"</f>
        <v>Yes</v>
      </c>
      <c r="W58" s="10" t="str">
        <f>"No"</f>
        <v>No</v>
      </c>
      <c r="X58" s="10" t="str">
        <f>"No"</f>
        <v>No</v>
      </c>
      <c r="Y58" s="10" t="str">
        <f>"Yes"</f>
        <v>Yes</v>
      </c>
      <c r="Z58" s="10" t="str">
        <f>"No"</f>
        <v>No</v>
      </c>
      <c r="AA58" s="10" t="str">
        <f>"No"</f>
        <v>No</v>
      </c>
      <c r="AB58" s="10" t="str">
        <f>"Yes"</f>
        <v>Yes</v>
      </c>
      <c r="AC58" s="10" t="str">
        <f>"No"</f>
        <v>No</v>
      </c>
      <c r="AD58" s="10" t="str">
        <f>"No"</f>
        <v>No</v>
      </c>
      <c r="AE58" s="10" t="str">
        <f>"Yes"</f>
        <v>Yes</v>
      </c>
      <c r="AF58" s="10" t="str">
        <f>"No"</f>
        <v>No</v>
      </c>
      <c r="AG58" s="10" t="str">
        <f>"No"</f>
        <v>No</v>
      </c>
      <c r="AH58" s="10" t="str">
        <f>"Yes"</f>
        <v>Yes</v>
      </c>
      <c r="AI58" s="10" t="str">
        <f>"No"</f>
        <v>No</v>
      </c>
      <c r="AJ58" s="10" t="str">
        <f>"No"</f>
        <v>No</v>
      </c>
      <c r="AK58" s="10" t="str">
        <f>"Yes"</f>
        <v>Yes</v>
      </c>
      <c r="AL58" s="10" t="str">
        <f>"No"</f>
        <v>No</v>
      </c>
      <c r="AM58" s="10" t="str">
        <f>"No"</f>
        <v>No</v>
      </c>
      <c r="AN58" s="10" t="str">
        <f>"Yes"</f>
        <v>Yes</v>
      </c>
    </row>
    <row r="59" spans="1:40">
      <c r="A59" s="10" t="str">
        <f>"N"</f>
        <v>N</v>
      </c>
      <c r="B59" s="170" t="str">
        <f>"60"</f>
        <v>60</v>
      </c>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row>
    <row r="60" spans="1:40">
      <c r="A60" s="10" t="str">
        <f>"r2_a"</f>
        <v>r2_a</v>
      </c>
      <c r="B60" s="10" t="str">
        <f>".8024"</f>
        <v>.8024</v>
      </c>
      <c r="C60" s="10" t="str">
        <f>".8005"</f>
        <v>.8005</v>
      </c>
      <c r="D60" s="10" t="str">
        <f>".7995"</f>
        <v>.7995</v>
      </c>
      <c r="E60" s="10" t="str">
        <f>".6323"</f>
        <v>.6323</v>
      </c>
      <c r="F60" s="10" t="str">
        <f>".6957"</f>
        <v>.6957</v>
      </c>
      <c r="G60" s="10" t="str">
        <f>".6839"</f>
        <v>.6839</v>
      </c>
      <c r="H60" s="10" t="str">
        <f>".3184"</f>
        <v>.3184</v>
      </c>
      <c r="I60" s="10" t="str">
        <f>".6722"</f>
        <v>.6722</v>
      </c>
      <c r="J60" s="10" t="str">
        <f>".6844"</f>
        <v>.6844</v>
      </c>
      <c r="K60" s="10" t="str">
        <f>".5324"</f>
        <v>.5324</v>
      </c>
      <c r="L60" s="10" t="str">
        <f>".7623"</f>
        <v>.7623</v>
      </c>
      <c r="M60" s="10" t="str">
        <f>".7684"</f>
        <v>.7684</v>
      </c>
      <c r="N60" s="10" t="str">
        <f>".7609"</f>
        <v>.7609</v>
      </c>
      <c r="O60" s="10" t="str">
        <f>".7755"</f>
        <v>.7755</v>
      </c>
      <c r="P60" s="10" t="str">
        <f>".8077"</f>
        <v>.8077</v>
      </c>
      <c r="Q60" s="10" t="str">
        <f>".7556"</f>
        <v>.7556</v>
      </c>
      <c r="R60" s="10" t="str">
        <f>".7618"</f>
        <v>.7618</v>
      </c>
      <c r="S60" s="10" t="str">
        <f>".7667"</f>
        <v>.7667</v>
      </c>
      <c r="T60" s="10" t="str">
        <f>".3712"</f>
        <v>.3712</v>
      </c>
      <c r="U60" s="10" t="str">
        <f>".6566"</f>
        <v>.6566</v>
      </c>
      <c r="V60" s="10" t="str">
        <f>".6844"</f>
        <v>.6844</v>
      </c>
      <c r="W60" s="10" t="str">
        <f>".7582"</f>
        <v>.7582</v>
      </c>
      <c r="X60" s="10" t="str">
        <f>".7665"</f>
        <v>.7665</v>
      </c>
      <c r="Y60" s="10" t="str">
        <f>".7992"</f>
        <v>.7992</v>
      </c>
      <c r="Z60" s="10" t="str">
        <f>".7677"</f>
        <v>.7677</v>
      </c>
      <c r="AA60" s="10" t="str">
        <f>".7773"</f>
        <v>.7773</v>
      </c>
      <c r="AB60" s="10" t="str">
        <f>".7791"</f>
        <v>.7791</v>
      </c>
      <c r="AC60" s="10" t="str">
        <f>".7698"</f>
        <v>.7698</v>
      </c>
      <c r="AD60" s="10" t="str">
        <f>".7789"</f>
        <v>.7789</v>
      </c>
      <c r="AE60" s="10" t="str">
        <f>".7785"</f>
        <v>.7785</v>
      </c>
      <c r="AF60" s="10" t="str">
        <f>".8106"</f>
        <v>.8106</v>
      </c>
      <c r="AG60" s="10" t="str">
        <f>".7984"</f>
        <v>.7984</v>
      </c>
      <c r="AH60" s="10" t="str">
        <f>".7869"</f>
        <v>.7869</v>
      </c>
      <c r="AI60" s="10" t="str">
        <f>".3222"</f>
        <v>.3222</v>
      </c>
      <c r="AJ60" s="10" t="str">
        <f>".5838"</f>
        <v>.5838</v>
      </c>
      <c r="AK60" s="10" t="str">
        <f>".5874"</f>
        <v>.5874</v>
      </c>
      <c r="AL60" s="10" t="str">
        <f>".8069"</f>
        <v>.8069</v>
      </c>
      <c r="AM60" s="10" t="str">
        <f>".7904"</f>
        <v>.7904</v>
      </c>
      <c r="AN60" s="10" t="str">
        <f>".7775"</f>
        <v>.7775</v>
      </c>
    </row>
    <row r="61" spans="1:40">
      <c r="A61" s="10" t="str">
        <f>"rmse"</f>
        <v>rmse</v>
      </c>
      <c r="B61" s="10" t="str">
        <f>".05962"</f>
        <v>.05962</v>
      </c>
      <c r="C61" s="10" t="str">
        <f>".05991"</f>
        <v>.05991</v>
      </c>
      <c r="D61" s="10" t="str">
        <f>".06005"</f>
        <v>.06005</v>
      </c>
      <c r="E61" s="10" t="str">
        <f>".08132"</f>
        <v>.08132</v>
      </c>
      <c r="F61" s="10" t="str">
        <f>".07398"</f>
        <v>.07398</v>
      </c>
      <c r="G61" s="10" t="str">
        <f>".07541"</f>
        <v>.07541</v>
      </c>
      <c r="H61" s="10" t="str">
        <f>".1107"</f>
        <v>.1107</v>
      </c>
      <c r="I61" s="10" t="str">
        <f>".07678"</f>
        <v>.07678</v>
      </c>
      <c r="J61" s="10" t="str">
        <f>".07534"</f>
        <v>.07534</v>
      </c>
      <c r="K61" s="10" t="str">
        <f>".09171"</f>
        <v>.09171</v>
      </c>
      <c r="L61" s="10" t="str">
        <f>".06539"</f>
        <v>.06539</v>
      </c>
      <c r="M61" s="10" t="str">
        <f>".06454"</f>
        <v>.06454</v>
      </c>
      <c r="N61" s="10" t="str">
        <f>".06558"</f>
        <v>.06558</v>
      </c>
      <c r="O61" s="10" t="str">
        <f>".06355"</f>
        <v>.06355</v>
      </c>
      <c r="P61" s="10" t="str">
        <f>".05881"</f>
        <v>.05881</v>
      </c>
      <c r="Q61" s="10" t="str">
        <f>".0663"</f>
        <v>.0663</v>
      </c>
      <c r="R61" s="10" t="str">
        <f>".06546"</f>
        <v>.06546</v>
      </c>
      <c r="S61" s="10" t="str">
        <f>".06477"</f>
        <v>.06477</v>
      </c>
      <c r="T61" s="10" t="str">
        <f>".1063"</f>
        <v>.1063</v>
      </c>
      <c r="U61" s="10" t="str">
        <f>".0786"</f>
        <v>.0786</v>
      </c>
      <c r="V61" s="10" t="str">
        <f>".07534"</f>
        <v>.07534</v>
      </c>
      <c r="W61" s="10" t="str">
        <f>".06594"</f>
        <v>.06594</v>
      </c>
      <c r="X61" s="10" t="str">
        <f>".06481"</f>
        <v>.06481</v>
      </c>
      <c r="Y61" s="10" t="str">
        <f>".0601"</f>
        <v>.0601</v>
      </c>
      <c r="Z61" s="10" t="str">
        <f>".06464"</f>
        <v>.06464</v>
      </c>
      <c r="AA61" s="10" t="str">
        <f>".06329"</f>
        <v>.06329</v>
      </c>
      <c r="AB61" s="10" t="str">
        <f>".06303"</f>
        <v>.06303</v>
      </c>
      <c r="AC61" s="10" t="str">
        <f>".06435"</f>
        <v>.06435</v>
      </c>
      <c r="AD61" s="10" t="str">
        <f>".06306"</f>
        <v>.06306</v>
      </c>
      <c r="AE61" s="10" t="str">
        <f>".06311"</f>
        <v>.06311</v>
      </c>
      <c r="AF61" s="10" t="str">
        <f>".05837"</f>
        <v>.05837</v>
      </c>
      <c r="AG61" s="10" t="str">
        <f>".06021"</f>
        <v>.06021</v>
      </c>
      <c r="AH61" s="10" t="str">
        <f>".0619"</f>
        <v>.0619</v>
      </c>
      <c r="AI61" s="10" t="str">
        <f>".1104"</f>
        <v>.1104</v>
      </c>
      <c r="AJ61" s="10" t="str">
        <f>".08653"</f>
        <v>.08653</v>
      </c>
      <c r="AK61" s="10" t="str">
        <f>".08614"</f>
        <v>.08614</v>
      </c>
      <c r="AL61" s="10" t="str">
        <f>".05894"</f>
        <v>.05894</v>
      </c>
      <c r="AM61" s="10" t="str">
        <f>".0614"</f>
        <v>.0614</v>
      </c>
      <c r="AN61" s="10" t="str">
        <f>".06326"</f>
        <v>.06326</v>
      </c>
    </row>
    <row r="65" spans="1:40">
      <c r="A65" s="10" t="str">
        <f>"Output 9b - Multivariate Regressions, Top59 100%"</f>
        <v>Output 9b - Multivariate Regressions, Top59 100%</v>
      </c>
    </row>
    <row r="66" spans="1:40" s="11" customFormat="1">
      <c r="A66" s="11" t="str">
        <f>""</f>
        <v/>
      </c>
    </row>
    <row r="67" spans="1:40">
      <c r="A67" s="10" t="str">
        <f>""</f>
        <v/>
      </c>
      <c r="B67" s="170" t="s">
        <v>115</v>
      </c>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row>
    <row r="69" spans="1:40">
      <c r="A69" s="10" t="str">
        <f>"alpha_c"</f>
        <v>alpha_c</v>
      </c>
      <c r="B69" s="10" t="str">
        <f>".4782***"</f>
        <v>.4782***</v>
      </c>
      <c r="C69" s="10" t="str">
        <f>".5718***"</f>
        <v>.5718***</v>
      </c>
      <c r="D69" s="10" t="str">
        <f>".6189***"</f>
        <v>.6189***</v>
      </c>
      <c r="E69" s="10" t="str">
        <f>""</f>
        <v/>
      </c>
      <c r="F69" s="10" t="str">
        <f>""</f>
        <v/>
      </c>
      <c r="G69" s="10" t="str">
        <f>""</f>
        <v/>
      </c>
      <c r="H69" s="10" t="str">
        <f>""</f>
        <v/>
      </c>
      <c r="I69" s="10" t="str">
        <f>""</f>
        <v/>
      </c>
      <c r="J69" s="10" t="str">
        <f>""</f>
        <v/>
      </c>
      <c r="K69" s="10" t="str">
        <f>""</f>
        <v/>
      </c>
      <c r="L69" s="10" t="str">
        <f>""</f>
        <v/>
      </c>
      <c r="M69" s="10" t="str">
        <f>""</f>
        <v/>
      </c>
      <c r="N69" s="10" t="str">
        <f>".6386***"</f>
        <v>.6386***</v>
      </c>
      <c r="O69" s="10" t="str">
        <f>".6006***"</f>
        <v>.6006***</v>
      </c>
      <c r="P69" s="10" t="str">
        <f>".6119***"</f>
        <v>.6119***</v>
      </c>
      <c r="Q69" s="10" t="str">
        <f>".5089***"</f>
        <v>.5089***</v>
      </c>
      <c r="R69" s="10" t="str">
        <f>".4864***"</f>
        <v>.4864***</v>
      </c>
      <c r="S69" s="10" t="str">
        <f>".5079***"</f>
        <v>.5079***</v>
      </c>
      <c r="T69" s="10" t="str">
        <f>""</f>
        <v/>
      </c>
      <c r="U69" s="10" t="str">
        <f>""</f>
        <v/>
      </c>
      <c r="V69" s="10" t="str">
        <f>""</f>
        <v/>
      </c>
      <c r="W69" s="10" t="str">
        <f>".5113***"</f>
        <v>.5113***</v>
      </c>
      <c r="X69" s="10" t="str">
        <f>".4478***"</f>
        <v>.4478***</v>
      </c>
      <c r="Y69" s="10" t="str">
        <f>".4495***"</f>
        <v>.4495***</v>
      </c>
      <c r="Z69" s="10" t="str">
        <f>""</f>
        <v/>
      </c>
      <c r="AA69" s="10" t="str">
        <f>""</f>
        <v/>
      </c>
      <c r="AB69" s="10" t="str">
        <f>""</f>
        <v/>
      </c>
      <c r="AC69" s="10" t="str">
        <f>""</f>
        <v/>
      </c>
      <c r="AD69" s="10" t="str">
        <f>""</f>
        <v/>
      </c>
      <c r="AE69" s="10" t="str">
        <f>""</f>
        <v/>
      </c>
      <c r="AF69" s="10" t="str">
        <f>""</f>
        <v/>
      </c>
      <c r="AG69" s="10" t="str">
        <f>""</f>
        <v/>
      </c>
      <c r="AH69" s="10" t="str">
        <f>""</f>
        <v/>
      </c>
      <c r="AI69" s="10" t="str">
        <f>""</f>
        <v/>
      </c>
      <c r="AJ69" s="10" t="str">
        <f>""</f>
        <v/>
      </c>
      <c r="AK69" s="10" t="str">
        <f>""</f>
        <v/>
      </c>
      <c r="AL69" s="10" t="str">
        <f>""</f>
        <v/>
      </c>
      <c r="AM69" s="10" t="str">
        <f>""</f>
        <v/>
      </c>
      <c r="AN69" s="10" t="str">
        <f>""</f>
        <v/>
      </c>
    </row>
    <row r="70" spans="1:40">
      <c r="A70" s="10" t="str">
        <f>""</f>
        <v/>
      </c>
      <c r="B70" s="10" t="str">
        <f>"(.0932)"</f>
        <v>(.0932)</v>
      </c>
      <c r="C70" s="10" t="str">
        <f>"(.09706)"</f>
        <v>(.09706)</v>
      </c>
      <c r="D70" s="10" t="str">
        <f>"(.1088)"</f>
        <v>(.1088)</v>
      </c>
      <c r="E70" s="10" t="str">
        <f>""</f>
        <v/>
      </c>
      <c r="F70" s="10" t="str">
        <f>""</f>
        <v/>
      </c>
      <c r="G70" s="10" t="str">
        <f>""</f>
        <v/>
      </c>
      <c r="H70" s="10" t="str">
        <f>""</f>
        <v/>
      </c>
      <c r="I70" s="10" t="str">
        <f>""</f>
        <v/>
      </c>
      <c r="J70" s="10" t="str">
        <f>""</f>
        <v/>
      </c>
      <c r="K70" s="10" t="str">
        <f>""</f>
        <v/>
      </c>
      <c r="L70" s="10" t="str">
        <f>""</f>
        <v/>
      </c>
      <c r="M70" s="10" t="str">
        <f>""</f>
        <v/>
      </c>
      <c r="N70" s="10" t="str">
        <f>"(.05771)"</f>
        <v>(.05771)</v>
      </c>
      <c r="O70" s="10" t="str">
        <f>"(.06573)"</f>
        <v>(.06573)</v>
      </c>
      <c r="P70" s="10" t="str">
        <f>"(.07746)"</f>
        <v>(.07746)</v>
      </c>
      <c r="Q70" s="10" t="str">
        <f>"(.05193)"</f>
        <v>(.05193)</v>
      </c>
      <c r="R70" s="10" t="str">
        <f>"(.105)"</f>
        <v>(.105)</v>
      </c>
      <c r="S70" s="10" t="str">
        <f>"(.1089)"</f>
        <v>(.1089)</v>
      </c>
      <c r="T70" s="10" t="str">
        <f>""</f>
        <v/>
      </c>
      <c r="U70" s="10" t="str">
        <f>""</f>
        <v/>
      </c>
      <c r="V70" s="10" t="str">
        <f>""</f>
        <v/>
      </c>
      <c r="W70" s="10" t="str">
        <f>"(.06423)"</f>
        <v>(.06423)</v>
      </c>
      <c r="X70" s="10" t="str">
        <f>"(.1249)"</f>
        <v>(.1249)</v>
      </c>
      <c r="Y70" s="10" t="str">
        <f>"(.1253)"</f>
        <v>(.1253)</v>
      </c>
      <c r="Z70" s="10" t="str">
        <f>""</f>
        <v/>
      </c>
      <c r="AA70" s="10" t="str">
        <f>""</f>
        <v/>
      </c>
      <c r="AB70" s="10" t="str">
        <f>""</f>
        <v/>
      </c>
      <c r="AC70" s="10" t="str">
        <f>""</f>
        <v/>
      </c>
      <c r="AD70" s="10" t="str">
        <f>""</f>
        <v/>
      </c>
      <c r="AE70" s="10" t="str">
        <f>""</f>
        <v/>
      </c>
      <c r="AF70" s="10" t="str">
        <f>""</f>
        <v/>
      </c>
      <c r="AG70" s="10" t="str">
        <f>""</f>
        <v/>
      </c>
      <c r="AH70" s="10" t="str">
        <f>""</f>
        <v/>
      </c>
      <c r="AI70" s="10" t="str">
        <f>""</f>
        <v/>
      </c>
      <c r="AJ70" s="10" t="str">
        <f>""</f>
        <v/>
      </c>
      <c r="AK70" s="10" t="str">
        <f>""</f>
        <v/>
      </c>
      <c r="AL70" s="10" t="str">
        <f>""</f>
        <v/>
      </c>
      <c r="AM70" s="10" t="str">
        <f>""</f>
        <v/>
      </c>
      <c r="AN70" s="10" t="str">
        <f>""</f>
        <v/>
      </c>
    </row>
    <row r="71" spans="1:40">
      <c r="A71" s="10" t="str">
        <f>"Ealpha_c"</f>
        <v>Ealpha_c</v>
      </c>
      <c r="B71" s="10" t="str">
        <f>".8232**"</f>
        <v>.8232**</v>
      </c>
      <c r="C71" s="10" t="str">
        <f>".3498"</f>
        <v>.3498</v>
      </c>
      <c r="D71" s="10" t="str">
        <f>".2161"</f>
        <v>.2161</v>
      </c>
      <c r="E71" s="10" t="str">
        <f>""</f>
        <v/>
      </c>
      <c r="F71" s="10" t="str">
        <f>""</f>
        <v/>
      </c>
      <c r="G71" s="10" t="str">
        <f>""</f>
        <v/>
      </c>
      <c r="H71" s="10" t="str">
        <f>""</f>
        <v/>
      </c>
      <c r="I71" s="10" t="str">
        <f>""</f>
        <v/>
      </c>
      <c r="J71" s="10" t="str">
        <f>""</f>
        <v/>
      </c>
      <c r="K71" s="10" t="str">
        <f>""</f>
        <v/>
      </c>
      <c r="L71" s="10" t="str">
        <f>""</f>
        <v/>
      </c>
      <c r="M71" s="10" t="str">
        <f>""</f>
        <v/>
      </c>
      <c r="N71" s="10" t="str">
        <f>""</f>
        <v/>
      </c>
      <c r="O71" s="10" t="str">
        <f>""</f>
        <v/>
      </c>
      <c r="P71" s="10" t="str">
        <f>""</f>
        <v/>
      </c>
      <c r="Q71" s="10" t="str">
        <f>""</f>
        <v/>
      </c>
      <c r="R71" s="10" t="str">
        <f>""</f>
        <v/>
      </c>
      <c r="S71" s="10" t="str">
        <f>""</f>
        <v/>
      </c>
      <c r="T71" s="10" t="str">
        <f>""</f>
        <v/>
      </c>
      <c r="U71" s="10" t="str">
        <f>""</f>
        <v/>
      </c>
      <c r="V71" s="10" t="str">
        <f>""</f>
        <v/>
      </c>
      <c r="W71" s="10" t="str">
        <f>""</f>
        <v/>
      </c>
      <c r="X71" s="10" t="str">
        <f>""</f>
        <v/>
      </c>
      <c r="Y71" s="10" t="str">
        <f>""</f>
        <v/>
      </c>
      <c r="Z71" s="10" t="str">
        <f>"2.87***"</f>
        <v>2.87***</v>
      </c>
      <c r="AA71" s="10" t="str">
        <f>"2.894***"</f>
        <v>2.894***</v>
      </c>
      <c r="AB71" s="10" t="str">
        <f>"3.053***"</f>
        <v>3.053***</v>
      </c>
      <c r="AC71" s="10" t="str">
        <f>"1.686***"</f>
        <v>1.686***</v>
      </c>
      <c r="AD71" s="10" t="str">
        <f>"1.617**"</f>
        <v>1.617**</v>
      </c>
      <c r="AE71" s="10" t="str">
        <f>"1.802***"</f>
        <v>1.802***</v>
      </c>
      <c r="AF71" s="10" t="str">
        <f>"1.381**"</f>
        <v>1.381**</v>
      </c>
      <c r="AG71" s="10" t="str">
        <f>"1.857**"</f>
        <v>1.857**</v>
      </c>
      <c r="AH71" s="10" t="str">
        <f>"2.215**"</f>
        <v>2.215**</v>
      </c>
      <c r="AI71" s="10" t="str">
        <f>""</f>
        <v/>
      </c>
      <c r="AJ71" s="10" t="str">
        <f>""</f>
        <v/>
      </c>
      <c r="AK71" s="10" t="str">
        <f>""</f>
        <v/>
      </c>
      <c r="AL71" s="10" t="str">
        <f>"1.405**"</f>
        <v>1.405**</v>
      </c>
      <c r="AM71" s="10" t="str">
        <f>"1.794***"</f>
        <v>1.794***</v>
      </c>
      <c r="AN71" s="10" t="str">
        <f>"1.871**"</f>
        <v>1.871**</v>
      </c>
    </row>
    <row r="72" spans="1:40">
      <c r="A72" s="10" t="str">
        <f>""</f>
        <v/>
      </c>
      <c r="B72" s="10" t="str">
        <f>"(.4021)"</f>
        <v>(.4021)</v>
      </c>
      <c r="C72" s="10" t="str">
        <f>"(.4339)"</f>
        <v>(.4339)</v>
      </c>
      <c r="D72" s="10" t="str">
        <f>"(.3515)"</f>
        <v>(.3515)</v>
      </c>
      <c r="E72" s="10" t="str">
        <f>""</f>
        <v/>
      </c>
      <c r="F72" s="10" t="str">
        <f>""</f>
        <v/>
      </c>
      <c r="G72" s="10" t="str">
        <f>""</f>
        <v/>
      </c>
      <c r="H72" s="10" t="str">
        <f>""</f>
        <v/>
      </c>
      <c r="I72" s="10" t="str">
        <f>""</f>
        <v/>
      </c>
      <c r="J72" s="10" t="str">
        <f>""</f>
        <v/>
      </c>
      <c r="K72" s="10" t="str">
        <f>""</f>
        <v/>
      </c>
      <c r="L72" s="10" t="str">
        <f>""</f>
        <v/>
      </c>
      <c r="M72" s="10" t="str">
        <f>""</f>
        <v/>
      </c>
      <c r="N72" s="10" t="str">
        <f>""</f>
        <v/>
      </c>
      <c r="O72" s="10" t="str">
        <f>""</f>
        <v/>
      </c>
      <c r="P72" s="10" t="str">
        <f>""</f>
        <v/>
      </c>
      <c r="Q72" s="10" t="str">
        <f>""</f>
        <v/>
      </c>
      <c r="R72" s="10" t="str">
        <f>""</f>
        <v/>
      </c>
      <c r="S72" s="10" t="str">
        <f>""</f>
        <v/>
      </c>
      <c r="T72" s="10" t="str">
        <f>""</f>
        <v/>
      </c>
      <c r="U72" s="10" t="str">
        <f>""</f>
        <v/>
      </c>
      <c r="V72" s="10" t="str">
        <f>""</f>
        <v/>
      </c>
      <c r="W72" s="10" t="str">
        <f>""</f>
        <v/>
      </c>
      <c r="X72" s="10" t="str">
        <f>""</f>
        <v/>
      </c>
      <c r="Y72" s="10" t="str">
        <f>""</f>
        <v/>
      </c>
      <c r="Z72" s="10" t="str">
        <f>"(.2823)"</f>
        <v>(.2823)</v>
      </c>
      <c r="AA72" s="10" t="str">
        <f>"(.5211)"</f>
        <v>(.5211)</v>
      </c>
      <c r="AB72" s="10" t="str">
        <f>"(.6747)"</f>
        <v>(.6747)</v>
      </c>
      <c r="AC72" s="10" t="str">
        <f>"(.4943)"</f>
        <v>(.4943)</v>
      </c>
      <c r="AD72" s="10" t="str">
        <f>"(.6336)"</f>
        <v>(.6336)</v>
      </c>
      <c r="AE72" s="10" t="str">
        <f>"(.6079)"</f>
        <v>(.6079)</v>
      </c>
      <c r="AF72" s="10" t="str">
        <f>"(.6885)"</f>
        <v>(.6885)</v>
      </c>
      <c r="AG72" s="10" t="str">
        <f>"(.9019)"</f>
        <v>(.9019)</v>
      </c>
      <c r="AH72" s="10" t="str">
        <f>"(.9144)"</f>
        <v>(.9144)</v>
      </c>
      <c r="AI72" s="10" t="str">
        <f>""</f>
        <v/>
      </c>
      <c r="AJ72" s="10" t="str">
        <f>""</f>
        <v/>
      </c>
      <c r="AK72" s="10" t="str">
        <f>""</f>
        <v/>
      </c>
      <c r="AL72" s="10" t="str">
        <f>"(.6596)"</f>
        <v>(.6596)</v>
      </c>
      <c r="AM72" s="10" t="str">
        <f>"(.6773)"</f>
        <v>(.6773)</v>
      </c>
      <c r="AN72" s="10" t="str">
        <f>"(.8474)"</f>
        <v>(.8474)</v>
      </c>
    </row>
    <row r="73" spans="1:40">
      <c r="A73" s="10" t="str">
        <f>"s_alpha_q1q5"</f>
        <v>s_alpha_q1q5</v>
      </c>
      <c r="B73" s="10" t="str">
        <f>""</f>
        <v/>
      </c>
      <c r="C73" s="10" t="str">
        <f>""</f>
        <v/>
      </c>
      <c r="D73" s="10" t="str">
        <f>""</f>
        <v/>
      </c>
      <c r="E73" s="10" t="str">
        <f>"1.2***"</f>
        <v>1.2***</v>
      </c>
      <c r="F73" s="10" t="str">
        <f>"1.359***"</f>
        <v>1.359***</v>
      </c>
      <c r="G73" s="10" t="str">
        <f>"1.465***"</f>
        <v>1.465***</v>
      </c>
      <c r="H73" s="10" t="str">
        <f>""</f>
        <v/>
      </c>
      <c r="I73" s="10" t="str">
        <f>""</f>
        <v/>
      </c>
      <c r="J73" s="10" t="str">
        <f>""</f>
        <v/>
      </c>
      <c r="K73" s="10" t="str">
        <f>""</f>
        <v/>
      </c>
      <c r="L73" s="10" t="str">
        <f>""</f>
        <v/>
      </c>
      <c r="M73" s="10" t="str">
        <f>""</f>
        <v/>
      </c>
      <c r="N73" s="10" t="str">
        <f>""</f>
        <v/>
      </c>
      <c r="O73" s="10" t="str">
        <f>""</f>
        <v/>
      </c>
      <c r="P73" s="10" t="str">
        <f>""</f>
        <v/>
      </c>
      <c r="Q73" s="10" t="str">
        <f>".8927***"</f>
        <v>.8927***</v>
      </c>
      <c r="R73" s="10" t="str">
        <f>".6986**"</f>
        <v>.6986**</v>
      </c>
      <c r="S73" s="10" t="str">
        <f>".7727**"</f>
        <v>.7727**</v>
      </c>
      <c r="T73" s="10" t="str">
        <f>""</f>
        <v/>
      </c>
      <c r="U73" s="10" t="str">
        <f>""</f>
        <v/>
      </c>
      <c r="V73" s="10" t="str">
        <f>""</f>
        <v/>
      </c>
      <c r="W73" s="10" t="str">
        <f>".8918***"</f>
        <v>.8918***</v>
      </c>
      <c r="X73" s="10" t="str">
        <f>".5997**"</f>
        <v>.5997**</v>
      </c>
      <c r="Y73" s="10" t="str">
        <f>".5677*"</f>
        <v>.5677*</v>
      </c>
      <c r="Z73" s="10" t="str">
        <f>""</f>
        <v/>
      </c>
      <c r="AA73" s="10" t="str">
        <f>""</f>
        <v/>
      </c>
      <c r="AB73" s="10" t="str">
        <f>""</f>
        <v/>
      </c>
      <c r="AC73" s="10" t="str">
        <f>""</f>
        <v/>
      </c>
      <c r="AD73" s="10" t="str">
        <f>""</f>
        <v/>
      </c>
      <c r="AE73" s="10" t="str">
        <f>""</f>
        <v/>
      </c>
      <c r="AF73" s="10" t="str">
        <f>""</f>
        <v/>
      </c>
      <c r="AG73" s="10" t="str">
        <f>""</f>
        <v/>
      </c>
      <c r="AH73" s="10" t="str">
        <f>""</f>
        <v/>
      </c>
      <c r="AI73" s="10" t="str">
        <f>""</f>
        <v/>
      </c>
      <c r="AJ73" s="10" t="str">
        <f>""</f>
        <v/>
      </c>
      <c r="AK73" s="10" t="str">
        <f>""</f>
        <v/>
      </c>
      <c r="AL73" s="10" t="str">
        <f>""</f>
        <v/>
      </c>
      <c r="AM73" s="10" t="str">
        <f>""</f>
        <v/>
      </c>
      <c r="AN73" s="10" t="str">
        <f>""</f>
        <v/>
      </c>
    </row>
    <row r="74" spans="1:40">
      <c r="A74" s="10" t="str">
        <f>""</f>
        <v/>
      </c>
      <c r="B74" s="10" t="str">
        <f>""</f>
        <v/>
      </c>
      <c r="C74" s="10" t="str">
        <f>""</f>
        <v/>
      </c>
      <c r="D74" s="10" t="str">
        <f>""</f>
        <v/>
      </c>
      <c r="E74" s="10" t="str">
        <f>"(.2844)"</f>
        <v>(.2844)</v>
      </c>
      <c r="F74" s="10" t="str">
        <f>"(.3481)"</f>
        <v>(.3481)</v>
      </c>
      <c r="G74" s="10" t="str">
        <f>"(.3986)"</f>
        <v>(.3986)</v>
      </c>
      <c r="H74" s="10" t="str">
        <f>""</f>
        <v/>
      </c>
      <c r="I74" s="10" t="str">
        <f>""</f>
        <v/>
      </c>
      <c r="J74" s="10" t="str">
        <f>""</f>
        <v/>
      </c>
      <c r="K74" s="10" t="str">
        <f>""</f>
        <v/>
      </c>
      <c r="L74" s="10" t="str">
        <f>""</f>
        <v/>
      </c>
      <c r="M74" s="10" t="str">
        <f>""</f>
        <v/>
      </c>
      <c r="N74" s="10" t="str">
        <f>""</f>
        <v/>
      </c>
      <c r="O74" s="10" t="str">
        <f>""</f>
        <v/>
      </c>
      <c r="P74" s="10" t="str">
        <f>""</f>
        <v/>
      </c>
      <c r="Q74" s="10" t="str">
        <f>"(.2036)"</f>
        <v>(.2036)</v>
      </c>
      <c r="R74" s="10" t="str">
        <f>"(.3128)"</f>
        <v>(.3128)</v>
      </c>
      <c r="S74" s="10" t="str">
        <f>"(.3358)"</f>
        <v>(.3358)</v>
      </c>
      <c r="T74" s="10" t="str">
        <f>""</f>
        <v/>
      </c>
      <c r="U74" s="10" t="str">
        <f>""</f>
        <v/>
      </c>
      <c r="V74" s="10" t="str">
        <f>""</f>
        <v/>
      </c>
      <c r="W74" s="10" t="str">
        <f>"(.218)"</f>
        <v>(.218)</v>
      </c>
      <c r="X74" s="10" t="str">
        <f>"(.3023)"</f>
        <v>(.3023)</v>
      </c>
      <c r="Y74" s="10" t="str">
        <f>"(.3103)"</f>
        <v>(.3103)</v>
      </c>
      <c r="Z74" s="10" t="str">
        <f>""</f>
        <v/>
      </c>
      <c r="AA74" s="10" t="str">
        <f>""</f>
        <v/>
      </c>
      <c r="AB74" s="10" t="str">
        <f>""</f>
        <v/>
      </c>
      <c r="AC74" s="10" t="str">
        <f>""</f>
        <v/>
      </c>
      <c r="AD74" s="10" t="str">
        <f>""</f>
        <v/>
      </c>
      <c r="AE74" s="10" t="str">
        <f>""</f>
        <v/>
      </c>
      <c r="AF74" s="10" t="str">
        <f>""</f>
        <v/>
      </c>
      <c r="AG74" s="10" t="str">
        <f>""</f>
        <v/>
      </c>
      <c r="AH74" s="10" t="str">
        <f>""</f>
        <v/>
      </c>
      <c r="AI74" s="10" t="str">
        <f>""</f>
        <v/>
      </c>
      <c r="AJ74" s="10" t="str">
        <f>""</f>
        <v/>
      </c>
      <c r="AK74" s="10" t="str">
        <f>""</f>
        <v/>
      </c>
      <c r="AL74" s="10" t="str">
        <f>""</f>
        <v/>
      </c>
      <c r="AM74" s="10" t="str">
        <f>""</f>
        <v/>
      </c>
      <c r="AN74" s="10" t="str">
        <f>""</f>
        <v/>
      </c>
    </row>
    <row r="75" spans="1:40">
      <c r="A75" s="10" t="str">
        <f>"Es_alpha_q1q5"</f>
        <v>Es_alpha_q1q5</v>
      </c>
      <c r="B75" s="10" t="str">
        <f>""</f>
        <v/>
      </c>
      <c r="C75" s="10" t="str">
        <f>""</f>
        <v/>
      </c>
      <c r="D75" s="10" t="str">
        <f>""</f>
        <v/>
      </c>
      <c r="E75" s="10" t="str">
        <f>"5.831***"</f>
        <v>5.831***</v>
      </c>
      <c r="F75" s="10" t="str">
        <f>"3.596*"</f>
        <v>3.596*</v>
      </c>
      <c r="G75" s="10" t="str">
        <f>"3.639*"</f>
        <v>3.639*</v>
      </c>
      <c r="H75" s="10" t="str">
        <f>""</f>
        <v/>
      </c>
      <c r="I75" s="10" t="str">
        <f>""</f>
        <v/>
      </c>
      <c r="J75" s="10" t="str">
        <f>""</f>
        <v/>
      </c>
      <c r="K75" s="10" t="str">
        <f>""</f>
        <v/>
      </c>
      <c r="L75" s="10" t="str">
        <f>""</f>
        <v/>
      </c>
      <c r="M75" s="10" t="str">
        <f>""</f>
        <v/>
      </c>
      <c r="N75" s="10" t="str">
        <f>""</f>
        <v/>
      </c>
      <c r="O75" s="10" t="str">
        <f>""</f>
        <v/>
      </c>
      <c r="P75" s="10" t="str">
        <f>""</f>
        <v/>
      </c>
      <c r="Q75" s="10" t="str">
        <f>""</f>
        <v/>
      </c>
      <c r="R75" s="10" t="str">
        <f>""</f>
        <v/>
      </c>
      <c r="S75" s="10" t="str">
        <f>""</f>
        <v/>
      </c>
      <c r="T75" s="10" t="str">
        <f>""</f>
        <v/>
      </c>
      <c r="U75" s="10" t="str">
        <f>""</f>
        <v/>
      </c>
      <c r="V75" s="10" t="str">
        <f>""</f>
        <v/>
      </c>
      <c r="W75" s="10" t="str">
        <f>""</f>
        <v/>
      </c>
      <c r="X75" s="10" t="str">
        <f>""</f>
        <v/>
      </c>
      <c r="Y75" s="10" t="str">
        <f>""</f>
        <v/>
      </c>
      <c r="Z75" s="10" t="str">
        <f>""</f>
        <v/>
      </c>
      <c r="AA75" s="10" t="str">
        <f>""</f>
        <v/>
      </c>
      <c r="AB75" s="10" t="str">
        <f>""</f>
        <v/>
      </c>
      <c r="AC75" s="10" t="str">
        <f>"3.701**"</f>
        <v>3.701**</v>
      </c>
      <c r="AD75" s="10" t="str">
        <f>"3.306"</f>
        <v>3.306</v>
      </c>
      <c r="AE75" s="10" t="str">
        <f>"2.571"</f>
        <v>2.571</v>
      </c>
      <c r="AF75" s="10" t="str">
        <f>"2.382"</f>
        <v>2.382</v>
      </c>
      <c r="AG75" s="10" t="str">
        <f>"1.393"</f>
        <v>1.393</v>
      </c>
      <c r="AH75" s="10" t="str">
        <f>".7927"</f>
        <v>.7927</v>
      </c>
      <c r="AI75" s="10" t="str">
        <f>""</f>
        <v/>
      </c>
      <c r="AJ75" s="10" t="str">
        <f>""</f>
        <v/>
      </c>
      <c r="AK75" s="10" t="str">
        <f>""</f>
        <v/>
      </c>
      <c r="AL75" s="10" t="str">
        <f>"2.376"</f>
        <v>2.376</v>
      </c>
      <c r="AM75" s="10" t="str">
        <f>"1.1"</f>
        <v>1.1</v>
      </c>
      <c r="AN75" s="10" t="str">
        <f>"1.979"</f>
        <v>1.979</v>
      </c>
    </row>
    <row r="76" spans="1:40">
      <c r="A76" s="10" t="str">
        <f>""</f>
        <v/>
      </c>
      <c r="B76" s="10" t="str">
        <f>""</f>
        <v/>
      </c>
      <c r="C76" s="10" t="str">
        <f>""</f>
        <v/>
      </c>
      <c r="D76" s="10" t="str">
        <f>""</f>
        <v/>
      </c>
      <c r="E76" s="10" t="str">
        <f>"(.9426)"</f>
        <v>(.9426)</v>
      </c>
      <c r="F76" s="10" t="str">
        <f>"(1.9)"</f>
        <v>(1.9)</v>
      </c>
      <c r="G76" s="10" t="str">
        <f>"(1.986)"</f>
        <v>(1.986)</v>
      </c>
      <c r="H76" s="10" t="str">
        <f>""</f>
        <v/>
      </c>
      <c r="I76" s="10" t="str">
        <f>""</f>
        <v/>
      </c>
      <c r="J76" s="10" t="str">
        <f>""</f>
        <v/>
      </c>
      <c r="K76" s="10" t="str">
        <f>""</f>
        <v/>
      </c>
      <c r="L76" s="10" t="str">
        <f>""</f>
        <v/>
      </c>
      <c r="M76" s="10" t="str">
        <f>""</f>
        <v/>
      </c>
      <c r="N76" s="10" t="str">
        <f>""</f>
        <v/>
      </c>
      <c r="O76" s="10" t="str">
        <f>""</f>
        <v/>
      </c>
      <c r="P76" s="10" t="str">
        <f>""</f>
        <v/>
      </c>
      <c r="Q76" s="10" t="str">
        <f>""</f>
        <v/>
      </c>
      <c r="R76" s="10" t="str">
        <f>""</f>
        <v/>
      </c>
      <c r="S76" s="10" t="str">
        <f>""</f>
        <v/>
      </c>
      <c r="T76" s="10" t="str">
        <f>""</f>
        <v/>
      </c>
      <c r="U76" s="10" t="str">
        <f>""</f>
        <v/>
      </c>
      <c r="V76" s="10" t="str">
        <f>""</f>
        <v/>
      </c>
      <c r="W76" s="10" t="str">
        <f>""</f>
        <v/>
      </c>
      <c r="X76" s="10" t="str">
        <f>""</f>
        <v/>
      </c>
      <c r="Y76" s="10" t="str">
        <f>""</f>
        <v/>
      </c>
      <c r="Z76" s="10" t="str">
        <f>""</f>
        <v/>
      </c>
      <c r="AA76" s="10" t="str">
        <f>""</f>
        <v/>
      </c>
      <c r="AB76" s="10" t="str">
        <f>""</f>
        <v/>
      </c>
      <c r="AC76" s="10" t="str">
        <f>"(1.492)"</f>
        <v>(1.492)</v>
      </c>
      <c r="AD76" s="10" t="str">
        <f>"(2.029)"</f>
        <v>(2.029)</v>
      </c>
      <c r="AE76" s="10" t="str">
        <f>"(2.144)"</f>
        <v>(2.144)</v>
      </c>
      <c r="AF76" s="10" t="str">
        <f>"(1.546)"</f>
        <v>(1.546)</v>
      </c>
      <c r="AG76" s="10" t="str">
        <f>"(2.18)"</f>
        <v>(2.18)</v>
      </c>
      <c r="AH76" s="10" t="str">
        <f>"(2.374)"</f>
        <v>(2.374)</v>
      </c>
      <c r="AI76" s="10" t="str">
        <f>""</f>
        <v/>
      </c>
      <c r="AJ76" s="10" t="str">
        <f>""</f>
        <v/>
      </c>
      <c r="AK76" s="10" t="str">
        <f>""</f>
        <v/>
      </c>
      <c r="AL76" s="10" t="str">
        <f>"(1.58)"</f>
        <v>(1.58)</v>
      </c>
      <c r="AM76" s="10" t="str">
        <f>"(2.213)"</f>
        <v>(2.213)</v>
      </c>
      <c r="AN76" s="10" t="str">
        <f>"(2.028)"</f>
        <v>(2.028)</v>
      </c>
    </row>
    <row r="77" spans="1:40">
      <c r="A77" s="10" t="str">
        <f>"psi_c"</f>
        <v>psi_c</v>
      </c>
      <c r="B77" s="10" t="str">
        <f>""</f>
        <v/>
      </c>
      <c r="C77" s="10" t="str">
        <f>""</f>
        <v/>
      </c>
      <c r="D77" s="10" t="str">
        <f>""</f>
        <v/>
      </c>
      <c r="E77" s="10" t="str">
        <f>""</f>
        <v/>
      </c>
      <c r="F77" s="10" t="str">
        <f>""</f>
        <v/>
      </c>
      <c r="G77" s="10" t="str">
        <f>""</f>
        <v/>
      </c>
      <c r="H77" s="10" t="str">
        <f>"1.078***"</f>
        <v>1.078***</v>
      </c>
      <c r="I77" s="10" t="str">
        <f>".6666***"</f>
        <v>.6666***</v>
      </c>
      <c r="J77" s="10" t="str">
        <f>".6578"</f>
        <v>.6578</v>
      </c>
      <c r="K77" s="10" t="str">
        <f>""</f>
        <v/>
      </c>
      <c r="L77" s="10" t="str">
        <f>""</f>
        <v/>
      </c>
      <c r="M77" s="10" t="str">
        <f>""</f>
        <v/>
      </c>
      <c r="N77" s="10" t="str">
        <f>".05622"</f>
        <v>.05622</v>
      </c>
      <c r="O77" s="10" t="str">
        <f>".1733"</f>
        <v>.1733</v>
      </c>
      <c r="P77" s="10" t="str">
        <f>".3468**"</f>
        <v>.3468**</v>
      </c>
      <c r="Q77" s="10" t="str">
        <f>""</f>
        <v/>
      </c>
      <c r="R77" s="10" t="str">
        <f>""</f>
        <v/>
      </c>
      <c r="S77" s="10" t="str">
        <f>""</f>
        <v/>
      </c>
      <c r="T77" s="10" t="str">
        <f>"-1.736**"</f>
        <v>-1.736**</v>
      </c>
      <c r="U77" s="10" t="str">
        <f>"-1.781***"</f>
        <v>-1.781***</v>
      </c>
      <c r="V77" s="10" t="str">
        <f>"-1.729**"</f>
        <v>-1.729**</v>
      </c>
      <c r="W77" s="10" t="str">
        <f>"-.2438"</f>
        <v>-.2438</v>
      </c>
      <c r="X77" s="10" t="str">
        <f>"-.3019"</f>
        <v>-.3019</v>
      </c>
      <c r="Y77" s="10" t="str">
        <f>"-.3102"</f>
        <v>-.3102</v>
      </c>
      <c r="Z77" s="10" t="str">
        <f>""</f>
        <v/>
      </c>
      <c r="AA77" s="10" t="str">
        <f>""</f>
        <v/>
      </c>
      <c r="AB77" s="10" t="str">
        <f>""</f>
        <v/>
      </c>
      <c r="AC77" s="10" t="str">
        <f>""</f>
        <v/>
      </c>
      <c r="AD77" s="10" t="str">
        <f>""</f>
        <v/>
      </c>
      <c r="AE77" s="10" t="str">
        <f>""</f>
        <v/>
      </c>
      <c r="AF77" s="10" t="str">
        <f>""</f>
        <v/>
      </c>
      <c r="AG77" s="10" t="str">
        <f>""</f>
        <v/>
      </c>
      <c r="AH77" s="10" t="str">
        <f>""</f>
        <v/>
      </c>
      <c r="AI77" s="10" t="str">
        <f>""</f>
        <v/>
      </c>
      <c r="AJ77" s="10" t="str">
        <f>""</f>
        <v/>
      </c>
      <c r="AK77" s="10" t="str">
        <f>""</f>
        <v/>
      </c>
      <c r="AL77" s="10" t="str">
        <f>""</f>
        <v/>
      </c>
      <c r="AM77" s="10" t="str">
        <f>""</f>
        <v/>
      </c>
      <c r="AN77" s="10" t="str">
        <f>""</f>
        <v/>
      </c>
    </row>
    <row r="78" spans="1:40">
      <c r="A78" s="10" t="str">
        <f>""</f>
        <v/>
      </c>
      <c r="B78" s="10" t="str">
        <f>""</f>
        <v/>
      </c>
      <c r="C78" s="10" t="str">
        <f>""</f>
        <v/>
      </c>
      <c r="D78" s="10" t="str">
        <f>""</f>
        <v/>
      </c>
      <c r="E78" s="10" t="str">
        <f>""</f>
        <v/>
      </c>
      <c r="F78" s="10" t="str">
        <f>""</f>
        <v/>
      </c>
      <c r="G78" s="10" t="str">
        <f>""</f>
        <v/>
      </c>
      <c r="H78" s="10" t="str">
        <f>"(.2874)"</f>
        <v>(.2874)</v>
      </c>
      <c r="I78" s="10" t="str">
        <f>"(.2324)"</f>
        <v>(.2324)</v>
      </c>
      <c r="J78" s="10" t="str">
        <f>"(.4173)"</f>
        <v>(.4173)</v>
      </c>
      <c r="K78" s="10" t="str">
        <f>""</f>
        <v/>
      </c>
      <c r="L78" s="10" t="str">
        <f>""</f>
        <v/>
      </c>
      <c r="M78" s="10" t="str">
        <f>""</f>
        <v/>
      </c>
      <c r="N78" s="10" t="str">
        <f>"(.1606)"</f>
        <v>(.1606)</v>
      </c>
      <c r="O78" s="10" t="str">
        <f>"(.1565)"</f>
        <v>(.1565)</v>
      </c>
      <c r="P78" s="10" t="str">
        <f>"(.1629)"</f>
        <v>(.1629)</v>
      </c>
      <c r="Q78" s="10" t="str">
        <f>""</f>
        <v/>
      </c>
      <c r="R78" s="10" t="str">
        <f>""</f>
        <v/>
      </c>
      <c r="S78" s="10" t="str">
        <f>""</f>
        <v/>
      </c>
      <c r="T78" s="10" t="str">
        <f>"(.8474)"</f>
        <v>(.8474)</v>
      </c>
      <c r="U78" s="10" t="str">
        <f>"(.5587)"</f>
        <v>(.5587)</v>
      </c>
      <c r="V78" s="10" t="str">
        <f>"(.8061)"</f>
        <v>(.8061)</v>
      </c>
      <c r="W78" s="10" t="str">
        <f>"(.5133)"</f>
        <v>(.5133)</v>
      </c>
      <c r="X78" s="10" t="str">
        <f>"(.5493)"</f>
        <v>(.5493)</v>
      </c>
      <c r="Y78" s="10" t="str">
        <f>"(.4656)"</f>
        <v>(.4656)</v>
      </c>
      <c r="Z78" s="10" t="str">
        <f>""</f>
        <v/>
      </c>
      <c r="AA78" s="10" t="str">
        <f>""</f>
        <v/>
      </c>
      <c r="AB78" s="10" t="str">
        <f>""</f>
        <v/>
      </c>
      <c r="AC78" s="10" t="str">
        <f>""</f>
        <v/>
      </c>
      <c r="AD78" s="10" t="str">
        <f>""</f>
        <v/>
      </c>
      <c r="AE78" s="10" t="str">
        <f>""</f>
        <v/>
      </c>
      <c r="AF78" s="10" t="str">
        <f>""</f>
        <v/>
      </c>
      <c r="AG78" s="10" t="str">
        <f>""</f>
        <v/>
      </c>
      <c r="AH78" s="10" t="str">
        <f>""</f>
        <v/>
      </c>
      <c r="AI78" s="10" t="str">
        <f>""</f>
        <v/>
      </c>
      <c r="AJ78" s="10" t="str">
        <f>""</f>
        <v/>
      </c>
      <c r="AK78" s="10" t="str">
        <f>""</f>
        <v/>
      </c>
      <c r="AL78" s="10" t="str">
        <f>""</f>
        <v/>
      </c>
      <c r="AM78" s="10" t="str">
        <f>""</f>
        <v/>
      </c>
      <c r="AN78" s="10" t="str">
        <f>""</f>
        <v/>
      </c>
    </row>
    <row r="79" spans="1:40">
      <c r="A79" s="10" t="str">
        <f>"Epsi_c"</f>
        <v>Epsi_c</v>
      </c>
      <c r="B79" s="10" t="str">
        <f>""</f>
        <v/>
      </c>
      <c r="C79" s="10" t="str">
        <f>""</f>
        <v/>
      </c>
      <c r="D79" s="10" t="str">
        <f>""</f>
        <v/>
      </c>
      <c r="E79" s="10" t="str">
        <f>""</f>
        <v/>
      </c>
      <c r="F79" s="10" t="str">
        <f>""</f>
        <v/>
      </c>
      <c r="G79" s="10" t="str">
        <f>""</f>
        <v/>
      </c>
      <c r="H79" s="10" t="str">
        <f>".7053"</f>
        <v>.7053</v>
      </c>
      <c r="I79" s="10" t="str">
        <f>"1.12"</f>
        <v>1.12</v>
      </c>
      <c r="J79" s="10" t="str">
        <f>"1.315"</f>
        <v>1.315</v>
      </c>
      <c r="K79" s="10" t="str">
        <f>""</f>
        <v/>
      </c>
      <c r="L79" s="10" t="str">
        <f>""</f>
        <v/>
      </c>
      <c r="M79" s="10" t="str">
        <f>""</f>
        <v/>
      </c>
      <c r="N79" s="10" t="str">
        <f>""</f>
        <v/>
      </c>
      <c r="O79" s="10" t="str">
        <f>""</f>
        <v/>
      </c>
      <c r="P79" s="10" t="str">
        <f>""</f>
        <v/>
      </c>
      <c r="Q79" s="10" t="str">
        <f>""</f>
        <v/>
      </c>
      <c r="R79" s="10" t="str">
        <f>""</f>
        <v/>
      </c>
      <c r="S79" s="10" t="str">
        <f>""</f>
        <v/>
      </c>
      <c r="T79" s="10" t="str">
        <f>""</f>
        <v/>
      </c>
      <c r="U79" s="10" t="str">
        <f>""</f>
        <v/>
      </c>
      <c r="V79" s="10" t="str">
        <f>""</f>
        <v/>
      </c>
      <c r="W79" s="10" t="str">
        <f>""</f>
        <v/>
      </c>
      <c r="X79" s="10" t="str">
        <f>""</f>
        <v/>
      </c>
      <c r="Y79" s="10" t="str">
        <f>""</f>
        <v/>
      </c>
      <c r="Z79" s="10" t="str">
        <f>"-1.24"</f>
        <v>-1.24</v>
      </c>
      <c r="AA79" s="10" t="str">
        <f>"-1.649"</f>
        <v>-1.649</v>
      </c>
      <c r="AB79" s="10" t="str">
        <f>"-1.887"</f>
        <v>-1.887</v>
      </c>
      <c r="AC79" s="10" t="str">
        <f>""</f>
        <v/>
      </c>
      <c r="AD79" s="10" t="str">
        <f>""</f>
        <v/>
      </c>
      <c r="AE79" s="10" t="str">
        <f>""</f>
        <v/>
      </c>
      <c r="AF79" s="10" t="str">
        <f>"-4.569*"</f>
        <v>-4.569*</v>
      </c>
      <c r="AG79" s="10" t="str">
        <f>"-5.026"</f>
        <v>-5.026</v>
      </c>
      <c r="AH79" s="10" t="str">
        <f>"-4.734"</f>
        <v>-4.734</v>
      </c>
      <c r="AI79" s="10" t="str">
        <f>""</f>
        <v/>
      </c>
      <c r="AJ79" s="10" t="str">
        <f>""</f>
        <v/>
      </c>
      <c r="AK79" s="10" t="str">
        <f>""</f>
        <v/>
      </c>
      <c r="AL79" s="10" t="str">
        <f>"-3.918"</f>
        <v>-3.918</v>
      </c>
      <c r="AM79" s="10" t="str">
        <f>"-4.713"</f>
        <v>-4.713</v>
      </c>
      <c r="AN79" s="10" t="str">
        <f>"-3.415"</f>
        <v>-3.415</v>
      </c>
    </row>
    <row r="80" spans="1:40">
      <c r="A80" s="10" t="str">
        <f>""</f>
        <v/>
      </c>
      <c r="B80" s="10" t="str">
        <f>""</f>
        <v/>
      </c>
      <c r="C80" s="10" t="str">
        <f>""</f>
        <v/>
      </c>
      <c r="D80" s="10" t="str">
        <f>""</f>
        <v/>
      </c>
      <c r="E80" s="10" t="str">
        <f>""</f>
        <v/>
      </c>
      <c r="F80" s="10" t="str">
        <f>""</f>
        <v/>
      </c>
      <c r="G80" s="10" t="str">
        <f>""</f>
        <v/>
      </c>
      <c r="H80" s="10" t="str">
        <f>"(1.354)"</f>
        <v>(1.354)</v>
      </c>
      <c r="I80" s="10" t="str">
        <f>"(1.072)"</f>
        <v>(1.072)</v>
      </c>
      <c r="J80" s="10" t="str">
        <f>"(.9565)"</f>
        <v>(.9565)</v>
      </c>
      <c r="K80" s="10" t="str">
        <f>""</f>
        <v/>
      </c>
      <c r="L80" s="10" t="str">
        <f>""</f>
        <v/>
      </c>
      <c r="M80" s="10" t="str">
        <f>""</f>
        <v/>
      </c>
      <c r="N80" s="10" t="str">
        <f>""</f>
        <v/>
      </c>
      <c r="O80" s="10" t="str">
        <f>""</f>
        <v/>
      </c>
      <c r="P80" s="10" t="str">
        <f>""</f>
        <v/>
      </c>
      <c r="Q80" s="10" t="str">
        <f>""</f>
        <v/>
      </c>
      <c r="R80" s="10" t="str">
        <f>""</f>
        <v/>
      </c>
      <c r="S80" s="10" t="str">
        <f>""</f>
        <v/>
      </c>
      <c r="T80" s="10" t="str">
        <f>""</f>
        <v/>
      </c>
      <c r="U80" s="10" t="str">
        <f>""</f>
        <v/>
      </c>
      <c r="V80" s="10" t="str">
        <f>""</f>
        <v/>
      </c>
      <c r="W80" s="10" t="str">
        <f>""</f>
        <v/>
      </c>
      <c r="X80" s="10" t="str">
        <f>""</f>
        <v/>
      </c>
      <c r="Y80" s="10" t="str">
        <f>""</f>
        <v/>
      </c>
      <c r="Z80" s="10" t="str">
        <f>"(.7953)"</f>
        <v>(.7953)</v>
      </c>
      <c r="AA80" s="10" t="str">
        <f>"(1.13)"</f>
        <v>(1.13)</v>
      </c>
      <c r="AB80" s="10" t="str">
        <f>"(1.63)"</f>
        <v>(1.63)</v>
      </c>
      <c r="AC80" s="10" t="str">
        <f>""</f>
        <v/>
      </c>
      <c r="AD80" s="10" t="str">
        <f>""</f>
        <v/>
      </c>
      <c r="AE80" s="10" t="str">
        <f>""</f>
        <v/>
      </c>
      <c r="AF80" s="10" t="str">
        <f>"(2.639)"</f>
        <v>(2.639)</v>
      </c>
      <c r="AG80" s="10" t="str">
        <f>"(3.193)"</f>
        <v>(3.193)</v>
      </c>
      <c r="AH80" s="10" t="str">
        <f>"(3.148)"</f>
        <v>(3.148)</v>
      </c>
      <c r="AI80" s="10" t="str">
        <f>""</f>
        <v/>
      </c>
      <c r="AJ80" s="10" t="str">
        <f>""</f>
        <v/>
      </c>
      <c r="AK80" s="10" t="str">
        <f>""</f>
        <v/>
      </c>
      <c r="AL80" s="10" t="str">
        <f>"(3.132)"</f>
        <v>(3.132)</v>
      </c>
      <c r="AM80" s="10" t="str">
        <f>"(3.748)"</f>
        <v>(3.748)</v>
      </c>
      <c r="AN80" s="10" t="str">
        <f>"(3.128)"</f>
        <v>(3.128)</v>
      </c>
    </row>
    <row r="81" spans="1:40">
      <c r="A81" s="10" t="str">
        <f>"s_psi_q1q5"</f>
        <v>s_psi_q1q5</v>
      </c>
      <c r="B81" s="10" t="str">
        <f>""</f>
        <v/>
      </c>
      <c r="C81" s="10" t="str">
        <f>""</f>
        <v/>
      </c>
      <c r="D81" s="10" t="str">
        <f>""</f>
        <v/>
      </c>
      <c r="E81" s="10" t="str">
        <f>""</f>
        <v/>
      </c>
      <c r="F81" s="10" t="str">
        <f>""</f>
        <v/>
      </c>
      <c r="G81" s="10" t="str">
        <f>""</f>
        <v/>
      </c>
      <c r="H81" s="10" t="str">
        <f>""</f>
        <v/>
      </c>
      <c r="I81" s="10" t="str">
        <f>""</f>
        <v/>
      </c>
      <c r="J81" s="10" t="str">
        <f>""</f>
        <v/>
      </c>
      <c r="K81" s="10" t="str">
        <f>".4956***"</f>
        <v>.4956***</v>
      </c>
      <c r="L81" s="10" t="str">
        <f>".3813***"</f>
        <v>.3813***</v>
      </c>
      <c r="M81" s="10" t="str">
        <f>".4369***"</f>
        <v>.4369***</v>
      </c>
      <c r="N81" s="10" t="str">
        <f>""</f>
        <v/>
      </c>
      <c r="O81" s="10" t="str">
        <f>""</f>
        <v/>
      </c>
      <c r="P81" s="10" t="str">
        <f>""</f>
        <v/>
      </c>
      <c r="Q81" s="10" t="str">
        <f>""</f>
        <v/>
      </c>
      <c r="R81" s="10" t="str">
        <f>""</f>
        <v/>
      </c>
      <c r="S81" s="10" t="str">
        <f>""</f>
        <v/>
      </c>
      <c r="T81" s="10" t="str">
        <f>"1.457***"</f>
        <v>1.457***</v>
      </c>
      <c r="U81" s="10" t="str">
        <f>"1.272***"</f>
        <v>1.272***</v>
      </c>
      <c r="V81" s="10" t="str">
        <f>"1.352***"</f>
        <v>1.352***</v>
      </c>
      <c r="W81" s="10" t="str">
        <f>".09601"</f>
        <v>.09601</v>
      </c>
      <c r="X81" s="10" t="str">
        <f>".2133"</f>
        <v>.2133</v>
      </c>
      <c r="Y81" s="10" t="str">
        <f>".3242"</f>
        <v>.3242</v>
      </c>
      <c r="Z81" s="10" t="str">
        <f>""</f>
        <v/>
      </c>
      <c r="AA81" s="10" t="str">
        <f>""</f>
        <v/>
      </c>
      <c r="AB81" s="10" t="str">
        <f>""</f>
        <v/>
      </c>
      <c r="AC81" s="10" t="str">
        <f>""</f>
        <v/>
      </c>
      <c r="AD81" s="10" t="str">
        <f>""</f>
        <v/>
      </c>
      <c r="AE81" s="10" t="str">
        <f>""</f>
        <v/>
      </c>
      <c r="AF81" s="10" t="str">
        <f>""</f>
        <v/>
      </c>
      <c r="AG81" s="10" t="str">
        <f>""</f>
        <v/>
      </c>
      <c r="AH81" s="10" t="str">
        <f>""</f>
        <v/>
      </c>
      <c r="AI81" s="10" t="str">
        <f>""</f>
        <v/>
      </c>
      <c r="AJ81" s="10" t="str">
        <f>""</f>
        <v/>
      </c>
      <c r="AK81" s="10" t="str">
        <f>""</f>
        <v/>
      </c>
      <c r="AL81" s="10" t="str">
        <f>""</f>
        <v/>
      </c>
      <c r="AM81" s="10" t="str">
        <f>""</f>
        <v/>
      </c>
      <c r="AN81" s="10" t="str">
        <f>""</f>
        <v/>
      </c>
    </row>
    <row r="82" spans="1:40">
      <c r="A82" s="10" t="str">
        <f>""</f>
        <v/>
      </c>
      <c r="B82" s="10" t="str">
        <f>""</f>
        <v/>
      </c>
      <c r="C82" s="10" t="str">
        <f>""</f>
        <v/>
      </c>
      <c r="D82" s="10" t="str">
        <f>""</f>
        <v/>
      </c>
      <c r="E82" s="10" t="str">
        <f>""</f>
        <v/>
      </c>
      <c r="F82" s="10" t="str">
        <f>""</f>
        <v/>
      </c>
      <c r="G82" s="10" t="str">
        <f>""</f>
        <v/>
      </c>
      <c r="H82" s="10" t="str">
        <f>""</f>
        <v/>
      </c>
      <c r="I82" s="10" t="str">
        <f>""</f>
        <v/>
      </c>
      <c r="J82" s="10" t="str">
        <f>""</f>
        <v/>
      </c>
      <c r="K82" s="10" t="str">
        <f>"(.1451)"</f>
        <v>(.1451)</v>
      </c>
      <c r="L82" s="10" t="str">
        <f>"(.1217)"</f>
        <v>(.1217)</v>
      </c>
      <c r="M82" s="10" t="str">
        <f>"(.1311)"</f>
        <v>(.1311)</v>
      </c>
      <c r="N82" s="10" t="str">
        <f>""</f>
        <v/>
      </c>
      <c r="O82" s="10" t="str">
        <f>""</f>
        <v/>
      </c>
      <c r="P82" s="10" t="str">
        <f>""</f>
        <v/>
      </c>
      <c r="Q82" s="10" t="str">
        <f>""</f>
        <v/>
      </c>
      <c r="R82" s="10" t="str">
        <f>""</f>
        <v/>
      </c>
      <c r="S82" s="10" t="str">
        <f>""</f>
        <v/>
      </c>
      <c r="T82" s="10" t="str">
        <f>"(.4049)"</f>
        <v>(.4049)</v>
      </c>
      <c r="U82" s="10" t="str">
        <f>"(.255)"</f>
        <v>(.255)</v>
      </c>
      <c r="V82" s="10" t="str">
        <f>"(.3658)"</f>
        <v>(.3658)</v>
      </c>
      <c r="W82" s="10" t="str">
        <f>"(.2685)"</f>
        <v>(.2685)</v>
      </c>
      <c r="X82" s="10" t="str">
        <f>"(.3014)"</f>
        <v>(.3014)</v>
      </c>
      <c r="Y82" s="10" t="str">
        <f>"(.2818)"</f>
        <v>(.2818)</v>
      </c>
      <c r="Z82" s="10" t="str">
        <f>""</f>
        <v/>
      </c>
      <c r="AA82" s="10" t="str">
        <f>""</f>
        <v/>
      </c>
      <c r="AB82" s="10" t="str">
        <f>""</f>
        <v/>
      </c>
      <c r="AC82" s="10" t="str">
        <f>""</f>
        <v/>
      </c>
      <c r="AD82" s="10" t="str">
        <f>""</f>
        <v/>
      </c>
      <c r="AE82" s="10" t="str">
        <f>""</f>
        <v/>
      </c>
      <c r="AF82" s="10" t="str">
        <f>""</f>
        <v/>
      </c>
      <c r="AG82" s="10" t="str">
        <f>""</f>
        <v/>
      </c>
      <c r="AH82" s="10" t="str">
        <f>""</f>
        <v/>
      </c>
      <c r="AI82" s="10" t="str">
        <f>""</f>
        <v/>
      </c>
      <c r="AJ82" s="10" t="str">
        <f>""</f>
        <v/>
      </c>
      <c r="AK82" s="10" t="str">
        <f>""</f>
        <v/>
      </c>
      <c r="AL82" s="10" t="str">
        <f>""</f>
        <v/>
      </c>
      <c r="AM82" s="10" t="str">
        <f>""</f>
        <v/>
      </c>
      <c r="AN82" s="10" t="str">
        <f>""</f>
        <v/>
      </c>
    </row>
    <row r="83" spans="1:40">
      <c r="A83" s="10" t="str">
        <f>"Es_psi_q1q5"</f>
        <v>Es_psi_q1q5</v>
      </c>
      <c r="B83" s="10" t="str">
        <f>""</f>
        <v/>
      </c>
      <c r="C83" s="10" t="str">
        <f>""</f>
        <v/>
      </c>
      <c r="D83" s="10" t="str">
        <f>""</f>
        <v/>
      </c>
      <c r="E83" s="10" t="str">
        <f>""</f>
        <v/>
      </c>
      <c r="F83" s="10" t="str">
        <f>""</f>
        <v/>
      </c>
      <c r="G83" s="10" t="str">
        <f>""</f>
        <v/>
      </c>
      <c r="H83" s="10" t="str">
        <f>""</f>
        <v/>
      </c>
      <c r="I83" s="10" t="str">
        <f>""</f>
        <v/>
      </c>
      <c r="J83" s="10" t="str">
        <f>""</f>
        <v/>
      </c>
      <c r="K83" s="10" t="str">
        <f>"1.561***"</f>
        <v>1.561***</v>
      </c>
      <c r="L83" s="10" t="str">
        <f>"1.069**"</f>
        <v>1.069**</v>
      </c>
      <c r="M83" s="10" t="str">
        <f>".9435**"</f>
        <v>.9435**</v>
      </c>
      <c r="N83" s="10" t="str">
        <f>""</f>
        <v/>
      </c>
      <c r="O83" s="10" t="str">
        <f>""</f>
        <v/>
      </c>
      <c r="P83" s="10" t="str">
        <f>""</f>
        <v/>
      </c>
      <c r="Q83" s="10" t="str">
        <f>""</f>
        <v/>
      </c>
      <c r="R83" s="10" t="str">
        <f>""</f>
        <v/>
      </c>
      <c r="S83" s="10" t="str">
        <f>""</f>
        <v/>
      </c>
      <c r="T83" s="10" t="str">
        <f>""</f>
        <v/>
      </c>
      <c r="U83" s="10" t="str">
        <f>""</f>
        <v/>
      </c>
      <c r="V83" s="10" t="str">
        <f>""</f>
        <v/>
      </c>
      <c r="W83" s="10" t="str">
        <f>""</f>
        <v/>
      </c>
      <c r="X83" s="10" t="str">
        <f>""</f>
        <v/>
      </c>
      <c r="Y83" s="10" t="str">
        <f>""</f>
        <v/>
      </c>
      <c r="Z83" s="10" t="str">
        <f>""</f>
        <v/>
      </c>
      <c r="AA83" s="10" t="str">
        <f>""</f>
        <v/>
      </c>
      <c r="AB83" s="10" t="str">
        <f>""</f>
        <v/>
      </c>
      <c r="AC83" s="10" t="str">
        <f>""</f>
        <v/>
      </c>
      <c r="AD83" s="10" t="str">
        <f>""</f>
        <v/>
      </c>
      <c r="AE83" s="10" t="str">
        <f>""</f>
        <v/>
      </c>
      <c r="AF83" s="10" t="str">
        <f>"2.813*"</f>
        <v>2.813*</v>
      </c>
      <c r="AG83" s="10" t="str">
        <f>"2.568"</f>
        <v>2.568</v>
      </c>
      <c r="AH83" s="10" t="str">
        <f>"2.172"</f>
        <v>2.172</v>
      </c>
      <c r="AI83" s="10" t="str">
        <f>""</f>
        <v/>
      </c>
      <c r="AJ83" s="10" t="str">
        <f>""</f>
        <v/>
      </c>
      <c r="AK83" s="10" t="str">
        <f>""</f>
        <v/>
      </c>
      <c r="AL83" s="10" t="str">
        <f>"2.468"</f>
        <v>2.468</v>
      </c>
      <c r="AM83" s="10" t="str">
        <f>"2.587"</f>
        <v>2.587</v>
      </c>
      <c r="AN83" s="10" t="str">
        <f>"1.828"</f>
        <v>1.828</v>
      </c>
    </row>
    <row r="84" spans="1:40">
      <c r="A84" s="10" t="str">
        <f>""</f>
        <v/>
      </c>
      <c r="B84" s="10" t="str">
        <f>""</f>
        <v/>
      </c>
      <c r="C84" s="10" t="str">
        <f>""</f>
        <v/>
      </c>
      <c r="D84" s="10" t="str">
        <f>""</f>
        <v/>
      </c>
      <c r="E84" s="10" t="str">
        <f>""</f>
        <v/>
      </c>
      <c r="F84" s="10" t="str">
        <f>""</f>
        <v/>
      </c>
      <c r="G84" s="10" t="str">
        <f>""</f>
        <v/>
      </c>
      <c r="H84" s="10" t="str">
        <f>""</f>
        <v/>
      </c>
      <c r="I84" s="10" t="str">
        <f>""</f>
        <v/>
      </c>
      <c r="J84" s="10" t="str">
        <f>""</f>
        <v/>
      </c>
      <c r="K84" s="10" t="str">
        <f>"(.5751)"</f>
        <v>(.5751)</v>
      </c>
      <c r="L84" s="10" t="str">
        <f>"(.5257)"</f>
        <v>(.5257)</v>
      </c>
      <c r="M84" s="10" t="str">
        <f>"(.4655)"</f>
        <v>(.4655)</v>
      </c>
      <c r="N84" s="10" t="str">
        <f>""</f>
        <v/>
      </c>
      <c r="O84" s="10" t="str">
        <f>""</f>
        <v/>
      </c>
      <c r="P84" s="10" t="str">
        <f>""</f>
        <v/>
      </c>
      <c r="Q84" s="10" t="str">
        <f>""</f>
        <v/>
      </c>
      <c r="R84" s="10" t="str">
        <f>""</f>
        <v/>
      </c>
      <c r="S84" s="10" t="str">
        <f>""</f>
        <v/>
      </c>
      <c r="T84" s="10" t="str">
        <f>""</f>
        <v/>
      </c>
      <c r="U84" s="10" t="str">
        <f>""</f>
        <v/>
      </c>
      <c r="V84" s="10" t="str">
        <f>""</f>
        <v/>
      </c>
      <c r="W84" s="10" t="str">
        <f>""</f>
        <v/>
      </c>
      <c r="X84" s="10" t="str">
        <f>""</f>
        <v/>
      </c>
      <c r="Y84" s="10" t="str">
        <f>""</f>
        <v/>
      </c>
      <c r="Z84" s="10" t="str">
        <f>""</f>
        <v/>
      </c>
      <c r="AA84" s="10" t="str">
        <f>""</f>
        <v/>
      </c>
      <c r="AB84" s="10" t="str">
        <f>""</f>
        <v/>
      </c>
      <c r="AC84" s="10" t="str">
        <f>""</f>
        <v/>
      </c>
      <c r="AD84" s="10" t="str">
        <f>""</f>
        <v/>
      </c>
      <c r="AE84" s="10" t="str">
        <f>""</f>
        <v/>
      </c>
      <c r="AF84" s="10" t="str">
        <f>"(1.675)"</f>
        <v>(1.675)</v>
      </c>
      <c r="AG84" s="10" t="str">
        <f>"(1.954)"</f>
        <v>(1.954)</v>
      </c>
      <c r="AH84" s="10" t="str">
        <f>"(2.035)"</f>
        <v>(2.035)</v>
      </c>
      <c r="AI84" s="10" t="str">
        <f>""</f>
        <v/>
      </c>
      <c r="AJ84" s="10" t="str">
        <f>""</f>
        <v/>
      </c>
      <c r="AK84" s="10" t="str">
        <f>""</f>
        <v/>
      </c>
      <c r="AL84" s="10" t="str">
        <f>"(1.96)"</f>
        <v>(1.96)</v>
      </c>
      <c r="AM84" s="10" t="str">
        <f>"(2.404)"</f>
        <v>(2.404)</v>
      </c>
      <c r="AN84" s="10" t="str">
        <f>"(2.093)"</f>
        <v>(2.093)</v>
      </c>
    </row>
    <row r="85" spans="1:40">
      <c r="A85" s="10" t="str">
        <f>"lnmw"</f>
        <v>lnmw</v>
      </c>
      <c r="B85" s="10" t="str">
        <f>""</f>
        <v/>
      </c>
      <c r="C85" s="10" t="str">
        <f>""</f>
        <v/>
      </c>
      <c r="D85" s="10" t="str">
        <f>""</f>
        <v/>
      </c>
      <c r="E85" s="10" t="str">
        <f>""</f>
        <v/>
      </c>
      <c r="F85" s="10" t="str">
        <f>""</f>
        <v/>
      </c>
      <c r="G85" s="10" t="str">
        <f>""</f>
        <v/>
      </c>
      <c r="H85" s="10" t="str">
        <f>""</f>
        <v/>
      </c>
      <c r="I85" s="10" t="str">
        <f>""</f>
        <v/>
      </c>
      <c r="J85" s="10" t="str">
        <f>""</f>
        <v/>
      </c>
      <c r="K85" s="10" t="str">
        <f>""</f>
        <v/>
      </c>
      <c r="L85" s="10" t="str">
        <f>""</f>
        <v/>
      </c>
      <c r="M85" s="10" t="str">
        <f>""</f>
        <v/>
      </c>
      <c r="N85" s="10" t="str">
        <f>""</f>
        <v/>
      </c>
      <c r="O85" s="10" t="str">
        <f>""</f>
        <v/>
      </c>
      <c r="P85" s="10" t="str">
        <f>""</f>
        <v/>
      </c>
      <c r="Q85" s="10" t="str">
        <f>""</f>
        <v/>
      </c>
      <c r="R85" s="10" t="str">
        <f>""</f>
        <v/>
      </c>
      <c r="S85" s="10" t="str">
        <f>""</f>
        <v/>
      </c>
      <c r="T85" s="10" t="str">
        <f>""</f>
        <v/>
      </c>
      <c r="U85" s="10" t="str">
        <f>""</f>
        <v/>
      </c>
      <c r="V85" s="10" t="str">
        <f>""</f>
        <v/>
      </c>
      <c r="W85" s="10" t="str">
        <f>""</f>
        <v/>
      </c>
      <c r="X85" s="10" t="str">
        <f>""</f>
        <v/>
      </c>
      <c r="Y85" s="10" t="str">
        <f>""</f>
        <v/>
      </c>
      <c r="Z85" s="10" t="str">
        <f>""</f>
        <v/>
      </c>
      <c r="AA85" s="10" t="str">
        <f>""</f>
        <v/>
      </c>
      <c r="AB85" s="10" t="str">
        <f>""</f>
        <v/>
      </c>
      <c r="AC85" s="10" t="str">
        <f>""</f>
        <v/>
      </c>
      <c r="AD85" s="10" t="str">
        <f>""</f>
        <v/>
      </c>
      <c r="AE85" s="10" t="str">
        <f>""</f>
        <v/>
      </c>
      <c r="AF85" s="10" t="str">
        <f>""</f>
        <v/>
      </c>
      <c r="AG85" s="10" t="str">
        <f>""</f>
        <v/>
      </c>
      <c r="AH85" s="10" t="str">
        <f>""</f>
        <v/>
      </c>
      <c r="AI85" s="10" t="str">
        <f>".6017***"</f>
        <v>.6017***</v>
      </c>
      <c r="AJ85" s="10" t="str">
        <f>".3251***"</f>
        <v>.3251***</v>
      </c>
      <c r="AK85" s="10" t="str">
        <f>".4234***"</f>
        <v>.4234***</v>
      </c>
      <c r="AL85" s="10" t="str">
        <f>".02554"</f>
        <v>.02554</v>
      </c>
      <c r="AM85" s="10" t="str">
        <f>"-.003035"</f>
        <v>-.003035</v>
      </c>
      <c r="AN85" s="10" t="str">
        <f>"-.06759"</f>
        <v>-.06759</v>
      </c>
    </row>
    <row r="86" spans="1:40">
      <c r="A86" s="10" t="str">
        <f>""</f>
        <v/>
      </c>
      <c r="B86" s="10" t="str">
        <f>""</f>
        <v/>
      </c>
      <c r="C86" s="10" t="str">
        <f>""</f>
        <v/>
      </c>
      <c r="D86" s="10" t="str">
        <f>""</f>
        <v/>
      </c>
      <c r="E86" s="10" t="str">
        <f>""</f>
        <v/>
      </c>
      <c r="F86" s="10" t="str">
        <f>""</f>
        <v/>
      </c>
      <c r="G86" s="10" t="str">
        <f>""</f>
        <v/>
      </c>
      <c r="H86" s="10" t="str">
        <f>""</f>
        <v/>
      </c>
      <c r="I86" s="10" t="str">
        <f>""</f>
        <v/>
      </c>
      <c r="J86" s="10" t="str">
        <f>""</f>
        <v/>
      </c>
      <c r="K86" s="10" t="str">
        <f>""</f>
        <v/>
      </c>
      <c r="L86" s="10" t="str">
        <f>""</f>
        <v/>
      </c>
      <c r="M86" s="10" t="str">
        <f>""</f>
        <v/>
      </c>
      <c r="N86" s="10" t="str">
        <f>""</f>
        <v/>
      </c>
      <c r="O86" s="10" t="str">
        <f>""</f>
        <v/>
      </c>
      <c r="P86" s="10" t="str">
        <f>""</f>
        <v/>
      </c>
      <c r="Q86" s="10" t="str">
        <f>""</f>
        <v/>
      </c>
      <c r="R86" s="10" t="str">
        <f>""</f>
        <v/>
      </c>
      <c r="S86" s="10" t="str">
        <f>""</f>
        <v/>
      </c>
      <c r="T86" s="10" t="str">
        <f>""</f>
        <v/>
      </c>
      <c r="U86" s="10" t="str">
        <f>""</f>
        <v/>
      </c>
      <c r="V86" s="10" t="str">
        <f>""</f>
        <v/>
      </c>
      <c r="W86" s="10" t="str">
        <f>""</f>
        <v/>
      </c>
      <c r="X86" s="10" t="str">
        <f>""</f>
        <v/>
      </c>
      <c r="Y86" s="10" t="str">
        <f>""</f>
        <v/>
      </c>
      <c r="Z86" s="10" t="str">
        <f>""</f>
        <v/>
      </c>
      <c r="AA86" s="10" t="str">
        <f>""</f>
        <v/>
      </c>
      <c r="AB86" s="10" t="str">
        <f>""</f>
        <v/>
      </c>
      <c r="AC86" s="10" t="str">
        <f>""</f>
        <v/>
      </c>
      <c r="AD86" s="10" t="str">
        <f>""</f>
        <v/>
      </c>
      <c r="AE86" s="10" t="str">
        <f>""</f>
        <v/>
      </c>
      <c r="AF86" s="10" t="str">
        <f>""</f>
        <v/>
      </c>
      <c r="AG86" s="10" t="str">
        <f>""</f>
        <v/>
      </c>
      <c r="AH86" s="10" t="str">
        <f>""</f>
        <v/>
      </c>
      <c r="AI86" s="10" t="str">
        <f>"(.1026)"</f>
        <v>(.1026)</v>
      </c>
      <c r="AJ86" s="10" t="str">
        <f>"(.1075)"</f>
        <v>(.1075)</v>
      </c>
      <c r="AK86" s="10" t="str">
        <f>"(.1057)"</f>
        <v>(.1057)</v>
      </c>
      <c r="AL86" s="10" t="str">
        <f>"(.1131)"</f>
        <v>(.1131)</v>
      </c>
      <c r="AM86" s="10" t="str">
        <f>"(.1263)"</f>
        <v>(.1263)</v>
      </c>
      <c r="AN86" s="10" t="str">
        <f>"(.1589)"</f>
        <v>(.1589)</v>
      </c>
    </row>
    <row r="87" spans="1:40">
      <c r="A87" s="10" t="str">
        <f>"coverage"</f>
        <v>coverage</v>
      </c>
      <c r="B87" s="10" t="str">
        <f>""</f>
        <v/>
      </c>
      <c r="C87" s="10" t="str">
        <f>""</f>
        <v/>
      </c>
      <c r="D87" s="10" t="str">
        <f>""</f>
        <v/>
      </c>
      <c r="E87" s="10" t="str">
        <f>""</f>
        <v/>
      </c>
      <c r="F87" s="10" t="str">
        <f>""</f>
        <v/>
      </c>
      <c r="G87" s="10" t="str">
        <f>""</f>
        <v/>
      </c>
      <c r="H87" s="10" t="str">
        <f>""</f>
        <v/>
      </c>
      <c r="I87" s="10" t="str">
        <f>""</f>
        <v/>
      </c>
      <c r="J87" s="10" t="str">
        <f>""</f>
        <v/>
      </c>
      <c r="K87" s="10" t="str">
        <f>""</f>
        <v/>
      </c>
      <c r="L87" s="10" t="str">
        <f>""</f>
        <v/>
      </c>
      <c r="M87" s="10" t="str">
        <f>""</f>
        <v/>
      </c>
      <c r="N87" s="10" t="str">
        <f>""</f>
        <v/>
      </c>
      <c r="O87" s="10" t="str">
        <f>""</f>
        <v/>
      </c>
      <c r="P87" s="10" t="str">
        <f>""</f>
        <v/>
      </c>
      <c r="Q87" s="10" t="str">
        <f>""</f>
        <v/>
      </c>
      <c r="R87" s="10" t="str">
        <f>""</f>
        <v/>
      </c>
      <c r="S87" s="10" t="str">
        <f>""</f>
        <v/>
      </c>
      <c r="T87" s="10" t="str">
        <f>""</f>
        <v/>
      </c>
      <c r="U87" s="10" t="str">
        <f>""</f>
        <v/>
      </c>
      <c r="V87" s="10" t="str">
        <f>""</f>
        <v/>
      </c>
      <c r="W87" s="10" t="str">
        <f>""</f>
        <v/>
      </c>
      <c r="X87" s="10" t="str">
        <f>""</f>
        <v/>
      </c>
      <c r="Y87" s="10" t="str">
        <f>""</f>
        <v/>
      </c>
      <c r="Z87" s="10" t="str">
        <f>""</f>
        <v/>
      </c>
      <c r="AA87" s="10" t="str">
        <f>""</f>
        <v/>
      </c>
      <c r="AB87" s="10" t="str">
        <f>""</f>
        <v/>
      </c>
      <c r="AC87" s="10" t="str">
        <f>""</f>
        <v/>
      </c>
      <c r="AD87" s="10" t="str">
        <f>""</f>
        <v/>
      </c>
      <c r="AE87" s="10" t="str">
        <f>""</f>
        <v/>
      </c>
      <c r="AF87" s="10" t="str">
        <f>""</f>
        <v/>
      </c>
      <c r="AG87" s="10" t="str">
        <f>""</f>
        <v/>
      </c>
      <c r="AH87" s="10" t="str">
        <f>""</f>
        <v/>
      </c>
      <c r="AI87" s="10" t="str">
        <f>"-.4526"</f>
        <v>-.4526</v>
      </c>
      <c r="AJ87" s="10" t="str">
        <f>"-.02032"</f>
        <v>-.02032</v>
      </c>
      <c r="AK87" s="10" t="str">
        <f>"-.02297"</f>
        <v>-.02297</v>
      </c>
      <c r="AL87" s="10" t="str">
        <f>".05567"</f>
        <v>.05567</v>
      </c>
      <c r="AM87" s="10" t="str">
        <f>".306"</f>
        <v>.306</v>
      </c>
      <c r="AN87" s="10" t="str">
        <f>".6509***"</f>
        <v>.6509***</v>
      </c>
    </row>
    <row r="88" spans="1:40">
      <c r="A88" s="10" t="str">
        <f>""</f>
        <v/>
      </c>
      <c r="B88" s="10" t="str">
        <f>""</f>
        <v/>
      </c>
      <c r="C88" s="10" t="str">
        <f>""</f>
        <v/>
      </c>
      <c r="D88" s="10" t="str">
        <f>""</f>
        <v/>
      </c>
      <c r="E88" s="10" t="str">
        <f>""</f>
        <v/>
      </c>
      <c r="F88" s="10" t="str">
        <f>""</f>
        <v/>
      </c>
      <c r="G88" s="10" t="str">
        <f>""</f>
        <v/>
      </c>
      <c r="H88" s="10" t="str">
        <f>""</f>
        <v/>
      </c>
      <c r="I88" s="10" t="str">
        <f>""</f>
        <v/>
      </c>
      <c r="J88" s="10" t="str">
        <f>""</f>
        <v/>
      </c>
      <c r="K88" s="10" t="str">
        <f>""</f>
        <v/>
      </c>
      <c r="L88" s="10" t="str">
        <f>""</f>
        <v/>
      </c>
      <c r="M88" s="10" t="str">
        <f>""</f>
        <v/>
      </c>
      <c r="N88" s="10" t="str">
        <f>""</f>
        <v/>
      </c>
      <c r="O88" s="10" t="str">
        <f>""</f>
        <v/>
      </c>
      <c r="P88" s="10" t="str">
        <f>""</f>
        <v/>
      </c>
      <c r="Q88" s="10" t="str">
        <f>""</f>
        <v/>
      </c>
      <c r="R88" s="10" t="str">
        <f>""</f>
        <v/>
      </c>
      <c r="S88" s="10" t="str">
        <f>""</f>
        <v/>
      </c>
      <c r="T88" s="10" t="str">
        <f>""</f>
        <v/>
      </c>
      <c r="U88" s="10" t="str">
        <f>""</f>
        <v/>
      </c>
      <c r="V88" s="10" t="str">
        <f>""</f>
        <v/>
      </c>
      <c r="W88" s="10" t="str">
        <f>""</f>
        <v/>
      </c>
      <c r="X88" s="10" t="str">
        <f>""</f>
        <v/>
      </c>
      <c r="Y88" s="10" t="str">
        <f>""</f>
        <v/>
      </c>
      <c r="Z88" s="10" t="str">
        <f>""</f>
        <v/>
      </c>
      <c r="AA88" s="10" t="str">
        <f>""</f>
        <v/>
      </c>
      <c r="AB88" s="10" t="str">
        <f>""</f>
        <v/>
      </c>
      <c r="AC88" s="10" t="str">
        <f>""</f>
        <v/>
      </c>
      <c r="AD88" s="10" t="str">
        <f>""</f>
        <v/>
      </c>
      <c r="AE88" s="10" t="str">
        <f>""</f>
        <v/>
      </c>
      <c r="AF88" s="10" t="str">
        <f>""</f>
        <v/>
      </c>
      <c r="AG88" s="10" t="str">
        <f>""</f>
        <v/>
      </c>
      <c r="AH88" s="10" t="str">
        <f>""</f>
        <v/>
      </c>
      <c r="AI88" s="10" t="str">
        <f>"(.3024)"</f>
        <v>(.3024)</v>
      </c>
      <c r="AJ88" s="10" t="str">
        <f>"(.3608)"</f>
        <v>(.3608)</v>
      </c>
      <c r="AK88" s="10" t="str">
        <f>"(.3519)"</f>
        <v>(.3519)</v>
      </c>
      <c r="AL88" s="10" t="str">
        <f>"(.1537)"</f>
        <v>(.1537)</v>
      </c>
      <c r="AM88" s="10" t="str">
        <f>"(.1901)"</f>
        <v>(.1901)</v>
      </c>
      <c r="AN88" s="10" t="str">
        <f>"(.2457)"</f>
        <v>(.2457)</v>
      </c>
    </row>
    <row r="90" spans="1:40">
      <c r="A90" s="10" t="str">
        <f>"Division-CZ dummies"</f>
        <v>Division-CZ dummies</v>
      </c>
      <c r="B90" s="10" t="str">
        <f>"No"</f>
        <v>No</v>
      </c>
      <c r="C90" s="10" t="str">
        <f>"Yes"</f>
        <v>Yes</v>
      </c>
      <c r="D90" s="10" t="str">
        <f>"Yes"</f>
        <v>Yes</v>
      </c>
      <c r="E90" s="10" t="str">
        <f>"No"</f>
        <v>No</v>
      </c>
      <c r="F90" s="10" t="str">
        <f>"Yes"</f>
        <v>Yes</v>
      </c>
      <c r="G90" s="10" t="str">
        <f>"Yes"</f>
        <v>Yes</v>
      </c>
      <c r="H90" s="10" t="str">
        <f>"No"</f>
        <v>No</v>
      </c>
      <c r="I90" s="10" t="str">
        <f>"Yes"</f>
        <v>Yes</v>
      </c>
      <c r="J90" s="10" t="str">
        <f>"Yes"</f>
        <v>Yes</v>
      </c>
      <c r="K90" s="10" t="str">
        <f>"No"</f>
        <v>No</v>
      </c>
      <c r="L90" s="10" t="str">
        <f>"Yes"</f>
        <v>Yes</v>
      </c>
      <c r="M90" s="10" t="str">
        <f>"Yes"</f>
        <v>Yes</v>
      </c>
      <c r="N90" s="10" t="str">
        <f>"No"</f>
        <v>No</v>
      </c>
      <c r="O90" s="10" t="str">
        <f>"Yes"</f>
        <v>Yes</v>
      </c>
      <c r="P90" s="10" t="str">
        <f>"Yes"</f>
        <v>Yes</v>
      </c>
      <c r="Q90" s="10" t="str">
        <f>"No"</f>
        <v>No</v>
      </c>
      <c r="R90" s="10" t="str">
        <f>"Yes"</f>
        <v>Yes</v>
      </c>
      <c r="S90" s="10" t="str">
        <f>"Yes"</f>
        <v>Yes</v>
      </c>
      <c r="T90" s="10" t="str">
        <f>"No"</f>
        <v>No</v>
      </c>
      <c r="U90" s="10" t="str">
        <f>"Yes"</f>
        <v>Yes</v>
      </c>
      <c r="V90" s="10" t="str">
        <f>"Yes"</f>
        <v>Yes</v>
      </c>
      <c r="W90" s="10" t="str">
        <f>"No"</f>
        <v>No</v>
      </c>
      <c r="X90" s="10" t="str">
        <f>"Yes"</f>
        <v>Yes</v>
      </c>
      <c r="Y90" s="10" t="str">
        <f>"Yes"</f>
        <v>Yes</v>
      </c>
      <c r="Z90" s="10" t="str">
        <f>"No"</f>
        <v>No</v>
      </c>
      <c r="AA90" s="10" t="str">
        <f>"Yes"</f>
        <v>Yes</v>
      </c>
      <c r="AB90" s="10" t="str">
        <f>"Yes"</f>
        <v>Yes</v>
      </c>
      <c r="AC90" s="10" t="str">
        <f>"No"</f>
        <v>No</v>
      </c>
      <c r="AD90" s="10" t="str">
        <f>"Yes"</f>
        <v>Yes</v>
      </c>
      <c r="AE90" s="10" t="str">
        <f>"Yes"</f>
        <v>Yes</v>
      </c>
      <c r="AF90" s="10" t="str">
        <f>"No"</f>
        <v>No</v>
      </c>
      <c r="AG90" s="10" t="str">
        <f>"Yes"</f>
        <v>Yes</v>
      </c>
      <c r="AH90" s="10" t="str">
        <f>"Yes"</f>
        <v>Yes</v>
      </c>
      <c r="AI90" s="10" t="str">
        <f>"No"</f>
        <v>No</v>
      </c>
      <c r="AJ90" s="10" t="str">
        <f>"Yes"</f>
        <v>Yes</v>
      </c>
      <c r="AK90" s="10" t="str">
        <f>"Yes"</f>
        <v>Yes</v>
      </c>
      <c r="AL90" s="10" t="str">
        <f>"No"</f>
        <v>No</v>
      </c>
      <c r="AM90" s="10" t="str">
        <f>"Yes"</f>
        <v>Yes</v>
      </c>
      <c r="AN90" s="10" t="str">
        <f>"Yes"</f>
        <v>Yes</v>
      </c>
    </row>
    <row r="91" spans="1:40">
      <c r="A91" s="10" t="str">
        <f>"Region dummies"</f>
        <v>Region dummies</v>
      </c>
      <c r="B91" s="10" t="str">
        <f>"No"</f>
        <v>No</v>
      </c>
      <c r="C91" s="10" t="str">
        <f>"No"</f>
        <v>No</v>
      </c>
      <c r="D91" s="10" t="str">
        <f>"Yes"</f>
        <v>Yes</v>
      </c>
      <c r="E91" s="10" t="str">
        <f>"No"</f>
        <v>No</v>
      </c>
      <c r="F91" s="10" t="str">
        <f>"No"</f>
        <v>No</v>
      </c>
      <c r="G91" s="10" t="str">
        <f>"Yes"</f>
        <v>Yes</v>
      </c>
      <c r="H91" s="10" t="str">
        <f>"No"</f>
        <v>No</v>
      </c>
      <c r="I91" s="10" t="str">
        <f>"No"</f>
        <v>No</v>
      </c>
      <c r="J91" s="10" t="str">
        <f>"Yes"</f>
        <v>Yes</v>
      </c>
      <c r="K91" s="10" t="str">
        <f>"No"</f>
        <v>No</v>
      </c>
      <c r="L91" s="10" t="str">
        <f>"No"</f>
        <v>No</v>
      </c>
      <c r="M91" s="10" t="str">
        <f>"Yes"</f>
        <v>Yes</v>
      </c>
      <c r="N91" s="10" t="str">
        <f>"No"</f>
        <v>No</v>
      </c>
      <c r="O91" s="10" t="str">
        <f>"No"</f>
        <v>No</v>
      </c>
      <c r="P91" s="10" t="str">
        <f>"Yes"</f>
        <v>Yes</v>
      </c>
      <c r="Q91" s="10" t="str">
        <f>"No"</f>
        <v>No</v>
      </c>
      <c r="R91" s="10" t="str">
        <f>"No"</f>
        <v>No</v>
      </c>
      <c r="S91" s="10" t="str">
        <f>"Yes"</f>
        <v>Yes</v>
      </c>
      <c r="T91" s="10" t="str">
        <f>"No"</f>
        <v>No</v>
      </c>
      <c r="U91" s="10" t="str">
        <f>"No"</f>
        <v>No</v>
      </c>
      <c r="V91" s="10" t="str">
        <f>"Yes"</f>
        <v>Yes</v>
      </c>
      <c r="W91" s="10" t="str">
        <f>"No"</f>
        <v>No</v>
      </c>
      <c r="X91" s="10" t="str">
        <f>"No"</f>
        <v>No</v>
      </c>
      <c r="Y91" s="10" t="str">
        <f>"Yes"</f>
        <v>Yes</v>
      </c>
      <c r="Z91" s="10" t="str">
        <f>"No"</f>
        <v>No</v>
      </c>
      <c r="AA91" s="10" t="str">
        <f>"No"</f>
        <v>No</v>
      </c>
      <c r="AB91" s="10" t="str">
        <f>"Yes"</f>
        <v>Yes</v>
      </c>
      <c r="AC91" s="10" t="str">
        <f>"No"</f>
        <v>No</v>
      </c>
      <c r="AD91" s="10" t="str">
        <f>"No"</f>
        <v>No</v>
      </c>
      <c r="AE91" s="10" t="str">
        <f>"Yes"</f>
        <v>Yes</v>
      </c>
      <c r="AF91" s="10" t="str">
        <f>"No"</f>
        <v>No</v>
      </c>
      <c r="AG91" s="10" t="str">
        <f>"No"</f>
        <v>No</v>
      </c>
      <c r="AH91" s="10" t="str">
        <f>"Yes"</f>
        <v>Yes</v>
      </c>
      <c r="AI91" s="10" t="str">
        <f>"No"</f>
        <v>No</v>
      </c>
      <c r="AJ91" s="10" t="str">
        <f>"No"</f>
        <v>No</v>
      </c>
      <c r="AK91" s="10" t="str">
        <f>"Yes"</f>
        <v>Yes</v>
      </c>
      <c r="AL91" s="10" t="str">
        <f>"No"</f>
        <v>No</v>
      </c>
      <c r="AM91" s="10" t="str">
        <f>"No"</f>
        <v>No</v>
      </c>
      <c r="AN91" s="10" t="str">
        <f>"Yes"</f>
        <v>Yes</v>
      </c>
    </row>
    <row r="92" spans="1:40">
      <c r="A92" s="10" t="str">
        <f>"N"</f>
        <v>N</v>
      </c>
      <c r="B92" s="170" t="str">
        <f>"60"</f>
        <v>60</v>
      </c>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row>
    <row r="93" spans="1:40">
      <c r="A93" s="10" t="str">
        <f>"r2_a"</f>
        <v>r2_a</v>
      </c>
      <c r="B93" s="10" t="str">
        <f>".7838"</f>
        <v>.7838</v>
      </c>
      <c r="C93" s="10" t="str">
        <f>".8185"</f>
        <v>.8185</v>
      </c>
      <c r="D93" s="10" t="str">
        <f>".8143"</f>
        <v>.8143</v>
      </c>
      <c r="E93" s="10" t="str">
        <f>".7425"</f>
        <v>.7425</v>
      </c>
      <c r="F93" s="10" t="str">
        <f>".7663"</f>
        <v>.7663</v>
      </c>
      <c r="G93" s="10" t="str">
        <f>".7579"</f>
        <v>.7579</v>
      </c>
      <c r="H93" s="10" t="str">
        <f>".241"</f>
        <v>.241</v>
      </c>
      <c r="I93" s="10" t="str">
        <f>".5687"</f>
        <v>.5687</v>
      </c>
      <c r="J93" s="10" t="str">
        <f>".5598"</f>
        <v>.5598</v>
      </c>
      <c r="K93" s="10" t="str">
        <f>".4488"</f>
        <v>.4488</v>
      </c>
      <c r="L93" s="10" t="str">
        <f>".6723"</f>
        <v>.6723</v>
      </c>
      <c r="M93" s="10" t="str">
        <f>".6657"</f>
        <v>.6657</v>
      </c>
      <c r="N93" s="10" t="str">
        <f>".7706"</f>
        <v>.7706</v>
      </c>
      <c r="O93" s="10" t="str">
        <f>".8207"</f>
        <v>.8207</v>
      </c>
      <c r="P93" s="10" t="str">
        <f>".8286"</f>
        <v>.8286</v>
      </c>
      <c r="Q93" s="10" t="str">
        <f>".8147"</f>
        <v>.8147</v>
      </c>
      <c r="R93" s="10" t="str">
        <f>".8357"</f>
        <v>.8357</v>
      </c>
      <c r="S93" s="10" t="str">
        <f>".8369"</f>
        <v>.8369</v>
      </c>
      <c r="T93" s="10" t="str">
        <f>".4109"</f>
        <v>.4109</v>
      </c>
      <c r="U93" s="10" t="str">
        <f>".6893"</f>
        <v>.6893</v>
      </c>
      <c r="V93" s="10" t="str">
        <f>".6955"</f>
        <v>.6955</v>
      </c>
      <c r="W93" s="10" t="str">
        <f>".8092"</f>
        <v>.8092</v>
      </c>
      <c r="X93" s="10" t="str">
        <f>".8317"</f>
        <v>.8317</v>
      </c>
      <c r="Y93" s="10" t="str">
        <f>".8424"</f>
        <v>.8424</v>
      </c>
      <c r="Z93" s="10" t="str">
        <f>".7147"</f>
        <v>.7147</v>
      </c>
      <c r="AA93" s="10" t="str">
        <f>".727"</f>
        <v>.727</v>
      </c>
      <c r="AB93" s="10" t="str">
        <f>".7322"</f>
        <v>.7322</v>
      </c>
      <c r="AC93" s="10" t="str">
        <f>".7343"</f>
        <v>.7343</v>
      </c>
      <c r="AD93" s="10" t="str">
        <f>".7325"</f>
        <v>.7325</v>
      </c>
      <c r="AE93" s="10" t="str">
        <f>".7254"</f>
        <v>.7254</v>
      </c>
      <c r="AF93" s="10" t="str">
        <f>".7433"</f>
        <v>.7433</v>
      </c>
      <c r="AG93" s="10" t="str">
        <f>".7406"</f>
        <v>.7406</v>
      </c>
      <c r="AH93" s="10" t="str">
        <f>".7297"</f>
        <v>.7297</v>
      </c>
      <c r="AI93" s="10" t="str">
        <f>".3213"</f>
        <v>.3213</v>
      </c>
      <c r="AJ93" s="10" t="str">
        <f>".5657"</f>
        <v>.5657</v>
      </c>
      <c r="AK93" s="10" t="str">
        <f>".5699"</f>
        <v>.5699</v>
      </c>
      <c r="AL93" s="10" t="str">
        <f>".736"</f>
        <v>.736</v>
      </c>
      <c r="AM93" s="10" t="str">
        <f>".7524"</f>
        <v>.7524</v>
      </c>
      <c r="AN93" s="10" t="str">
        <f>".7463"</f>
        <v>.7463</v>
      </c>
    </row>
    <row r="94" spans="1:40">
      <c r="A94" s="10" t="str">
        <f>"rmse"</f>
        <v>rmse</v>
      </c>
      <c r="B94" s="10" t="str">
        <f>".04512"</f>
        <v>.04512</v>
      </c>
      <c r="C94" s="10" t="str">
        <f>".04133"</f>
        <v>.04133</v>
      </c>
      <c r="D94" s="10" t="str">
        <f>".04181"</f>
        <v>.04181</v>
      </c>
      <c r="E94" s="10" t="str">
        <f>".04924"</f>
        <v>.04924</v>
      </c>
      <c r="F94" s="10" t="str">
        <f>".0469"</f>
        <v>.0469</v>
      </c>
      <c r="G94" s="10" t="str">
        <f>".04774"</f>
        <v>.04774</v>
      </c>
      <c r="H94" s="10" t="str">
        <f>".08453"</f>
        <v>.08453</v>
      </c>
      <c r="I94" s="10" t="str">
        <f>".06372"</f>
        <v>.06372</v>
      </c>
      <c r="J94" s="10" t="str">
        <f>".06437"</f>
        <v>.06437</v>
      </c>
      <c r="K94" s="10" t="str">
        <f>".07204"</f>
        <v>.07204</v>
      </c>
      <c r="L94" s="10" t="str">
        <f>".05555"</f>
        <v>.05555</v>
      </c>
      <c r="M94" s="10" t="str">
        <f>".0561"</f>
        <v>.0561</v>
      </c>
      <c r="N94" s="10" t="str">
        <f>".04647"</f>
        <v>.04647</v>
      </c>
      <c r="O94" s="10" t="str">
        <f>".04108"</f>
        <v>.04108</v>
      </c>
      <c r="P94" s="10" t="str">
        <f>".04018"</f>
        <v>.04018</v>
      </c>
      <c r="Q94" s="10" t="str">
        <f>".04177"</f>
        <v>.04177</v>
      </c>
      <c r="R94" s="10" t="str">
        <f>".03933"</f>
        <v>.03933</v>
      </c>
      <c r="S94" s="10" t="str">
        <f>".03919"</f>
        <v>.03919</v>
      </c>
      <c r="T94" s="10" t="str">
        <f>".07447"</f>
        <v>.07447</v>
      </c>
      <c r="U94" s="10" t="str">
        <f>".05408"</f>
        <v>.05408</v>
      </c>
      <c r="V94" s="10" t="str">
        <f>".05354"</f>
        <v>.05354</v>
      </c>
      <c r="W94" s="10" t="str">
        <f>".04238"</f>
        <v>.04238</v>
      </c>
      <c r="X94" s="10" t="str">
        <f>".03981"</f>
        <v>.03981</v>
      </c>
      <c r="Y94" s="10" t="str">
        <f>".03852"</f>
        <v>.03852</v>
      </c>
      <c r="Z94" s="10" t="str">
        <f>".05182"</f>
        <v>.05182</v>
      </c>
      <c r="AA94" s="10" t="str">
        <f>".0507"</f>
        <v>.0507</v>
      </c>
      <c r="AB94" s="10" t="str">
        <f>".05021"</f>
        <v>.05021</v>
      </c>
      <c r="AC94" s="10" t="str">
        <f>".05002"</f>
        <v>.05002</v>
      </c>
      <c r="AD94" s="10" t="str">
        <f>".05019"</f>
        <v>.05019</v>
      </c>
      <c r="AE94" s="10" t="str">
        <f>".05084"</f>
        <v>.05084</v>
      </c>
      <c r="AF94" s="10" t="str">
        <f>".04916"</f>
        <v>.04916</v>
      </c>
      <c r="AG94" s="10" t="str">
        <f>".04941"</f>
        <v>.04941</v>
      </c>
      <c r="AH94" s="10" t="str">
        <f>".05044"</f>
        <v>.05044</v>
      </c>
      <c r="AI94" s="10" t="str">
        <f>".07994"</f>
        <v>.07994</v>
      </c>
      <c r="AJ94" s="10" t="str">
        <f>".06394"</f>
        <v>.06394</v>
      </c>
      <c r="AK94" s="10" t="str">
        <f>".06363"</f>
        <v>.06363</v>
      </c>
      <c r="AL94" s="10" t="str">
        <f>".04985"</f>
        <v>.04985</v>
      </c>
      <c r="AM94" s="10" t="str">
        <f>".04828"</f>
        <v>.04828</v>
      </c>
      <c r="AN94" s="10" t="str">
        <f>".04887"</f>
        <v>.04887</v>
      </c>
    </row>
  </sheetData>
  <mergeCells count="6">
    <mergeCell ref="B92:AN92"/>
    <mergeCell ref="B3:AN3"/>
    <mergeCell ref="B28:AN28"/>
    <mergeCell ref="B36:AN36"/>
    <mergeCell ref="B59:AN59"/>
    <mergeCell ref="B67:AN67"/>
  </mergeCells>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8"/>
  <sheetViews>
    <sheetView zoomScale="85" zoomScaleNormal="85" workbookViewId="0">
      <selection activeCell="H37" sqref="H37"/>
    </sheetView>
  </sheetViews>
  <sheetFormatPr baseColWidth="10" defaultColWidth="8.83203125" defaultRowHeight="15"/>
  <cols>
    <col min="1" max="1" width="39.5" customWidth="1"/>
    <col min="2" max="5" width="20.5" customWidth="1"/>
  </cols>
  <sheetData>
    <row r="1" spans="1:5">
      <c r="A1" t="s">
        <v>123</v>
      </c>
    </row>
    <row r="3" spans="1:5">
      <c r="B3" s="168" t="s">
        <v>124</v>
      </c>
      <c r="C3" s="168"/>
      <c r="D3" s="168" t="s">
        <v>125</v>
      </c>
      <c r="E3" s="168"/>
    </row>
    <row r="4" spans="1:5">
      <c r="A4" s="1" t="str">
        <f>""</f>
        <v/>
      </c>
      <c r="B4" s="1" t="str">
        <f>"(1)"</f>
        <v>(1)</v>
      </c>
      <c r="C4" s="1" t="str">
        <f>"(2)"</f>
        <v>(2)</v>
      </c>
      <c r="D4" s="1" t="str">
        <f>"(3)"</f>
        <v>(3)</v>
      </c>
      <c r="E4" s="1" t="str">
        <f>"(4)"</f>
        <v>(4)</v>
      </c>
    </row>
    <row r="5" spans="1:5">
      <c r="A5" s="3"/>
      <c r="B5" s="1"/>
      <c r="C5" s="1"/>
      <c r="D5" s="1"/>
      <c r="E5" s="1"/>
    </row>
    <row r="6" spans="1:5">
      <c r="A6" s="3" t="s">
        <v>126</v>
      </c>
      <c r="B6" s="1" t="s">
        <v>127</v>
      </c>
      <c r="C6" s="1" t="s">
        <v>128</v>
      </c>
      <c r="D6" s="1" t="s">
        <v>129</v>
      </c>
      <c r="E6" s="1" t="s">
        <v>130</v>
      </c>
    </row>
    <row r="7" spans="1:5">
      <c r="A7" s="3" t="s">
        <v>131</v>
      </c>
      <c r="B7" s="1" t="s">
        <v>132</v>
      </c>
      <c r="C7" s="1" t="s">
        <v>133</v>
      </c>
      <c r="D7" s="1" t="s">
        <v>134</v>
      </c>
      <c r="E7" s="1" t="s">
        <v>135</v>
      </c>
    </row>
    <row r="8" spans="1:5">
      <c r="A8" s="3"/>
      <c r="B8" s="1"/>
      <c r="C8" s="1"/>
      <c r="D8" s="1"/>
      <c r="E8" s="1"/>
    </row>
    <row r="9" spans="1:5">
      <c r="A9" s="3" t="s">
        <v>136</v>
      </c>
      <c r="B9" s="1" t="s">
        <v>137</v>
      </c>
      <c r="C9" s="1" t="s">
        <v>138</v>
      </c>
      <c r="D9" s="1" t="s">
        <v>139</v>
      </c>
      <c r="E9" s="1" t="s">
        <v>140</v>
      </c>
    </row>
    <row r="10" spans="1:5">
      <c r="A10" s="3" t="s">
        <v>131</v>
      </c>
      <c r="B10" s="1" t="s">
        <v>141</v>
      </c>
      <c r="C10" s="1" t="s">
        <v>142</v>
      </c>
      <c r="D10" s="1" t="s">
        <v>143</v>
      </c>
      <c r="E10" s="1" t="s">
        <v>144</v>
      </c>
    </row>
    <row r="11" spans="1:5">
      <c r="A11" s="3"/>
      <c r="B11" s="1"/>
      <c r="C11" s="1"/>
      <c r="D11" s="1"/>
      <c r="E11" s="1"/>
    </row>
    <row r="12" spans="1:5">
      <c r="A12" s="3" t="s">
        <v>92</v>
      </c>
      <c r="B12" s="1" t="s">
        <v>145</v>
      </c>
      <c r="C12" s="1" t="s">
        <v>146</v>
      </c>
      <c r="D12" s="1" t="s">
        <v>147</v>
      </c>
      <c r="E12" s="1" t="s">
        <v>148</v>
      </c>
    </row>
    <row r="13" spans="1:5">
      <c r="A13" s="3" t="s">
        <v>149</v>
      </c>
      <c r="B13" s="168" t="str">
        <f>"-0.00216"</f>
        <v>-0.00216</v>
      </c>
      <c r="C13" s="168"/>
      <c r="D13" s="168" t="str">
        <f>"0.000574"</f>
        <v>0.000574</v>
      </c>
      <c r="E13" s="168"/>
    </row>
    <row r="14" spans="1:5">
      <c r="A14" s="3" t="s">
        <v>93</v>
      </c>
      <c r="B14" s="168" t="str">
        <f>"0.168"</f>
        <v>0.168</v>
      </c>
      <c r="C14" s="168"/>
      <c r="D14" s="168" t="str">
        <f>"0.175"</f>
        <v>0.175</v>
      </c>
      <c r="E14" s="168"/>
    </row>
    <row r="15" spans="1:5">
      <c r="A15" s="3" t="s">
        <v>150</v>
      </c>
      <c r="B15" s="168" t="str">
        <f>"8.683"</f>
        <v>8.683</v>
      </c>
      <c r="C15" s="168"/>
      <c r="D15" s="168" t="str">
        <f>"11.92"</f>
        <v>11.92</v>
      </c>
      <c r="E15" s="168"/>
    </row>
    <row r="16" spans="1:5">
      <c r="A16" s="3" t="s">
        <v>151</v>
      </c>
      <c r="B16" s="168" t="str">
        <f>"7.180"</f>
        <v>7.180</v>
      </c>
      <c r="C16" s="168"/>
      <c r="D16" s="168" t="str">
        <f>"8.759"</f>
        <v>8.759</v>
      </c>
      <c r="E16" s="168"/>
    </row>
    <row r="17" spans="1:5">
      <c r="A17" s="3"/>
    </row>
    <row r="18" spans="1:5">
      <c r="A18" s="3" t="str">
        <f>"Number of person-quarter observations"</f>
        <v>Number of person-quarter observations</v>
      </c>
      <c r="B18" s="171">
        <f>89760000</f>
        <v>89760000</v>
      </c>
      <c r="C18" s="171"/>
      <c r="D18" s="171">
        <v>421800000</v>
      </c>
      <c r="E18" s="171"/>
    </row>
  </sheetData>
  <mergeCells count="12">
    <mergeCell ref="B15:C15"/>
    <mergeCell ref="D15:E15"/>
    <mergeCell ref="B16:C16"/>
    <mergeCell ref="D16:E16"/>
    <mergeCell ref="B18:C18"/>
    <mergeCell ref="D18:E18"/>
    <mergeCell ref="B3:C3"/>
    <mergeCell ref="D3:E3"/>
    <mergeCell ref="B13:C13"/>
    <mergeCell ref="D13:E13"/>
    <mergeCell ref="B14:C14"/>
    <mergeCell ref="D14:E14"/>
  </mergeCells>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9"/>
  <sheetViews>
    <sheetView zoomScaleNormal="100" workbookViewId="0">
      <selection activeCell="D7" sqref="D7"/>
    </sheetView>
  </sheetViews>
  <sheetFormatPr baseColWidth="10" defaultColWidth="8.83203125" defaultRowHeight="15"/>
  <cols>
    <col min="1" max="1" width="27.5" bestFit="1" customWidth="1"/>
    <col min="2" max="2" width="12.6640625" bestFit="1" customWidth="1"/>
    <col min="3" max="3" width="13.5" customWidth="1"/>
    <col min="5" max="5" width="10.1640625" bestFit="1" customWidth="1"/>
    <col min="6" max="6" width="12.5" bestFit="1" customWidth="1"/>
  </cols>
  <sheetData>
    <row r="1" spans="1:3">
      <c r="A1" t="s">
        <v>275</v>
      </c>
      <c r="B1" s="1"/>
    </row>
    <row r="2" spans="1:3">
      <c r="B2" s="1"/>
    </row>
    <row r="3" spans="1:3">
      <c r="B3" s="1" t="str">
        <f>"(1)"</f>
        <v>(1)</v>
      </c>
      <c r="C3" s="1" t="str">
        <f>"(2)"</f>
        <v>(2)</v>
      </c>
    </row>
    <row r="4" spans="1:3">
      <c r="A4" t="str">
        <f>""</f>
        <v/>
      </c>
      <c r="B4" s="168" t="str">
        <f>"Sample 1"</f>
        <v>Sample 1</v>
      </c>
      <c r="C4" s="168"/>
    </row>
    <row r="5" spans="1:3">
      <c r="B5" s="1"/>
    </row>
    <row r="6" spans="1:3">
      <c r="A6" t="str">
        <f>""</f>
        <v/>
      </c>
      <c r="B6" s="1" t="s">
        <v>276</v>
      </c>
      <c r="C6" s="1" t="s">
        <v>277</v>
      </c>
    </row>
    <row r="7" spans="1:3">
      <c r="B7" s="1"/>
    </row>
    <row r="8" spans="1:3">
      <c r="A8" t="s">
        <v>278</v>
      </c>
      <c r="B8" s="76" t="str">
        <f>"0.0008717"</f>
        <v>0.0008717</v>
      </c>
    </row>
    <row r="9" spans="1:3">
      <c r="A9" t="s">
        <v>279</v>
      </c>
      <c r="B9" s="76" t="str">
        <f>"0.0005352"</f>
        <v>0.0005352</v>
      </c>
    </row>
    <row r="10" spans="1:3">
      <c r="A10" t="s">
        <v>280</v>
      </c>
      <c r="B10" s="76" t="str">
        <f>"0.00479"</f>
        <v>0.00479</v>
      </c>
    </row>
    <row r="11" spans="1:3">
      <c r="A11" t="s">
        <v>281</v>
      </c>
      <c r="B11" s="1">
        <v>0.32540000000000002</v>
      </c>
    </row>
    <row r="12" spans="1:3">
      <c r="A12" t="s">
        <v>282</v>
      </c>
      <c r="B12" s="1">
        <v>0.11700000000000001</v>
      </c>
    </row>
    <row r="13" spans="1:3">
      <c r="A13" t="s">
        <v>283</v>
      </c>
      <c r="B13" s="76">
        <v>8.9039999999999994E-2</v>
      </c>
    </row>
    <row r="14" spans="1:3">
      <c r="A14" t="s">
        <v>284</v>
      </c>
      <c r="B14" s="1">
        <v>0.32600000000000001</v>
      </c>
    </row>
    <row r="15" spans="1:3">
      <c r="A15" t="s">
        <v>285</v>
      </c>
      <c r="B15" s="77">
        <v>1066000000</v>
      </c>
    </row>
    <row r="16" spans="1:3">
      <c r="A16" t="s">
        <v>286</v>
      </c>
      <c r="B16" s="1">
        <v>0.3856</v>
      </c>
      <c r="C16">
        <v>4.5849999999999998E-4</v>
      </c>
    </row>
    <row r="17" spans="1:3">
      <c r="A17" t="s">
        <v>287</v>
      </c>
      <c r="B17" s="1">
        <v>0.13719999999999999</v>
      </c>
      <c r="C17">
        <v>5.7939999999999999E-4</v>
      </c>
    </row>
    <row r="18" spans="1:3">
      <c r="B18" s="1"/>
    </row>
    <row r="19" spans="1:3">
      <c r="A19" t="str">
        <f>"Person-quarter observations"</f>
        <v>Person-quarter observations</v>
      </c>
      <c r="B19" s="171">
        <v>2505000000</v>
      </c>
      <c r="C19" s="171"/>
    </row>
  </sheetData>
  <mergeCells count="2">
    <mergeCell ref="B4:C4"/>
    <mergeCell ref="B19:C19"/>
  </mergeCells>
  <pageMargins left="0.7" right="0.7" top="0.75" bottom="0.75" header="0.51180555555555496" footer="0.51180555555555496"/>
  <pageSetup firstPageNumber="0" orientation="portrait" horizontalDpi="200" verticalDpi="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7"/>
  <sheetViews>
    <sheetView workbookViewId="0">
      <selection activeCell="E18" sqref="E18"/>
    </sheetView>
  </sheetViews>
  <sheetFormatPr baseColWidth="10" defaultColWidth="8.83203125" defaultRowHeight="15"/>
  <cols>
    <col min="2" max="4" width="14.5" style="1" customWidth="1"/>
  </cols>
  <sheetData>
    <row r="1" spans="1:11">
      <c r="A1" t="s">
        <v>241</v>
      </c>
    </row>
    <row r="3" spans="1:11">
      <c r="B3" s="1" t="s">
        <v>242</v>
      </c>
      <c r="C3" s="1" t="s">
        <v>243</v>
      </c>
      <c r="D3" s="1" t="s">
        <v>244</v>
      </c>
      <c r="F3" t="s">
        <v>245</v>
      </c>
    </row>
    <row r="4" spans="1:11">
      <c r="B4" s="3" t="s">
        <v>246</v>
      </c>
      <c r="C4" s="1">
        <v>0.40600000000000014</v>
      </c>
      <c r="D4" s="1">
        <v>7.7710000000000029E-2</v>
      </c>
    </row>
    <row r="5" spans="1:11">
      <c r="B5" s="3" t="s">
        <v>247</v>
      </c>
      <c r="C5" s="1">
        <v>0.27400000000000008</v>
      </c>
      <c r="D5" s="1">
        <v>4.2630000000000015E-2</v>
      </c>
      <c r="F5">
        <f>C5/$C$4</f>
        <v>0.67487684729064035</v>
      </c>
    </row>
    <row r="6" spans="1:11">
      <c r="B6" s="3" t="s">
        <v>248</v>
      </c>
      <c r="C6" s="1">
        <v>4.3980000000000019E-2</v>
      </c>
      <c r="D6" s="1">
        <v>7.6180000000000032E-3</v>
      </c>
      <c r="F6">
        <f t="shared" ref="F6:F14" si="0">C6/$C$4</f>
        <v>0.10832512315270937</v>
      </c>
    </row>
    <row r="7" spans="1:11">
      <c r="B7" s="3" t="s">
        <v>249</v>
      </c>
      <c r="C7" s="1">
        <v>1.8740000000000007E-2</v>
      </c>
      <c r="D7" s="1">
        <v>4.2740000000000018E-3</v>
      </c>
      <c r="F7">
        <f t="shared" si="0"/>
        <v>4.6157635467980296E-2</v>
      </c>
    </row>
    <row r="8" spans="1:11">
      <c r="B8" s="3" t="s">
        <v>250</v>
      </c>
      <c r="C8" s="1">
        <v>4.9160000000000023E-2</v>
      </c>
      <c r="D8" s="1">
        <v>9.3550000000000039E-3</v>
      </c>
      <c r="F8">
        <f t="shared" si="0"/>
        <v>0.12108374384236455</v>
      </c>
      <c r="H8" t="s">
        <v>416</v>
      </c>
      <c r="J8" t="s">
        <v>417</v>
      </c>
      <c r="K8" t="s">
        <v>418</v>
      </c>
    </row>
    <row r="9" spans="1:11">
      <c r="B9" s="3" t="s">
        <v>251</v>
      </c>
      <c r="C9" s="1">
        <v>2.8880000000000013E-2</v>
      </c>
      <c r="D9" s="1">
        <v>1.9080000000000007E-2</v>
      </c>
      <c r="F9">
        <f t="shared" si="0"/>
        <v>7.1133004926108384E-2</v>
      </c>
      <c r="H9">
        <f>C9/(2*C6)</f>
        <v>0.328331059572533</v>
      </c>
      <c r="J9">
        <f>+C9/2</f>
        <v>1.4440000000000007E-2</v>
      </c>
      <c r="K9">
        <f>+J9/SQRT(C5*C6)</f>
        <v>0.13154195717405229</v>
      </c>
    </row>
    <row r="10" spans="1:11">
      <c r="B10" s="3" t="s">
        <v>252</v>
      </c>
      <c r="C10" s="1">
        <v>-1.0060000000000005E-2</v>
      </c>
      <c r="D10" s="1">
        <v>1.8180000000000006E-3</v>
      </c>
      <c r="F10">
        <f t="shared" si="0"/>
        <v>-2.4778325123152714E-2</v>
      </c>
    </row>
    <row r="11" spans="1:11">
      <c r="B11" s="3" t="s">
        <v>253</v>
      </c>
      <c r="C11" s="1">
        <v>0</v>
      </c>
      <c r="D11" s="1">
        <v>0</v>
      </c>
      <c r="F11">
        <f t="shared" si="0"/>
        <v>0</v>
      </c>
    </row>
    <row r="12" spans="1:11">
      <c r="B12" s="3" t="s">
        <v>254</v>
      </c>
      <c r="C12" s="1">
        <v>1.3130000000000006E-3</v>
      </c>
      <c r="D12" s="1">
        <v>1.5130000000000007E-3</v>
      </c>
      <c r="F12">
        <f t="shared" si="0"/>
        <v>3.2339901477832517E-3</v>
      </c>
    </row>
    <row r="13" spans="1:11">
      <c r="B13" s="3" t="s">
        <v>255</v>
      </c>
      <c r="C13" s="1">
        <v>0</v>
      </c>
      <c r="D13" s="1">
        <v>0</v>
      </c>
      <c r="F13">
        <f t="shared" si="0"/>
        <v>0</v>
      </c>
    </row>
    <row r="14" spans="1:11">
      <c r="B14" s="3" t="s">
        <v>256</v>
      </c>
      <c r="C14" s="1">
        <v>0</v>
      </c>
      <c r="D14" s="1">
        <v>0</v>
      </c>
      <c r="F14">
        <f t="shared" si="0"/>
        <v>0</v>
      </c>
    </row>
    <row r="15" spans="1:11">
      <c r="B15" s="3" t="s">
        <v>257</v>
      </c>
      <c r="C15" s="76">
        <v>7.9290000000000038E-3</v>
      </c>
      <c r="D15" s="1">
        <v>1.6620000000000007E-3</v>
      </c>
    </row>
    <row r="16" spans="1:11">
      <c r="F16">
        <f>+SUM(F5:F14)</f>
        <v>1.0000320197044335</v>
      </c>
    </row>
    <row r="17" spans="3:3">
      <c r="C17" s="1">
        <f>C15^0.5</f>
        <v>8.9044932477935004E-2</v>
      </c>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8"/>
  <sheetViews>
    <sheetView zoomScale="85" zoomScaleNormal="85" workbookViewId="0">
      <selection activeCell="B10" sqref="B10"/>
    </sheetView>
  </sheetViews>
  <sheetFormatPr baseColWidth="10" defaultColWidth="9.1640625" defaultRowHeight="15"/>
  <cols>
    <col min="1" max="1" width="41" style="66" customWidth="1"/>
    <col min="2" max="3" width="16.33203125" style="66" customWidth="1"/>
    <col min="4" max="16384" width="9.1640625" style="66"/>
  </cols>
  <sheetData>
    <row r="1" spans="1:3">
      <c r="A1" s="64" t="s">
        <v>217</v>
      </c>
      <c r="B1" s="65"/>
      <c r="C1" s="65"/>
    </row>
    <row r="2" spans="1:3">
      <c r="B2" s="65"/>
      <c r="C2" s="65"/>
    </row>
    <row r="3" spans="1:3">
      <c r="B3" s="172" t="s">
        <v>218</v>
      </c>
      <c r="C3" s="172"/>
    </row>
    <row r="4" spans="1:3">
      <c r="B4" s="65" t="s">
        <v>219</v>
      </c>
      <c r="C4" s="65" t="s">
        <v>239</v>
      </c>
    </row>
    <row r="5" spans="1:3">
      <c r="B5" s="65"/>
      <c r="C5" s="65"/>
    </row>
    <row r="6" spans="1:3">
      <c r="B6" s="67" t="s">
        <v>220</v>
      </c>
      <c r="C6" s="67" t="s">
        <v>220</v>
      </c>
    </row>
    <row r="7" spans="1:3">
      <c r="A7" s="66" t="s">
        <v>221</v>
      </c>
      <c r="B7" s="65">
        <v>0.65259999999999996</v>
      </c>
      <c r="C7" s="65">
        <v>0.1467</v>
      </c>
    </row>
    <row r="8" spans="1:3">
      <c r="A8" s="66" t="s">
        <v>222</v>
      </c>
      <c r="B8" s="68">
        <v>0.64439999999999997</v>
      </c>
      <c r="C8" s="68">
        <v>0.30330000000000001</v>
      </c>
    </row>
    <row r="9" spans="1:3">
      <c r="A9" s="66" t="s">
        <v>223</v>
      </c>
      <c r="B9" s="68">
        <v>0.1166</v>
      </c>
      <c r="C9" s="68">
        <v>0.29260000000000003</v>
      </c>
    </row>
    <row r="10" spans="1:3">
      <c r="A10" s="66" t="s">
        <v>224</v>
      </c>
      <c r="B10" s="68">
        <v>4.2590000000000003E-2</v>
      </c>
      <c r="C10" s="68">
        <v>1.5280000000000001E-3</v>
      </c>
    </row>
    <row r="11" spans="1:3">
      <c r="A11" s="66" t="s">
        <v>225</v>
      </c>
      <c r="B11" s="68">
        <v>0.1265</v>
      </c>
      <c r="C11" s="68"/>
    </row>
    <row r="12" spans="1:3">
      <c r="A12" s="66" t="s">
        <v>226</v>
      </c>
      <c r="B12" s="68">
        <v>0.1</v>
      </c>
      <c r="C12" s="68">
        <v>0.38240000000000002</v>
      </c>
    </row>
    <row r="13" spans="1:3">
      <c r="A13" s="66" t="s">
        <v>227</v>
      </c>
      <c r="B13" s="68">
        <v>-3.3099999999999997E-2</v>
      </c>
      <c r="C13" s="68">
        <v>9.7990000000000004E-3</v>
      </c>
    </row>
    <row r="14" spans="1:3">
      <c r="A14" s="66" t="s">
        <v>228</v>
      </c>
      <c r="B14" s="68">
        <v>0</v>
      </c>
      <c r="C14" s="68"/>
    </row>
    <row r="15" spans="1:3">
      <c r="A15" s="66" t="s">
        <v>229</v>
      </c>
      <c r="B15" s="68">
        <v>2.885E-3</v>
      </c>
      <c r="C15" s="68">
        <v>1.0370000000000001E-2</v>
      </c>
    </row>
    <row r="16" spans="1:3">
      <c r="A16" s="66" t="s">
        <v>230</v>
      </c>
      <c r="B16" s="68">
        <v>0</v>
      </c>
      <c r="C16" s="68"/>
    </row>
    <row r="17" spans="1:3">
      <c r="A17" s="66" t="s">
        <v>231</v>
      </c>
      <c r="B17" s="68">
        <v>1.8599999999999999E-4</v>
      </c>
      <c r="C17" s="68"/>
    </row>
    <row r="18" spans="1:3">
      <c r="A18" s="66" t="str">
        <f>"Number of Person-quarter observations"</f>
        <v>Number of Person-quarter observations</v>
      </c>
      <c r="B18" s="173">
        <v>2523000000</v>
      </c>
      <c r="C18" s="173"/>
    </row>
    <row r="23" spans="1:3">
      <c r="A23" s="66" t="s">
        <v>232</v>
      </c>
      <c r="B23" s="69">
        <f>+B8+B9+B10+B11</f>
        <v>0.93009000000000008</v>
      </c>
    </row>
    <row r="24" spans="1:3">
      <c r="A24" s="66" t="s">
        <v>233</v>
      </c>
      <c r="B24" s="69">
        <f>+SUM(B12:B17)</f>
        <v>6.9971000000000019E-2</v>
      </c>
    </row>
    <row r="26" spans="1:3">
      <c r="A26" s="66" t="s">
        <v>234</v>
      </c>
      <c r="B26" s="66">
        <f>+B12/(2*B9)</f>
        <v>0.42881646655231564</v>
      </c>
    </row>
    <row r="28" spans="1:3">
      <c r="A28" s="66" t="s">
        <v>235</v>
      </c>
      <c r="B28" s="66">
        <f>+B12/(2*SQRT(B8*B9))</f>
        <v>0.18240761429379052</v>
      </c>
    </row>
  </sheetData>
  <mergeCells count="2">
    <mergeCell ref="B3:C3"/>
    <mergeCell ref="B18:C18"/>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AB33-8CCC-4A4C-A887-5F9A3B6D5282}">
  <dimension ref="A1:M72"/>
  <sheetViews>
    <sheetView topLeftCell="A5" workbookViewId="0">
      <selection activeCell="I56" sqref="I56"/>
    </sheetView>
  </sheetViews>
  <sheetFormatPr baseColWidth="10" defaultRowHeight="16"/>
  <cols>
    <col min="1" max="16384" width="10.83203125" style="127"/>
  </cols>
  <sheetData>
    <row r="1" spans="1:13">
      <c r="A1" t="s">
        <v>296</v>
      </c>
      <c r="B1" t="s">
        <v>299</v>
      </c>
      <c r="C1" t="s">
        <v>390</v>
      </c>
      <c r="D1" t="s">
        <v>389</v>
      </c>
      <c r="E1" t="s">
        <v>297</v>
      </c>
      <c r="F1" t="s">
        <v>388</v>
      </c>
      <c r="G1" t="s">
        <v>298</v>
      </c>
      <c r="H1" t="s">
        <v>301</v>
      </c>
      <c r="I1" t="s">
        <v>302</v>
      </c>
      <c r="J1" t="s">
        <v>303</v>
      </c>
      <c r="K1" t="s">
        <v>304</v>
      </c>
      <c r="L1" t="s">
        <v>305</v>
      </c>
      <c r="M1" t="s">
        <v>306</v>
      </c>
    </row>
    <row r="2" spans="1:13">
      <c r="A2">
        <v>11</v>
      </c>
      <c r="B2" t="s">
        <v>387</v>
      </c>
      <c r="C2">
        <v>14521500</v>
      </c>
      <c r="D2">
        <v>5.7974317999999999E-3</v>
      </c>
      <c r="E2">
        <v>9.1196379850566398</v>
      </c>
      <c r="F2">
        <v>-0.23639491000000001</v>
      </c>
      <c r="G2">
        <v>0.160019944564955</v>
      </c>
      <c r="H2">
        <v>2.4767909000000001</v>
      </c>
      <c r="I2">
        <v>10.751294</v>
      </c>
      <c r="J2">
        <v>0.25015509000000002</v>
      </c>
      <c r="K2">
        <v>8.7610437999999999E-2</v>
      </c>
      <c r="L2">
        <v>-0.19985279</v>
      </c>
      <c r="M2">
        <v>14362906</v>
      </c>
    </row>
    <row r="3" spans="1:13">
      <c r="A3">
        <v>21</v>
      </c>
      <c r="B3" t="s">
        <v>386</v>
      </c>
      <c r="C3">
        <v>17357000</v>
      </c>
      <c r="D3">
        <v>6.9294511000000001E-3</v>
      </c>
      <c r="E3">
        <v>9.9076928616696396</v>
      </c>
      <c r="F3">
        <v>7.8292206000000003E-2</v>
      </c>
      <c r="G3">
        <v>0.62160186092066605</v>
      </c>
      <c r="H3">
        <v>3.1919909</v>
      </c>
      <c r="I3">
        <v>12.977919999999999</v>
      </c>
      <c r="J3">
        <v>0.13971388000000001</v>
      </c>
      <c r="K3">
        <v>0.62296510000000005</v>
      </c>
      <c r="L3">
        <v>-2.0007470999999999E-2</v>
      </c>
      <c r="M3">
        <v>7220964</v>
      </c>
    </row>
    <row r="4" spans="1:13">
      <c r="A4">
        <v>22</v>
      </c>
      <c r="B4" t="s">
        <v>309</v>
      </c>
      <c r="C4">
        <v>22397000</v>
      </c>
      <c r="D4">
        <v>8.9415750000000002E-3</v>
      </c>
      <c r="E4">
        <v>9.8835471268473398</v>
      </c>
      <c r="F4">
        <v>0.19579440000000001</v>
      </c>
      <c r="G4">
        <v>0.48822169040496499</v>
      </c>
      <c r="H4">
        <v>3.3027666</v>
      </c>
      <c r="I4">
        <v>13.703637000000001</v>
      </c>
      <c r="J4">
        <v>0.22356102</v>
      </c>
      <c r="K4">
        <v>0.60447340999999999</v>
      </c>
      <c r="L4">
        <v>0.10925989999999999</v>
      </c>
      <c r="M4">
        <v>10880466</v>
      </c>
    </row>
    <row r="5" spans="1:13">
      <c r="A5">
        <v>23</v>
      </c>
      <c r="B5" t="s">
        <v>310</v>
      </c>
      <c r="C5">
        <v>128355000</v>
      </c>
      <c r="D5">
        <v>5.1243286999999998E-2</v>
      </c>
      <c r="E5">
        <v>9.4804553542908305</v>
      </c>
      <c r="F5">
        <v>1.8735725000000002E-2</v>
      </c>
      <c r="G5">
        <v>0.25197943983483301</v>
      </c>
      <c r="H5">
        <v>2.8842601999999999</v>
      </c>
      <c r="I5">
        <v>11.975319000000001</v>
      </c>
      <c r="J5">
        <v>9.7480118000000004E-2</v>
      </c>
      <c r="K5">
        <v>0.35374468999999997</v>
      </c>
      <c r="L5">
        <v>-5.8517601000000002E-2</v>
      </c>
      <c r="M5">
        <v>76508740</v>
      </c>
    </row>
    <row r="6" spans="1:13">
      <c r="A6">
        <v>31</v>
      </c>
      <c r="B6" t="s">
        <v>311</v>
      </c>
      <c r="C6">
        <v>301714000</v>
      </c>
      <c r="D6">
        <v>0.12045356</v>
      </c>
      <c r="E6">
        <v>9.4966835247949994</v>
      </c>
      <c r="F6">
        <v>-5.4122380999999997E-2</v>
      </c>
      <c r="G6">
        <v>0.35077907654268597</v>
      </c>
      <c r="H6">
        <v>2.9783086999999999</v>
      </c>
      <c r="I6">
        <v>13.042388000000001</v>
      </c>
      <c r="J6">
        <v>0.2923328</v>
      </c>
      <c r="K6">
        <v>0.37315267000000002</v>
      </c>
      <c r="L6">
        <v>1.6122886999999999E-2</v>
      </c>
      <c r="M6">
        <v>134717657</v>
      </c>
    </row>
    <row r="7" spans="1:13">
      <c r="A7">
        <v>42</v>
      </c>
      <c r="B7" t="s">
        <v>312</v>
      </c>
      <c r="C7">
        <v>130636000</v>
      </c>
      <c r="D7">
        <v>5.2153930000000001E-2</v>
      </c>
      <c r="E7">
        <v>9.5765202241342298</v>
      </c>
      <c r="F7">
        <v>8.0336347000000002E-2</v>
      </c>
      <c r="G7">
        <v>0.29539186058972999</v>
      </c>
      <c r="H7">
        <v>2.9691464999999999</v>
      </c>
      <c r="I7">
        <v>13.229444000000001</v>
      </c>
      <c r="J7">
        <v>0.30545517999999999</v>
      </c>
      <c r="K7">
        <v>0.34781816999999998</v>
      </c>
      <c r="L7">
        <v>3.2295260999999999E-2</v>
      </c>
      <c r="M7">
        <v>33440145</v>
      </c>
    </row>
    <row r="8" spans="1:13">
      <c r="A8">
        <v>44</v>
      </c>
      <c r="B8" t="s">
        <v>313</v>
      </c>
      <c r="C8">
        <v>217762000</v>
      </c>
      <c r="D8">
        <v>8.6937322999999997E-2</v>
      </c>
      <c r="E8">
        <v>9.1359557636318502</v>
      </c>
      <c r="F8">
        <v>-0.15786937000000001</v>
      </c>
      <c r="G8">
        <v>0.107345273821879</v>
      </c>
      <c r="H8">
        <v>2.5829251000000002</v>
      </c>
      <c r="I8">
        <v>12.921856999999999</v>
      </c>
      <c r="J8">
        <v>0.49625352</v>
      </c>
      <c r="K8">
        <v>0.13417928000000001</v>
      </c>
      <c r="L8">
        <v>-0.14028744000000001</v>
      </c>
      <c r="M8">
        <v>142576468</v>
      </c>
    </row>
    <row r="9" spans="1:13">
      <c r="A9">
        <v>48</v>
      </c>
      <c r="B9" t="s">
        <v>314</v>
      </c>
      <c r="C9">
        <v>100640500</v>
      </c>
      <c r="D9">
        <v>4.0178798000000002E-2</v>
      </c>
      <c r="E9">
        <v>9.4009980822829693</v>
      </c>
      <c r="F9">
        <v>-4.5566774999999997E-2</v>
      </c>
      <c r="G9">
        <v>0.24470794362110601</v>
      </c>
      <c r="H9">
        <v>2.8810739999999999</v>
      </c>
      <c r="I9">
        <v>12.773270999999999</v>
      </c>
      <c r="J9">
        <v>0.25708758999999998</v>
      </c>
      <c r="K9">
        <v>0.30663061000000003</v>
      </c>
      <c r="L9">
        <v>-1.4589984E-2</v>
      </c>
      <c r="M9">
        <v>52427096</v>
      </c>
    </row>
    <row r="10" spans="1:13">
      <c r="A10">
        <v>51</v>
      </c>
      <c r="B10" t="s">
        <v>315</v>
      </c>
      <c r="C10">
        <v>65171000</v>
      </c>
      <c r="D10">
        <v>2.6018278999999998E-2</v>
      </c>
      <c r="E10">
        <v>9.7745928557180299</v>
      </c>
      <c r="F10">
        <v>0.18977530000000001</v>
      </c>
      <c r="G10">
        <v>0.38970665019717299</v>
      </c>
      <c r="H10">
        <v>3.1400329999999999</v>
      </c>
      <c r="I10">
        <v>14.506565</v>
      </c>
      <c r="J10">
        <v>0.41156489000000002</v>
      </c>
      <c r="K10">
        <v>0.43130850999999998</v>
      </c>
      <c r="L10">
        <v>0.11969135</v>
      </c>
      <c r="M10">
        <v>26356316</v>
      </c>
    </row>
    <row r="11" spans="1:13">
      <c r="A11">
        <v>52</v>
      </c>
      <c r="B11" t="s">
        <v>316</v>
      </c>
      <c r="C11">
        <v>142134000</v>
      </c>
      <c r="D11">
        <v>5.6744289000000003E-2</v>
      </c>
      <c r="E11">
        <v>9.6926854376855598</v>
      </c>
      <c r="F11">
        <v>0.17488569000000001</v>
      </c>
      <c r="G11">
        <v>0.31782428623693099</v>
      </c>
      <c r="H11">
        <v>3.2271664000000002</v>
      </c>
      <c r="I11">
        <v>14.660404</v>
      </c>
      <c r="J11">
        <v>0.58864439000000002</v>
      </c>
      <c r="K11">
        <v>0.51907389999999998</v>
      </c>
      <c r="L11">
        <v>0.11905921</v>
      </c>
      <c r="M11">
        <v>58418174</v>
      </c>
    </row>
    <row r="12" spans="1:13">
      <c r="A12">
        <v>53</v>
      </c>
      <c r="B12" t="s">
        <v>317</v>
      </c>
      <c r="C12">
        <v>38044000</v>
      </c>
      <c r="D12">
        <v>1.5188340999999999E-2</v>
      </c>
      <c r="E12">
        <v>9.3916468825570405</v>
      </c>
      <c r="F12">
        <v>-2.7557532999999999E-2</v>
      </c>
      <c r="G12">
        <v>0.22311722216381</v>
      </c>
      <c r="H12">
        <v>2.9364994000000002</v>
      </c>
      <c r="I12">
        <v>13.649796</v>
      </c>
      <c r="J12">
        <v>0.46116077999999999</v>
      </c>
      <c r="K12">
        <v>0.29658061000000002</v>
      </c>
      <c r="L12">
        <v>5.0885566E-2</v>
      </c>
      <c r="M12">
        <v>20490365</v>
      </c>
    </row>
    <row r="13" spans="1:13">
      <c r="A13">
        <v>54</v>
      </c>
      <c r="B13" t="s">
        <v>385</v>
      </c>
      <c r="C13">
        <v>188490000</v>
      </c>
      <c r="D13">
        <v>7.5251034999999994E-2</v>
      </c>
      <c r="E13">
        <v>9.7950068491697202</v>
      </c>
      <c r="F13">
        <v>0.27015549</v>
      </c>
      <c r="G13">
        <v>0.32803653138097499</v>
      </c>
      <c r="H13">
        <v>3.3243246000000002</v>
      </c>
      <c r="I13">
        <v>15.553283</v>
      </c>
      <c r="J13">
        <v>0.44785538000000003</v>
      </c>
      <c r="K13">
        <v>0.47749208999999998</v>
      </c>
      <c r="L13">
        <v>0.25779930000000001</v>
      </c>
      <c r="M13">
        <v>79387834</v>
      </c>
    </row>
    <row r="14" spans="1:13">
      <c r="A14">
        <v>55</v>
      </c>
      <c r="B14" t="s">
        <v>384</v>
      </c>
      <c r="C14">
        <v>54190000</v>
      </c>
      <c r="D14">
        <v>2.1634324E-2</v>
      </c>
      <c r="E14">
        <v>9.7210000000000001</v>
      </c>
      <c r="F14">
        <v>0.18473975000000001</v>
      </c>
      <c r="G14">
        <v>0.33679999999999999</v>
      </c>
      <c r="H14">
        <v>3.3686620999999999</v>
      </c>
      <c r="I14">
        <v>14.98748</v>
      </c>
      <c r="J14">
        <v>0.52864074999999999</v>
      </c>
      <c r="K14">
        <v>0.56982100000000002</v>
      </c>
      <c r="L14">
        <v>0.2098082</v>
      </c>
      <c r="M14">
        <v>1236036</v>
      </c>
    </row>
    <row r="15" spans="1:13">
      <c r="A15">
        <v>56</v>
      </c>
      <c r="B15" t="s">
        <v>383</v>
      </c>
      <c r="C15">
        <v>115789000</v>
      </c>
      <c r="D15">
        <v>4.6226549999999998E-2</v>
      </c>
      <c r="E15">
        <v>9.2324616155247892</v>
      </c>
      <c r="F15">
        <v>-0.14208186</v>
      </c>
      <c r="G15">
        <v>0.17968352779624999</v>
      </c>
      <c r="H15">
        <v>2.620158</v>
      </c>
      <c r="I15">
        <v>12.386898</v>
      </c>
      <c r="J15">
        <v>0.39349057999999998</v>
      </c>
      <c r="K15">
        <v>0.14522863999999999</v>
      </c>
      <c r="L15">
        <v>-0.11410385000000001</v>
      </c>
      <c r="M15">
        <v>54007211</v>
      </c>
    </row>
    <row r="16" spans="1:13">
      <c r="A16">
        <v>61</v>
      </c>
      <c r="B16" t="s">
        <v>300</v>
      </c>
      <c r="C16">
        <v>262961000</v>
      </c>
      <c r="D16">
        <v>0.10498216</v>
      </c>
      <c r="E16">
        <v>9.4037704754697398</v>
      </c>
      <c r="F16">
        <v>6.8487816000000007E-2</v>
      </c>
      <c r="G16">
        <v>0.13287123071481999</v>
      </c>
      <c r="H16">
        <v>2.9050805999999998</v>
      </c>
      <c r="I16">
        <v>15.634477</v>
      </c>
      <c r="J16">
        <v>0.69316708999999999</v>
      </c>
      <c r="K16">
        <v>0.16107546</v>
      </c>
      <c r="L16">
        <v>0.15497187000000001</v>
      </c>
      <c r="M16">
        <v>116410348</v>
      </c>
    </row>
    <row r="17" spans="1:13">
      <c r="A17">
        <v>62</v>
      </c>
      <c r="B17" t="s">
        <v>321</v>
      </c>
      <c r="C17">
        <v>366702000</v>
      </c>
      <c r="D17">
        <v>0.14639878000000001</v>
      </c>
      <c r="E17">
        <v>9.3308918386046393</v>
      </c>
      <c r="F17">
        <v>-5.8944006E-2</v>
      </c>
      <c r="G17">
        <v>0.19171803698916201</v>
      </c>
      <c r="H17">
        <v>2.9046671000000002</v>
      </c>
      <c r="I17">
        <v>14.262817</v>
      </c>
      <c r="J17">
        <v>0.78994684999999998</v>
      </c>
      <c r="K17">
        <v>0.29603629999999997</v>
      </c>
      <c r="L17">
        <v>1.9597745E-2</v>
      </c>
      <c r="M17">
        <v>171052779</v>
      </c>
    </row>
    <row r="18" spans="1:13">
      <c r="A18">
        <v>71</v>
      </c>
      <c r="B18" t="s">
        <v>322</v>
      </c>
      <c r="C18">
        <v>28920000</v>
      </c>
      <c r="D18">
        <v>1.1545758999999999E-2</v>
      </c>
      <c r="E18">
        <v>9.2483135200553193</v>
      </c>
      <c r="F18">
        <v>-6.2411043999999999E-2</v>
      </c>
      <c r="G18">
        <v>0.123999136237897</v>
      </c>
      <c r="H18">
        <v>2.6359686999999998</v>
      </c>
      <c r="I18">
        <v>13.47475</v>
      </c>
      <c r="J18">
        <v>0.46327403</v>
      </c>
      <c r="K18">
        <v>0.13642942999999999</v>
      </c>
      <c r="L18">
        <v>-8.9493825999999999E-2</v>
      </c>
      <c r="M18">
        <v>25348528</v>
      </c>
    </row>
    <row r="19" spans="1:13">
      <c r="A19">
        <v>72</v>
      </c>
      <c r="B19" t="s">
        <v>323</v>
      </c>
      <c r="C19">
        <v>105870000</v>
      </c>
      <c r="D19">
        <v>4.2266577E-2</v>
      </c>
      <c r="E19">
        <v>8.9529667516765805</v>
      </c>
      <c r="F19">
        <v>-0.27402799999999999</v>
      </c>
      <c r="G19">
        <v>3.8937392634682003E-2</v>
      </c>
      <c r="H19">
        <v>2.3609095</v>
      </c>
      <c r="I19">
        <v>12.195494</v>
      </c>
      <c r="J19">
        <v>0.52462940999999996</v>
      </c>
      <c r="K19">
        <v>3.8936999E-2</v>
      </c>
      <c r="L19">
        <v>-0.26706081999999998</v>
      </c>
      <c r="M19">
        <v>96377033</v>
      </c>
    </row>
    <row r="20" spans="1:13">
      <c r="A20">
        <v>81</v>
      </c>
      <c r="B20" t="s">
        <v>382</v>
      </c>
      <c r="C20">
        <v>61329000</v>
      </c>
      <c r="D20">
        <v>2.4484433E-2</v>
      </c>
      <c r="E20">
        <v>9.2595723230445603</v>
      </c>
      <c r="F20">
        <v>-7.7182009999999995E-2</v>
      </c>
      <c r="G20">
        <v>0.14395175577622299</v>
      </c>
      <c r="H20">
        <v>2.6437496999999999</v>
      </c>
      <c r="I20">
        <v>13.061143</v>
      </c>
      <c r="J20">
        <v>0.50578469000000004</v>
      </c>
      <c r="K20">
        <v>0.1128398</v>
      </c>
      <c r="L20">
        <v>-5.8123253E-2</v>
      </c>
      <c r="M20">
        <v>50860818</v>
      </c>
    </row>
    <row r="21" spans="1:13">
      <c r="A21">
        <v>92</v>
      </c>
      <c r="B21" t="s">
        <v>324</v>
      </c>
      <c r="C21">
        <v>141833000</v>
      </c>
      <c r="D21">
        <v>5.6624118000000001E-2</v>
      </c>
      <c r="E21">
        <v>9.47100062044799</v>
      </c>
      <c r="F21">
        <v>-1.0014789E-2</v>
      </c>
      <c r="G21">
        <v>0.278932598901525</v>
      </c>
      <c r="H21">
        <v>3.1409856999999999</v>
      </c>
      <c r="I21">
        <v>14.45152</v>
      </c>
      <c r="J21">
        <v>0.43962136000000002</v>
      </c>
      <c r="K21">
        <v>0.42675491999999998</v>
      </c>
      <c r="L21">
        <v>0.12519775</v>
      </c>
      <c r="M21">
        <v>61287032</v>
      </c>
    </row>
    <row r="22" spans="1:13">
      <c r="A22"/>
      <c r="B22" t="s">
        <v>381</v>
      </c>
      <c r="C22"/>
      <c r="D22"/>
      <c r="E22">
        <v>0.220780646660965</v>
      </c>
      <c r="F22">
        <v>0.13721280999999999</v>
      </c>
      <c r="G22">
        <v>0.10443361647175201</v>
      </c>
      <c r="H22">
        <v>0.26453525</v>
      </c>
      <c r="I22">
        <v>1.2213696999999999</v>
      </c>
      <c r="J22">
        <v>0.19657274999999999</v>
      </c>
      <c r="K22">
        <v>0.14892778000000001</v>
      </c>
      <c r="L22">
        <v>0.13770521999999999</v>
      </c>
      <c r="M22"/>
    </row>
    <row r="51" spans="1:13">
      <c r="A51"/>
      <c r="B51"/>
      <c r="C51"/>
      <c r="D51"/>
      <c r="E51"/>
      <c r="F51"/>
      <c r="G51"/>
      <c r="H51"/>
      <c r="I51"/>
      <c r="J51"/>
      <c r="K51"/>
      <c r="L51"/>
      <c r="M51"/>
    </row>
    <row r="52" spans="1:13">
      <c r="A52"/>
      <c r="B52"/>
      <c r="C52"/>
      <c r="D52"/>
      <c r="E52"/>
      <c r="F52"/>
      <c r="G52"/>
      <c r="H52"/>
      <c r="I52"/>
      <c r="J52"/>
      <c r="K52"/>
      <c r="L52"/>
      <c r="M52"/>
    </row>
    <row r="53" spans="1:13">
      <c r="A53"/>
      <c r="B53"/>
      <c r="C53"/>
      <c r="D53"/>
      <c r="E53"/>
      <c r="F53"/>
      <c r="G53"/>
      <c r="H53"/>
      <c r="I53"/>
      <c r="J53"/>
      <c r="K53"/>
      <c r="L53"/>
      <c r="M53"/>
    </row>
    <row r="54" spans="1:13">
      <c r="A54"/>
      <c r="B54"/>
      <c r="C54"/>
      <c r="D54"/>
      <c r="E54"/>
      <c r="F54"/>
      <c r="G54"/>
      <c r="H54"/>
      <c r="I54"/>
      <c r="J54"/>
      <c r="K54"/>
      <c r="L54"/>
      <c r="M54"/>
    </row>
    <row r="55" spans="1:13">
      <c r="A55"/>
      <c r="B55"/>
      <c r="C55"/>
      <c r="D55"/>
      <c r="E55"/>
      <c r="F55"/>
      <c r="G55"/>
      <c r="H55"/>
      <c r="I55"/>
      <c r="J55"/>
      <c r="K55"/>
      <c r="L55"/>
      <c r="M55"/>
    </row>
    <row r="56" spans="1:13">
      <c r="A56"/>
      <c r="B56"/>
      <c r="C56"/>
      <c r="D56"/>
      <c r="E56"/>
      <c r="F56"/>
      <c r="G56"/>
      <c r="H56"/>
      <c r="I56"/>
      <c r="J56"/>
      <c r="K56"/>
      <c r="L56"/>
      <c r="M56"/>
    </row>
    <row r="57" spans="1:13">
      <c r="A57"/>
      <c r="B57"/>
      <c r="C57"/>
      <c r="D57"/>
      <c r="E57"/>
      <c r="F57"/>
      <c r="G57"/>
      <c r="H57"/>
      <c r="I57"/>
      <c r="J57"/>
      <c r="K57"/>
      <c r="L57"/>
      <c r="M57"/>
    </row>
    <row r="58" spans="1:13">
      <c r="A58"/>
      <c r="B58"/>
      <c r="C58"/>
      <c r="D58"/>
      <c r="E58"/>
      <c r="F58"/>
      <c r="G58"/>
      <c r="H58"/>
      <c r="I58"/>
      <c r="J58"/>
      <c r="K58"/>
      <c r="L58"/>
      <c r="M58"/>
    </row>
    <row r="59" spans="1:13">
      <c r="A59"/>
      <c r="B59"/>
      <c r="C59"/>
      <c r="D59"/>
      <c r="E59"/>
      <c r="F59"/>
      <c r="G59"/>
      <c r="H59"/>
      <c r="I59"/>
      <c r="J59"/>
      <c r="K59"/>
      <c r="L59"/>
      <c r="M59"/>
    </row>
    <row r="60" spans="1:13">
      <c r="A60"/>
      <c r="B60"/>
      <c r="C60"/>
      <c r="D60"/>
      <c r="E60"/>
      <c r="F60"/>
      <c r="G60"/>
      <c r="H60"/>
      <c r="I60"/>
      <c r="J60"/>
      <c r="K60"/>
      <c r="L60"/>
      <c r="M60"/>
    </row>
    <row r="61" spans="1:13">
      <c r="A61"/>
      <c r="B61"/>
      <c r="C61"/>
      <c r="D61"/>
      <c r="E61"/>
      <c r="F61"/>
      <c r="G61"/>
      <c r="H61"/>
      <c r="I61"/>
      <c r="J61"/>
      <c r="K61"/>
      <c r="L61"/>
      <c r="M61"/>
    </row>
    <row r="62" spans="1:13">
      <c r="A62"/>
      <c r="B62"/>
      <c r="C62"/>
      <c r="D62"/>
      <c r="E62"/>
      <c r="F62"/>
      <c r="G62"/>
      <c r="H62"/>
      <c r="I62"/>
      <c r="J62"/>
      <c r="K62"/>
      <c r="L62"/>
      <c r="M62"/>
    </row>
    <row r="63" spans="1:13">
      <c r="A63"/>
      <c r="B63"/>
      <c r="C63"/>
      <c r="D63"/>
      <c r="E63"/>
      <c r="F63"/>
      <c r="G63"/>
      <c r="H63"/>
      <c r="I63"/>
      <c r="J63"/>
      <c r="K63"/>
      <c r="L63"/>
      <c r="M63"/>
    </row>
    <row r="64" spans="1:13">
      <c r="A64"/>
      <c r="B64"/>
      <c r="C64"/>
      <c r="D64"/>
      <c r="E64"/>
      <c r="F64"/>
      <c r="G64"/>
      <c r="H64"/>
      <c r="I64"/>
      <c r="J64"/>
      <c r="K64"/>
      <c r="L64"/>
      <c r="M64"/>
    </row>
    <row r="65" spans="1:13">
      <c r="A65"/>
      <c r="B65"/>
      <c r="C65"/>
      <c r="D65"/>
      <c r="E65"/>
      <c r="F65"/>
      <c r="G65"/>
      <c r="H65"/>
      <c r="I65"/>
      <c r="J65"/>
      <c r="K65"/>
      <c r="L65"/>
      <c r="M65"/>
    </row>
    <row r="66" spans="1:13">
      <c r="A66"/>
      <c r="B66"/>
      <c r="C66"/>
      <c r="D66"/>
      <c r="E66"/>
      <c r="F66"/>
      <c r="G66"/>
      <c r="H66"/>
      <c r="I66"/>
      <c r="J66"/>
      <c r="K66"/>
      <c r="L66"/>
      <c r="M66"/>
    </row>
    <row r="67" spans="1:13">
      <c r="A67"/>
      <c r="B67"/>
      <c r="C67"/>
      <c r="D67"/>
      <c r="E67"/>
      <c r="F67"/>
      <c r="G67"/>
      <c r="H67"/>
      <c r="I67"/>
      <c r="J67"/>
      <c r="K67"/>
      <c r="L67"/>
      <c r="M67"/>
    </row>
    <row r="68" spans="1:13">
      <c r="A68"/>
      <c r="B68"/>
      <c r="C68"/>
      <c r="D68"/>
      <c r="E68"/>
      <c r="F68"/>
      <c r="G68"/>
      <c r="H68"/>
      <c r="I68"/>
      <c r="J68"/>
      <c r="K68"/>
      <c r="L68"/>
      <c r="M68"/>
    </row>
    <row r="69" spans="1:13">
      <c r="A69"/>
      <c r="B69"/>
      <c r="C69"/>
      <c r="D69"/>
      <c r="E69"/>
      <c r="F69"/>
      <c r="G69"/>
      <c r="H69"/>
      <c r="I69"/>
      <c r="J69"/>
      <c r="K69"/>
      <c r="L69"/>
      <c r="M69"/>
    </row>
    <row r="70" spans="1:13">
      <c r="A70"/>
      <c r="B70"/>
      <c r="C70"/>
      <c r="D70"/>
      <c r="E70"/>
      <c r="F70"/>
      <c r="G70"/>
      <c r="H70"/>
      <c r="I70"/>
      <c r="J70"/>
      <c r="K70"/>
      <c r="L70"/>
      <c r="M70"/>
    </row>
    <row r="71" spans="1:13">
      <c r="A71"/>
      <c r="B71"/>
      <c r="C71"/>
      <c r="D71"/>
      <c r="E71"/>
      <c r="F71"/>
      <c r="G71"/>
      <c r="H71"/>
      <c r="I71"/>
      <c r="J71"/>
      <c r="K71"/>
      <c r="L71"/>
      <c r="M71"/>
    </row>
    <row r="72" spans="1:13">
      <c r="A72"/>
      <c r="B72"/>
      <c r="C72"/>
      <c r="D72"/>
      <c r="E72"/>
      <c r="F72"/>
      <c r="G72"/>
      <c r="H72"/>
      <c r="I72"/>
      <c r="J72"/>
      <c r="K72"/>
      <c r="L72"/>
      <c r="M72"/>
    </row>
  </sheetData>
  <pageMargins left="0.75" right="0.75" top="1" bottom="1" header="0.5" footer="0.5"/>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874F-3095-BE45-8A02-48736E2F6A9B}">
  <dimension ref="A1:M20"/>
  <sheetViews>
    <sheetView workbookViewId="0">
      <selection activeCell="E52" sqref="E52"/>
    </sheetView>
  </sheetViews>
  <sheetFormatPr baseColWidth="10" defaultRowHeight="16"/>
  <cols>
    <col min="1" max="16384" width="10.83203125" style="127"/>
  </cols>
  <sheetData>
    <row r="1" spans="1:13">
      <c r="A1" t="s">
        <v>295</v>
      </c>
      <c r="B1" t="s">
        <v>299</v>
      </c>
      <c r="C1" t="s">
        <v>390</v>
      </c>
      <c r="D1" t="s">
        <v>389</v>
      </c>
      <c r="E1" t="s">
        <v>297</v>
      </c>
      <c r="F1" t="s">
        <v>388</v>
      </c>
      <c r="G1" t="s">
        <v>298</v>
      </c>
      <c r="H1" t="s">
        <v>301</v>
      </c>
      <c r="I1" t="s">
        <v>302</v>
      </c>
      <c r="J1" t="s">
        <v>303</v>
      </c>
      <c r="K1" t="s">
        <v>304</v>
      </c>
      <c r="L1" t="s">
        <v>305</v>
      </c>
      <c r="M1" t="s">
        <v>306</v>
      </c>
    </row>
    <row r="2" spans="1:13">
      <c r="A2">
        <v>311</v>
      </c>
      <c r="B2" t="s">
        <v>408</v>
      </c>
      <c r="C2">
        <v>38226000</v>
      </c>
      <c r="D2">
        <v>0.12669614000000001</v>
      </c>
      <c r="E2">
        <v>9.2838179249725297</v>
      </c>
      <c r="F2">
        <v>-0.24407361</v>
      </c>
      <c r="G2">
        <v>0.32482624653377201</v>
      </c>
      <c r="H2">
        <v>2.7335424000000001</v>
      </c>
      <c r="I2">
        <v>12.086887000000001</v>
      </c>
      <c r="J2">
        <v>0.37319933999999999</v>
      </c>
      <c r="K2">
        <v>0.27415310999999998</v>
      </c>
      <c r="L2">
        <v>-0.12964386999999999</v>
      </c>
      <c r="M2">
        <v>17295004</v>
      </c>
    </row>
    <row r="3" spans="1:13">
      <c r="A3">
        <v>313</v>
      </c>
      <c r="B3" t="s">
        <v>407</v>
      </c>
      <c r="C3">
        <v>5195000</v>
      </c>
      <c r="D3">
        <v>1.7218293999999999E-2</v>
      </c>
      <c r="E3">
        <v>9.1369249278151994</v>
      </c>
      <c r="F3">
        <v>-0.29171222000000002</v>
      </c>
      <c r="G3">
        <v>0.223044408084696</v>
      </c>
      <c r="H3">
        <v>2.6816656999999999</v>
      </c>
      <c r="I3">
        <v>11.989532000000001</v>
      </c>
      <c r="J3">
        <v>0.43350798000000001</v>
      </c>
      <c r="K3">
        <v>0.22885812999999999</v>
      </c>
      <c r="L3">
        <v>-0.13622570000000001</v>
      </c>
      <c r="M3">
        <v>2277409</v>
      </c>
    </row>
    <row r="4" spans="1:13">
      <c r="A4">
        <v>315</v>
      </c>
      <c r="B4" t="s">
        <v>406</v>
      </c>
      <c r="C4">
        <v>2967000</v>
      </c>
      <c r="D4">
        <v>9.8338164000000006E-3</v>
      </c>
      <c r="E4">
        <v>9.0988958543983802</v>
      </c>
      <c r="F4">
        <v>-0.22897443000000001</v>
      </c>
      <c r="G4">
        <v>0.14662460397708099</v>
      </c>
      <c r="H4">
        <v>2.6062411999999999</v>
      </c>
      <c r="I4">
        <v>11.578188000000001</v>
      </c>
      <c r="J4">
        <v>0.61511457000000003</v>
      </c>
      <c r="K4">
        <v>0.14716404999999999</v>
      </c>
      <c r="L4">
        <v>-0.12995601000000001</v>
      </c>
      <c r="M4">
        <v>2601504</v>
      </c>
    </row>
    <row r="5" spans="1:13">
      <c r="A5">
        <v>321</v>
      </c>
      <c r="B5" t="s">
        <v>405</v>
      </c>
      <c r="C5">
        <v>7963000</v>
      </c>
      <c r="D5">
        <v>2.6392544E-2</v>
      </c>
      <c r="E5">
        <v>9.2031955293231196</v>
      </c>
      <c r="F5">
        <v>-0.22424467000000001</v>
      </c>
      <c r="G5">
        <v>0.21773520030139401</v>
      </c>
      <c r="H5">
        <v>2.6943402000000001</v>
      </c>
      <c r="I5">
        <v>11.928318000000001</v>
      </c>
      <c r="J5">
        <v>0.16122204000000001</v>
      </c>
      <c r="K5">
        <v>0.21257707000000001</v>
      </c>
      <c r="L5">
        <v>-0.10726997000000001</v>
      </c>
      <c r="M5">
        <v>3622780</v>
      </c>
    </row>
    <row r="6" spans="1:13">
      <c r="A6">
        <v>322</v>
      </c>
      <c r="B6" t="s">
        <v>404</v>
      </c>
      <c r="C6">
        <v>10152000</v>
      </c>
      <c r="D6">
        <v>3.3647760999999998E-2</v>
      </c>
      <c r="E6">
        <v>9.5325462962962906</v>
      </c>
      <c r="F6">
        <v>-9.5454684999999997E-2</v>
      </c>
      <c r="G6">
        <v>0.42831863672182802</v>
      </c>
      <c r="H6">
        <v>3.0220148999999998</v>
      </c>
      <c r="I6">
        <v>12.846048</v>
      </c>
      <c r="J6">
        <v>0.24867505000000001</v>
      </c>
      <c r="K6">
        <v>0.43684211000000001</v>
      </c>
      <c r="L6">
        <v>-3.8604476000000001E-3</v>
      </c>
      <c r="M6">
        <v>3497460</v>
      </c>
    </row>
    <row r="7" spans="1:13">
      <c r="A7">
        <v>323</v>
      </c>
      <c r="B7" t="s">
        <v>403</v>
      </c>
      <c r="C7">
        <v>10570000</v>
      </c>
      <c r="D7">
        <v>3.5033177999999998E-2</v>
      </c>
      <c r="E7">
        <v>9.282</v>
      </c>
      <c r="F7">
        <v>-0.12726024999999999</v>
      </c>
      <c r="G7">
        <v>0.21629999999999999</v>
      </c>
      <c r="H7">
        <v>2.8477404000000002</v>
      </c>
      <c r="I7">
        <v>12.888768000000001</v>
      </c>
      <c r="J7">
        <v>0.35081955999999997</v>
      </c>
      <c r="K7">
        <v>0.26059793999999997</v>
      </c>
      <c r="L7">
        <v>-1.8905663000000001E-3</v>
      </c>
      <c r="M7">
        <v>4806987</v>
      </c>
    </row>
    <row r="8" spans="1:13">
      <c r="A8">
        <v>324</v>
      </c>
      <c r="B8" t="s">
        <v>402</v>
      </c>
      <c r="C8">
        <v>3269000</v>
      </c>
      <c r="D8">
        <v>1.0834764E-2</v>
      </c>
      <c r="E8">
        <v>10.050000000000001</v>
      </c>
      <c r="F8">
        <v>0.21973975000000001</v>
      </c>
      <c r="G8">
        <v>0.62139999999999995</v>
      </c>
      <c r="H8">
        <v>3.3867797999999998</v>
      </c>
      <c r="I8">
        <v>13.691822999999999</v>
      </c>
      <c r="J8">
        <v>0.18387558000000001</v>
      </c>
      <c r="K8">
        <v>0.69355416000000003</v>
      </c>
      <c r="L8">
        <v>0.10419235</v>
      </c>
      <c r="M8">
        <v>1826719</v>
      </c>
    </row>
    <row r="9" spans="1:13">
      <c r="A9">
        <v>325</v>
      </c>
      <c r="B9" t="s">
        <v>401</v>
      </c>
      <c r="C9">
        <v>21503000</v>
      </c>
      <c r="D9">
        <v>7.1269481999999995E-2</v>
      </c>
      <c r="E9">
        <v>9.7771005906152606</v>
      </c>
      <c r="F9">
        <v>0.10552467</v>
      </c>
      <c r="G9">
        <v>0.46533688322559602</v>
      </c>
      <c r="H9">
        <v>3.2505882000000001</v>
      </c>
      <c r="I9">
        <v>14.196547000000001</v>
      </c>
      <c r="J9">
        <v>0.35436809000000002</v>
      </c>
      <c r="K9">
        <v>0.51985294000000004</v>
      </c>
      <c r="L9">
        <v>0.14170207000000001</v>
      </c>
      <c r="M9">
        <v>11593645</v>
      </c>
    </row>
    <row r="10" spans="1:13">
      <c r="A10">
        <v>326</v>
      </c>
      <c r="B10" t="s">
        <v>400</v>
      </c>
      <c r="C10">
        <v>16766000</v>
      </c>
      <c r="D10">
        <v>5.5569183000000001E-2</v>
      </c>
      <c r="E10">
        <v>9.3204719074317008</v>
      </c>
      <c r="F10">
        <v>-0.19119857000000001</v>
      </c>
      <c r="G10">
        <v>0.30308083025170002</v>
      </c>
      <c r="H10">
        <v>2.832309</v>
      </c>
      <c r="I10">
        <v>12.539059999999999</v>
      </c>
      <c r="J10">
        <v>0.29301789</v>
      </c>
      <c r="K10">
        <v>0.30486643000000002</v>
      </c>
      <c r="L10">
        <v>-6.1590720000000002E-2</v>
      </c>
      <c r="M10">
        <v>4854441</v>
      </c>
    </row>
    <row r="11" spans="1:13">
      <c r="A11">
        <v>327</v>
      </c>
      <c r="B11" t="s">
        <v>399</v>
      </c>
      <c r="C11">
        <v>9493000</v>
      </c>
      <c r="D11">
        <v>3.1463571000000003E-2</v>
      </c>
      <c r="E11">
        <v>9.4204771937216893</v>
      </c>
      <c r="F11">
        <v>-0.12425814</v>
      </c>
      <c r="G11">
        <v>0.33743567892130999</v>
      </c>
      <c r="H11">
        <v>2.8930769000000001</v>
      </c>
      <c r="I11">
        <v>12.439256</v>
      </c>
      <c r="J11">
        <v>0.19521177000000001</v>
      </c>
      <c r="K11">
        <v>0.33702356</v>
      </c>
      <c r="L11">
        <v>-3.2979823999999998E-2</v>
      </c>
      <c r="M11">
        <v>3661429</v>
      </c>
    </row>
    <row r="12" spans="1:13">
      <c r="A12">
        <v>331</v>
      </c>
      <c r="B12" t="s">
        <v>398</v>
      </c>
      <c r="C12">
        <v>10323000</v>
      </c>
      <c r="D12">
        <v>3.4214522999999997E-2</v>
      </c>
      <c r="E12">
        <v>9.5653830281894798</v>
      </c>
      <c r="F12">
        <v>-0.11686336</v>
      </c>
      <c r="G12">
        <v>0.48025375375375301</v>
      </c>
      <c r="H12">
        <v>2.9863078999999999</v>
      </c>
      <c r="I12">
        <v>12.579591000000001</v>
      </c>
      <c r="J12">
        <v>0.14414537999999999</v>
      </c>
      <c r="K12">
        <v>0.42135846999999998</v>
      </c>
      <c r="L12">
        <v>-2.4083862000000001E-2</v>
      </c>
      <c r="M12">
        <v>4589318</v>
      </c>
    </row>
    <row r="13" spans="1:13">
      <c r="A13">
        <v>332</v>
      </c>
      <c r="B13" t="s">
        <v>397</v>
      </c>
      <c r="C13">
        <v>33973000</v>
      </c>
      <c r="D13">
        <v>0.11260001</v>
      </c>
      <c r="E13">
        <v>9.3863792717746399</v>
      </c>
      <c r="F13">
        <v>-9.51076E-2</v>
      </c>
      <c r="G13">
        <v>0.28310719983516303</v>
      </c>
      <c r="H13">
        <v>2.8808997000000001</v>
      </c>
      <c r="I13">
        <v>12.459981000000001</v>
      </c>
      <c r="J13">
        <v>0.18958170999999999</v>
      </c>
      <c r="K13">
        <v>0.32188016000000003</v>
      </c>
      <c r="L13">
        <v>-3.0013798000000001E-2</v>
      </c>
      <c r="M13">
        <v>10481987</v>
      </c>
    </row>
    <row r="14" spans="1:13">
      <c r="A14">
        <v>333</v>
      </c>
      <c r="B14" t="s">
        <v>396</v>
      </c>
      <c r="C14">
        <v>28393000</v>
      </c>
      <c r="D14">
        <v>9.4105675999999999E-2</v>
      </c>
      <c r="E14">
        <v>9.5432986299439992</v>
      </c>
      <c r="F14">
        <v>-1.0662206000000001E-3</v>
      </c>
      <c r="G14">
        <v>0.34283593491353498</v>
      </c>
      <c r="H14">
        <v>3.0286152</v>
      </c>
      <c r="I14">
        <v>13.240644</v>
      </c>
      <c r="J14">
        <v>0.21565324</v>
      </c>
      <c r="K14">
        <v>0.39938100999999998</v>
      </c>
      <c r="L14">
        <v>4.0200992999999997E-2</v>
      </c>
      <c r="M14">
        <v>10882985</v>
      </c>
    </row>
    <row r="15" spans="1:13">
      <c r="A15">
        <v>334</v>
      </c>
      <c r="B15" t="s">
        <v>395</v>
      </c>
      <c r="C15">
        <v>29113000</v>
      </c>
      <c r="D15">
        <v>9.6492044999999999E-2</v>
      </c>
      <c r="E15">
        <v>9.8614999828255403</v>
      </c>
      <c r="F15">
        <v>0.26058220999999998</v>
      </c>
      <c r="G15">
        <v>0.42112437055610902</v>
      </c>
      <c r="H15">
        <v>3.3579127999999998</v>
      </c>
      <c r="I15">
        <v>14.675952000000001</v>
      </c>
      <c r="J15">
        <v>0.30509478000000001</v>
      </c>
      <c r="K15">
        <v>0.50987136</v>
      </c>
      <c r="L15">
        <v>0.25900835</v>
      </c>
      <c r="M15">
        <v>10639671</v>
      </c>
    </row>
    <row r="16" spans="1:13">
      <c r="A16">
        <v>335</v>
      </c>
      <c r="B16" t="s">
        <v>394</v>
      </c>
      <c r="C16">
        <v>10014000</v>
      </c>
      <c r="D16">
        <v>3.3190373000000002E-2</v>
      </c>
      <c r="E16">
        <v>9.4776483922508508</v>
      </c>
      <c r="F16">
        <v>-6.3004306999999996E-2</v>
      </c>
      <c r="G16">
        <v>0.34009203115638098</v>
      </c>
      <c r="H16">
        <v>3.0094631000000001</v>
      </c>
      <c r="I16">
        <v>13.351645</v>
      </c>
      <c r="J16">
        <v>0.30715373000000001</v>
      </c>
      <c r="K16">
        <v>0.37804138999999998</v>
      </c>
      <c r="L16">
        <v>4.2388741000000001E-2</v>
      </c>
      <c r="M16">
        <v>3778948</v>
      </c>
    </row>
    <row r="17" spans="1:13">
      <c r="A17">
        <v>336</v>
      </c>
      <c r="B17" t="s">
        <v>393</v>
      </c>
      <c r="C17">
        <v>41335000</v>
      </c>
      <c r="D17">
        <v>0.13700060999999999</v>
      </c>
      <c r="E17">
        <v>9.6458606265876394</v>
      </c>
      <c r="F17">
        <v>1.7980328E-2</v>
      </c>
      <c r="G17">
        <v>0.42505104874803401</v>
      </c>
      <c r="H17">
        <v>3.1078600999999999</v>
      </c>
      <c r="I17">
        <v>13.475765000000001</v>
      </c>
      <c r="J17">
        <v>0.24545239999999999</v>
      </c>
      <c r="K17">
        <v>0.45866196999999997</v>
      </c>
      <c r="L17">
        <v>6.0164760999999997E-2</v>
      </c>
      <c r="M17">
        <v>19972105</v>
      </c>
    </row>
    <row r="18" spans="1:13">
      <c r="A18">
        <v>337</v>
      </c>
      <c r="B18" t="s">
        <v>392</v>
      </c>
      <c r="C18">
        <v>8434000</v>
      </c>
      <c r="D18">
        <v>2.7953624999999999E-2</v>
      </c>
      <c r="E18">
        <v>9.1877830211050497</v>
      </c>
      <c r="F18">
        <v>-0.21026665</v>
      </c>
      <c r="G18">
        <v>0.192196300687692</v>
      </c>
      <c r="H18">
        <v>2.7058032000000001</v>
      </c>
      <c r="I18">
        <v>12.062802</v>
      </c>
      <c r="J18">
        <v>0.25625472999999999</v>
      </c>
      <c r="K18">
        <v>0.21595081999999999</v>
      </c>
      <c r="L18">
        <v>-9.9180847000000003E-2</v>
      </c>
      <c r="M18">
        <v>3715303</v>
      </c>
    </row>
    <row r="19" spans="1:13">
      <c r="A19">
        <v>339</v>
      </c>
      <c r="B19" t="s">
        <v>391</v>
      </c>
      <c r="C19">
        <v>14025000</v>
      </c>
      <c r="D19">
        <v>4.6484418E-2</v>
      </c>
      <c r="E19">
        <v>9.42473561497326</v>
      </c>
      <c r="F19">
        <v>-5.4513298000000002E-2</v>
      </c>
      <c r="G19">
        <v>0.28289634224598897</v>
      </c>
      <c r="H19">
        <v>2.9238293</v>
      </c>
      <c r="I19">
        <v>13.095993999999999</v>
      </c>
      <c r="J19">
        <v>0.36675581000000002</v>
      </c>
      <c r="K19">
        <v>0.31435331999999999</v>
      </c>
      <c r="L19">
        <v>2.0442761E-2</v>
      </c>
      <c r="M19">
        <v>14619962</v>
      </c>
    </row>
    <row r="20" spans="1:13">
      <c r="A20"/>
      <c r="B20" t="s">
        <v>381</v>
      </c>
      <c r="C20"/>
      <c r="D20"/>
      <c r="E20">
        <v>0.217876918636591</v>
      </c>
      <c r="F20">
        <v>0.15339325000000001</v>
      </c>
      <c r="G20">
        <v>8.7248245781565301E-2</v>
      </c>
      <c r="H20">
        <v>0.20961527999999999</v>
      </c>
      <c r="I20">
        <v>0.83396530000000002</v>
      </c>
      <c r="J20">
        <v>8.9679687999999994E-2</v>
      </c>
      <c r="K20">
        <v>0.10914908</v>
      </c>
      <c r="L20">
        <v>0.10943841999999999</v>
      </c>
      <c r="M20"/>
    </row>
  </sheetData>
  <pageMargins left="0.75" right="0.75" top="1" bottom="1" header="0.5" footer="0.5"/>
  <pageSetup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F80C-4729-A94A-B49E-1E8D4F6CBAF5}">
  <dimension ref="A1:I20"/>
  <sheetViews>
    <sheetView workbookViewId="0">
      <selection activeCell="A67" sqref="A22:XFD67"/>
    </sheetView>
  </sheetViews>
  <sheetFormatPr baseColWidth="10" defaultRowHeight="16"/>
  <cols>
    <col min="1" max="16384" width="10.83203125" style="127"/>
  </cols>
  <sheetData>
    <row r="1" spans="1:9">
      <c r="A1"/>
      <c r="B1"/>
      <c r="C1"/>
      <c r="D1"/>
      <c r="E1"/>
      <c r="F1"/>
      <c r="G1"/>
      <c r="H1"/>
      <c r="I1"/>
    </row>
    <row r="2" spans="1:9">
      <c r="A2" t="str">
        <f>""</f>
        <v/>
      </c>
      <c r="B2" t="str">
        <f>"(1)"</f>
        <v>(1)</v>
      </c>
      <c r="C2" t="str">
        <f>"(2)"</f>
        <v>(2)</v>
      </c>
      <c r="D2" t="str">
        <f>"(3)"</f>
        <v>(3)</v>
      </c>
      <c r="E2" t="str">
        <f>"(4)"</f>
        <v>(4)</v>
      </c>
      <c r="F2" t="str">
        <f>"(5)"</f>
        <v>(5)</v>
      </c>
      <c r="G2" t="str">
        <f>"(6)"</f>
        <v>(6)</v>
      </c>
      <c r="H2" t="str">
        <f>"(7)"</f>
        <v>(7)</v>
      </c>
      <c r="I2" t="str">
        <f>"(8)"</f>
        <v>(8)</v>
      </c>
    </row>
    <row r="3" spans="1:9">
      <c r="A3" t="str">
        <f>""</f>
        <v/>
      </c>
      <c r="B3" t="str">
        <f>"alpha_j"</f>
        <v>alpha_j</v>
      </c>
      <c r="C3" t="str">
        <f>"psi_j"</f>
        <v>psi_j</v>
      </c>
      <c r="D3" t="str">
        <f>"alpha_j"</f>
        <v>alpha_j</v>
      </c>
      <c r="E3" t="str">
        <f>"alpha"</f>
        <v>alpha</v>
      </c>
      <c r="F3" t="str">
        <f>"alpha"</f>
        <v>alpha</v>
      </c>
      <c r="G3" t="str">
        <f>"alpha"</f>
        <v>alpha</v>
      </c>
      <c r="H3" t="str">
        <f>"alphahat"</f>
        <v>alphahat</v>
      </c>
      <c r="I3" t="str">
        <f>"alphar"</f>
        <v>alphar</v>
      </c>
    </row>
    <row r="4" spans="1:9">
      <c r="A4"/>
      <c r="B4"/>
      <c r="C4"/>
      <c r="D4"/>
      <c r="E4"/>
      <c r="F4"/>
      <c r="G4"/>
      <c r="H4"/>
      <c r="I4"/>
    </row>
    <row r="5" spans="1:9">
      <c r="A5" t="str">
        <f>"y_j"</f>
        <v>y_j</v>
      </c>
      <c r="B5" t="str">
        <f>"0.6185"</f>
        <v>0.6185</v>
      </c>
      <c r="C5" t="str">
        <f>"0.3722"</f>
        <v>0.3722</v>
      </c>
      <c r="D5" t="str">
        <f>""</f>
        <v/>
      </c>
      <c r="E5" t="str">
        <f>""</f>
        <v/>
      </c>
      <c r="F5" t="str">
        <f>""</f>
        <v/>
      </c>
      <c r="G5" t="str">
        <f>""</f>
        <v/>
      </c>
      <c r="H5" t="str">
        <f>""</f>
        <v/>
      </c>
      <c r="I5" t="str">
        <f>""</f>
        <v/>
      </c>
    </row>
    <row r="6" spans="1:9">
      <c r="A6" t="str">
        <f>""</f>
        <v/>
      </c>
      <c r="B6" t="str">
        <f>"(0.0194)"</f>
        <v>(0.0194)</v>
      </c>
      <c r="C6" t="str">
        <f>"(0.0183)"</f>
        <v>(0.0183)</v>
      </c>
      <c r="D6" t="str">
        <f>""</f>
        <v/>
      </c>
      <c r="E6" t="str">
        <f>""</f>
        <v/>
      </c>
      <c r="F6" t="str">
        <f>""</f>
        <v/>
      </c>
      <c r="G6" t="str">
        <f>""</f>
        <v/>
      </c>
      <c r="H6" t="str">
        <f>""</f>
        <v/>
      </c>
      <c r="I6" t="str">
        <f>""</f>
        <v/>
      </c>
    </row>
    <row r="7" spans="1:9">
      <c r="A7"/>
      <c r="B7"/>
      <c r="C7"/>
      <c r="D7"/>
      <c r="E7"/>
      <c r="F7"/>
      <c r="G7"/>
      <c r="H7"/>
      <c r="I7"/>
    </row>
    <row r="8" spans="1:9">
      <c r="A8" t="str">
        <f>"psi_j"</f>
        <v>psi_j</v>
      </c>
      <c r="B8" t="str">
        <f>""</f>
        <v/>
      </c>
      <c r="C8" t="str">
        <f>""</f>
        <v/>
      </c>
      <c r="D8" t="str">
        <f>"0.9012"</f>
        <v>0.9012</v>
      </c>
      <c r="E8" t="str">
        <f>"0.9005"</f>
        <v>0.9005</v>
      </c>
      <c r="F8" t="str">
        <f>""</f>
        <v/>
      </c>
      <c r="G8" t="str">
        <f>"0.3299"</f>
        <v>0.3299</v>
      </c>
      <c r="H8" t="str">
        <f>"0.6587"</f>
        <v>0.6587</v>
      </c>
      <c r="I8" t="str">
        <f>"0.2418"</f>
        <v>0.2418</v>
      </c>
    </row>
    <row r="9" spans="1:9">
      <c r="A9" t="str">
        <f>""</f>
        <v/>
      </c>
      <c r="B9" t="str">
        <f>""</f>
        <v/>
      </c>
      <c r="C9" t="str">
        <f>""</f>
        <v/>
      </c>
      <c r="D9" t="str">
        <f>"(0.1226)"</f>
        <v>(0.1226)</v>
      </c>
      <c r="E9" t="str">
        <f>"(0.1227)"</f>
        <v>(0.1227)</v>
      </c>
      <c r="F9" t="str">
        <f>""</f>
        <v/>
      </c>
      <c r="G9" t="str">
        <f>"(0.0997)"</f>
        <v>(0.0997)</v>
      </c>
      <c r="H9" t="str">
        <f>"(0.1538)"</f>
        <v>(0.1538)</v>
      </c>
      <c r="I9" t="str">
        <f>"(0.0827)"</f>
        <v>(0.0827)</v>
      </c>
    </row>
    <row r="10" spans="1:9">
      <c r="A10"/>
      <c r="B10"/>
      <c r="C10"/>
      <c r="D10"/>
      <c r="E10"/>
      <c r="F10"/>
      <c r="G10"/>
      <c r="H10"/>
      <c r="I10"/>
    </row>
    <row r="11" spans="1:9">
      <c r="A11" t="str">
        <f>"skill_m3"</f>
        <v>skill_m3</v>
      </c>
      <c r="B11" t="str">
        <f>""</f>
        <v/>
      </c>
      <c r="C11" t="str">
        <f>""</f>
        <v/>
      </c>
      <c r="D11" t="str">
        <f>""</f>
        <v/>
      </c>
      <c r="E11" t="str">
        <f>""</f>
        <v/>
      </c>
      <c r="F11" t="str">
        <f>"1.0410"</f>
        <v>1.0410</v>
      </c>
      <c r="G11" t="str">
        <f>"0.9017"</f>
        <v>0.9017</v>
      </c>
      <c r="H11" t="str">
        <f>""</f>
        <v/>
      </c>
      <c r="I11" t="str">
        <f>""</f>
        <v/>
      </c>
    </row>
    <row r="12" spans="1:9">
      <c r="A12" t="str">
        <f>""</f>
        <v/>
      </c>
      <c r="B12" t="str">
        <f>""</f>
        <v/>
      </c>
      <c r="C12" t="str">
        <f>""</f>
        <v/>
      </c>
      <c r="D12" t="str">
        <f>""</f>
        <v/>
      </c>
      <c r="E12" t="str">
        <f>""</f>
        <v/>
      </c>
      <c r="F12" t="str">
        <f>"(0.0698)"</f>
        <v>(0.0698)</v>
      </c>
      <c r="G12" t="str">
        <f>"(0.0838)"</f>
        <v>(0.0838)</v>
      </c>
      <c r="H12" t="str">
        <f>""</f>
        <v/>
      </c>
      <c r="I12" t="str">
        <f>""</f>
        <v/>
      </c>
    </row>
    <row r="13" spans="1:9">
      <c r="A13"/>
      <c r="B13"/>
      <c r="C13"/>
      <c r="D13"/>
      <c r="E13"/>
      <c r="F13"/>
      <c r="G13"/>
      <c r="H13"/>
      <c r="I13"/>
    </row>
    <row r="14" spans="1:9">
      <c r="A14" t="str">
        <f>"_cons"</f>
        <v>_cons</v>
      </c>
      <c r="B14" t="str">
        <f>"3.6212"</f>
        <v>3.6212</v>
      </c>
      <c r="C14" t="str">
        <f>"-3.2754"</f>
        <v>-3.2754</v>
      </c>
      <c r="D14" t="str">
        <f>"9.2440"</f>
        <v>9.2440</v>
      </c>
      <c r="E14" t="str">
        <f>"9.2441"</f>
        <v>9.2441</v>
      </c>
      <c r="F14" t="str">
        <f>"6.4394"</f>
        <v>6.4394</v>
      </c>
      <c r="G14" t="str">
        <f>"6.7653"</f>
        <v>6.7653</v>
      </c>
      <c r="H14" t="str">
        <f>"9.3010"</f>
        <v>9.3010</v>
      </c>
      <c r="I14" t="str">
        <f>"-0.0569"</f>
        <v>-0.0569</v>
      </c>
    </row>
    <row r="15" spans="1:9">
      <c r="A15" t="str">
        <f>""</f>
        <v/>
      </c>
      <c r="B15" t="str">
        <f>"(0.1828)"</f>
        <v>(0.1828)</v>
      </c>
      <c r="C15" t="str">
        <f>"(0.1726)"</f>
        <v>(0.1726)</v>
      </c>
      <c r="D15" t="str">
        <f>"(0.0357)"</f>
        <v>(0.0357)</v>
      </c>
      <c r="E15" t="str">
        <f>"(0.0357)"</f>
        <v>(0.0357)</v>
      </c>
      <c r="F15" t="str">
        <f>"(0.1957)"</f>
        <v>(0.1957)</v>
      </c>
      <c r="G15" t="str">
        <f>"(0.2234)"</f>
        <v>(0.2234)</v>
      </c>
      <c r="H15" t="str">
        <f>"(0.0501)"</f>
        <v>(0.0501)</v>
      </c>
      <c r="I15" t="str">
        <f>"(0.0256)"</f>
        <v>(0.0256)</v>
      </c>
    </row>
    <row r="16" spans="1:9">
      <c r="A16"/>
      <c r="B16"/>
      <c r="C16"/>
      <c r="D16"/>
      <c r="E16"/>
      <c r="F16"/>
      <c r="G16"/>
      <c r="H16"/>
      <c r="I16"/>
    </row>
    <row r="17" spans="1:9">
      <c r="A17" t="str">
        <f>"N"</f>
        <v>N</v>
      </c>
      <c r="B17" t="str">
        <f>"311"</f>
        <v>311</v>
      </c>
      <c r="C17" t="str">
        <f>"311"</f>
        <v>311</v>
      </c>
      <c r="D17" t="str">
        <f>"311"</f>
        <v>311</v>
      </c>
      <c r="E17" t="str">
        <f>"310"</f>
        <v>310</v>
      </c>
      <c r="F17" t="str">
        <f>"310"</f>
        <v>310</v>
      </c>
      <c r="G17" t="str">
        <f>"310"</f>
        <v>310</v>
      </c>
      <c r="H17" t="str">
        <f>"310"</f>
        <v>310</v>
      </c>
      <c r="I17" t="str">
        <f>"310"</f>
        <v>310</v>
      </c>
    </row>
    <row r="18" spans="1:9">
      <c r="A18" t="str">
        <f>"R-sq"</f>
        <v>R-sq</v>
      </c>
      <c r="B18" t="str">
        <f>"0.867"</f>
        <v>0.867</v>
      </c>
      <c r="C18" t="str">
        <f>"0.717"</f>
        <v>0.717</v>
      </c>
      <c r="D18" t="str">
        <f>"0.356"</f>
        <v>0.356</v>
      </c>
      <c r="E18" t="str">
        <f>"0.355"</f>
        <v>0.355</v>
      </c>
      <c r="F18" t="str">
        <f>"0.712"</f>
        <v>0.712</v>
      </c>
      <c r="G18" t="str">
        <f>"0.747"</f>
        <v>0.747</v>
      </c>
      <c r="H18" t="str">
        <f>"0.267"</f>
        <v>0.267</v>
      </c>
      <c r="I18" t="str">
        <f>"0.089"</f>
        <v>0.089</v>
      </c>
    </row>
    <row r="19" spans="1:9">
      <c r="A19"/>
      <c r="B19"/>
      <c r="C19"/>
      <c r="D19"/>
      <c r="E19"/>
      <c r="F19"/>
      <c r="G19"/>
      <c r="H19"/>
      <c r="I19"/>
    </row>
    <row r="20" spans="1:9">
      <c r="A20" t="str">
        <f>"Standard errors in parentheses"</f>
        <v>Standard errors in parentheses</v>
      </c>
      <c r="B20"/>
      <c r="C20"/>
      <c r="D20"/>
      <c r="E20"/>
      <c r="F20"/>
      <c r="G20"/>
      <c r="H20"/>
      <c r="I20"/>
    </row>
  </sheetData>
  <pageMargins left="0.75" right="0.75" top="1" bottom="1" header="0.5" footer="0.5"/>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53C9-B723-0144-A1D2-AA46CD7A806E}">
  <dimension ref="A1:G17"/>
  <sheetViews>
    <sheetView workbookViewId="0">
      <selection activeCell="A19" sqref="A19:XFD58"/>
    </sheetView>
  </sheetViews>
  <sheetFormatPr baseColWidth="10" defaultRowHeight="16"/>
  <cols>
    <col min="1" max="16384" width="10.83203125" style="127"/>
  </cols>
  <sheetData>
    <row r="1" spans="1:7">
      <c r="A1"/>
      <c r="B1"/>
      <c r="C1"/>
      <c r="D1"/>
      <c r="E1"/>
      <c r="F1"/>
      <c r="G1"/>
    </row>
    <row r="2" spans="1:7">
      <c r="A2" t="str">
        <f>""</f>
        <v/>
      </c>
      <c r="B2" t="str">
        <f>"(1)"</f>
        <v>(1)</v>
      </c>
      <c r="C2" t="str">
        <f>"(2)"</f>
        <v>(2)</v>
      </c>
      <c r="D2" t="str">
        <f>"(3)"</f>
        <v>(3)</v>
      </c>
      <c r="E2" t="str">
        <f>"(4)"</f>
        <v>(4)</v>
      </c>
      <c r="F2" t="str">
        <f>"(5)"</f>
        <v>(5)</v>
      </c>
      <c r="G2" t="str">
        <f>"(6)"</f>
        <v>(6)</v>
      </c>
    </row>
    <row r="3" spans="1:7">
      <c r="A3" t="str">
        <f>""</f>
        <v/>
      </c>
      <c r="B3" t="str">
        <f>"ind_effects_m1"</f>
        <v>ind_effects_m1</v>
      </c>
      <c r="C3" t="str">
        <f>"ind_effects_m2"</f>
        <v>ind_effects_m2</v>
      </c>
      <c r="D3" t="str">
        <f>"ind_effects_m3"</f>
        <v>ind_effects_m3</v>
      </c>
      <c r="E3" t="str">
        <f>"ind_effects_m1"</f>
        <v>ind_effects_m1</v>
      </c>
      <c r="F3" t="str">
        <f>"ind_effects_m2"</f>
        <v>ind_effects_m2</v>
      </c>
      <c r="G3" t="str">
        <f>"ind_effects_m3"</f>
        <v>ind_effects_m3</v>
      </c>
    </row>
    <row r="4" spans="1:7">
      <c r="A4"/>
      <c r="B4"/>
      <c r="C4"/>
      <c r="D4"/>
      <c r="E4"/>
      <c r="F4"/>
      <c r="G4"/>
    </row>
    <row r="5" spans="1:7">
      <c r="A5" t="str">
        <f>"psi_j"</f>
        <v>psi_j</v>
      </c>
      <c r="B5" t="str">
        <f>"1.2390"</f>
        <v>1.2390</v>
      </c>
      <c r="C5" t="str">
        <f>"1.1686"</f>
        <v>1.1686</v>
      </c>
      <c r="D5" t="str">
        <f>"1.1659"</f>
        <v>1.1659</v>
      </c>
      <c r="E5" t="str">
        <f>"1.2390"</f>
        <v>1.2390</v>
      </c>
      <c r="F5" t="str">
        <f>"1.1686"</f>
        <v>1.1686</v>
      </c>
      <c r="G5" t="str">
        <f>"1.1659"</f>
        <v>1.1659</v>
      </c>
    </row>
    <row r="6" spans="1:7">
      <c r="A6" t="str">
        <f>""</f>
        <v/>
      </c>
      <c r="B6" t="str">
        <f>"(0.0728)"</f>
        <v>(0.0728)</v>
      </c>
      <c r="C6" t="str">
        <f>"(0.0639)"</f>
        <v>(0.0639)</v>
      </c>
      <c r="D6" t="str">
        <f>"(0.0571)"</f>
        <v>(0.0571)</v>
      </c>
      <c r="E6" t="str">
        <f>"(0.0523)"</f>
        <v>(0.0523)</v>
      </c>
      <c r="F6" t="str">
        <f>"(0.0460)"</f>
        <v>(0.0460)</v>
      </c>
      <c r="G6" t="str">
        <f>"(0.0424)"</f>
        <v>(0.0424)</v>
      </c>
    </row>
    <row r="7" spans="1:7">
      <c r="A7"/>
      <c r="B7"/>
      <c r="C7"/>
      <c r="D7"/>
      <c r="E7"/>
      <c r="F7"/>
      <c r="G7"/>
    </row>
    <row r="8" spans="1:7">
      <c r="A8" t="str">
        <f>"_cons"</f>
        <v>_cons</v>
      </c>
      <c r="B8" t="str">
        <f>"-0.2524"</f>
        <v>-0.2524</v>
      </c>
      <c r="C8" t="str">
        <f>"-0.2395"</f>
        <v>-0.2395</v>
      </c>
      <c r="D8" t="str">
        <f>"-0.2391"</f>
        <v>-0.2391</v>
      </c>
      <c r="E8" t="str">
        <f>"-0.2524"</f>
        <v>-0.2524</v>
      </c>
      <c r="F8" t="str">
        <f>"-0.2395"</f>
        <v>-0.2395</v>
      </c>
      <c r="G8" t="str">
        <f>"-0.2391"</f>
        <v>-0.2391</v>
      </c>
    </row>
    <row r="9" spans="1:7">
      <c r="A9" t="str">
        <f>""</f>
        <v/>
      </c>
      <c r="B9" t="str">
        <f>"(0.0173)"</f>
        <v>(0.0173)</v>
      </c>
      <c r="C9" t="str">
        <f>"(0.0163)"</f>
        <v>(0.0163)</v>
      </c>
      <c r="D9" t="str">
        <f>"(0.0156)"</f>
        <v>(0.0156)</v>
      </c>
      <c r="E9" t="str">
        <f>"(0.0139)"</f>
        <v>(0.0139)</v>
      </c>
      <c r="F9" t="str">
        <f>"(0.0122)"</f>
        <v>(0.0122)</v>
      </c>
      <c r="G9" t="str">
        <f>"(0.0113)"</f>
        <v>(0.0113)</v>
      </c>
    </row>
    <row r="10" spans="1:7">
      <c r="A10"/>
      <c r="B10"/>
      <c r="C10"/>
      <c r="D10"/>
      <c r="E10"/>
      <c r="F10"/>
      <c r="G10"/>
    </row>
    <row r="11" spans="1:7">
      <c r="A11" t="str">
        <f>"N"</f>
        <v>N</v>
      </c>
      <c r="B11" t="str">
        <f t="shared" ref="B11:G11" si="0">"310"</f>
        <v>310</v>
      </c>
      <c r="C11" t="str">
        <f t="shared" si="0"/>
        <v>310</v>
      </c>
      <c r="D11" t="str">
        <f t="shared" si="0"/>
        <v>310</v>
      </c>
      <c r="E11" t="str">
        <f t="shared" si="0"/>
        <v>310</v>
      </c>
      <c r="F11" t="str">
        <f t="shared" si="0"/>
        <v>310</v>
      </c>
      <c r="G11" t="str">
        <f t="shared" si="0"/>
        <v>310</v>
      </c>
    </row>
    <row r="12" spans="1:7">
      <c r="A12" t="str">
        <f>"R-sq"</f>
        <v>R-sq</v>
      </c>
      <c r="B12" t="str">
        <f>"0.645"</f>
        <v>0.645</v>
      </c>
      <c r="C12" t="str">
        <f>"0.677"</f>
        <v>0.677</v>
      </c>
      <c r="D12" t="str">
        <f>"0.710"</f>
        <v>0.710</v>
      </c>
      <c r="E12" t="str">
        <f>"0.645"</f>
        <v>0.645</v>
      </c>
      <c r="F12" t="str">
        <f>"0.677"</f>
        <v>0.677</v>
      </c>
      <c r="G12" t="str">
        <f>"0.710"</f>
        <v>0.710</v>
      </c>
    </row>
    <row r="13" spans="1:7">
      <c r="A13" t="str">
        <f>"adj. R-sq"</f>
        <v>adj. R-sq</v>
      </c>
      <c r="B13" t="str">
        <f>"0.644"</f>
        <v>0.644</v>
      </c>
      <c r="C13" t="str">
        <f>"0.676"</f>
        <v>0.676</v>
      </c>
      <c r="D13" t="str">
        <f>"0.709"</f>
        <v>0.709</v>
      </c>
      <c r="E13" t="str">
        <f>"0.644"</f>
        <v>0.644</v>
      </c>
      <c r="F13" t="str">
        <f>"0.676"</f>
        <v>0.676</v>
      </c>
      <c r="G13" t="str">
        <f>"0.709"</f>
        <v>0.709</v>
      </c>
    </row>
    <row r="14" spans="1:7">
      <c r="A14" t="str">
        <f>"sdy"</f>
        <v>sdy</v>
      </c>
      <c r="B14" t="str">
        <f>"0.1887"</f>
        <v>0.1887</v>
      </c>
      <c r="C14" t="str">
        <f>"0.1737"</f>
        <v>0.1737</v>
      </c>
      <c r="D14" t="str">
        <f>"0.1692"</f>
        <v>0.1692</v>
      </c>
      <c r="E14" t="str">
        <f>"0.1887"</f>
        <v>0.1887</v>
      </c>
      <c r="F14" t="str">
        <f>"0.1737"</f>
        <v>0.1737</v>
      </c>
      <c r="G14" t="str">
        <f>"0.1692"</f>
        <v>0.1692</v>
      </c>
    </row>
    <row r="15" spans="1:7">
      <c r="A15" t="str">
        <f>"sdpsi"</f>
        <v>sdpsi</v>
      </c>
      <c r="B15" t="str">
        <f t="shared" ref="B15:G15" si="1">"0.1223"</f>
        <v>0.1223</v>
      </c>
      <c r="C15" t="str">
        <f t="shared" si="1"/>
        <v>0.1223</v>
      </c>
      <c r="D15" t="str">
        <f t="shared" si="1"/>
        <v>0.1223</v>
      </c>
      <c r="E15" t="str">
        <f t="shared" si="1"/>
        <v>0.1223</v>
      </c>
      <c r="F15" t="str">
        <f t="shared" si="1"/>
        <v>0.1223</v>
      </c>
      <c r="G15" t="str">
        <f t="shared" si="1"/>
        <v>0.1223</v>
      </c>
    </row>
    <row r="16" spans="1:7">
      <c r="A16"/>
      <c r="B16"/>
      <c r="C16"/>
      <c r="D16"/>
      <c r="E16"/>
      <c r="F16"/>
      <c r="G16"/>
    </row>
    <row r="17" spans="1:7">
      <c r="A17" t="str">
        <f>"Standard errors in parentheses"</f>
        <v>Standard errors in parentheses</v>
      </c>
      <c r="B17"/>
      <c r="C17"/>
      <c r="D17"/>
      <c r="E17"/>
      <c r="F17"/>
      <c r="G17"/>
    </row>
  </sheetData>
  <pageMargins left="0.75" right="0.75" top="1" bottom="1" header="0.5" footer="0.5"/>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6D8BF-92D2-3146-8B5D-9831B66914AA}">
  <dimension ref="A1:F314"/>
  <sheetViews>
    <sheetView workbookViewId="0">
      <selection activeCell="H53" sqref="H53"/>
    </sheetView>
  </sheetViews>
  <sheetFormatPr baseColWidth="10" defaultRowHeight="16"/>
  <cols>
    <col min="1" max="16384" width="10.83203125" style="134"/>
  </cols>
  <sheetData>
    <row r="1" spans="1:6">
      <c r="A1" s="134" t="s">
        <v>297</v>
      </c>
      <c r="B1" s="134" t="s">
        <v>738</v>
      </c>
      <c r="C1" s="134" t="s">
        <v>298</v>
      </c>
      <c r="D1" s="134" t="s">
        <v>299</v>
      </c>
      <c r="E1" s="134" t="s">
        <v>737</v>
      </c>
      <c r="F1" s="134" t="s">
        <v>389</v>
      </c>
    </row>
    <row r="2" spans="1:6">
      <c r="A2" s="134">
        <v>9.4336428494148805</v>
      </c>
      <c r="B2" s="134">
        <v>9.4562602466608308</v>
      </c>
      <c r="C2" s="134">
        <v>0.23558897390117001</v>
      </c>
      <c r="D2" s="134" t="s">
        <v>111</v>
      </c>
    </row>
    <row r="3" spans="1:6">
      <c r="A3" s="134">
        <v>0.278291951396822</v>
      </c>
      <c r="B3" s="134">
        <v>0.18484385311603499</v>
      </c>
      <c r="C3" s="134">
        <v>0.12233034968857</v>
      </c>
      <c r="D3" s="134" t="s">
        <v>381</v>
      </c>
    </row>
    <row r="4" spans="1:6">
      <c r="A4" s="134">
        <v>9.2159999999999993</v>
      </c>
      <c r="B4" s="134">
        <v>-0.145260244607925</v>
      </c>
      <c r="C4" s="134">
        <v>0.15240000000000001</v>
      </c>
      <c r="D4" s="134" t="s">
        <v>736</v>
      </c>
      <c r="E4" s="134">
        <v>1111</v>
      </c>
      <c r="F4" s="134">
        <v>3.0141934999999999E-4</v>
      </c>
    </row>
    <row r="5" spans="1:6">
      <c r="A5" s="134">
        <v>9.1199999999999992</v>
      </c>
      <c r="B5" s="134">
        <v>-0.213260248303413</v>
      </c>
      <c r="C5" s="134">
        <v>0.1545</v>
      </c>
      <c r="D5" s="134" t="s">
        <v>735</v>
      </c>
      <c r="E5" s="134">
        <v>1112</v>
      </c>
      <c r="F5" s="134">
        <v>4.2478170000000002E-4</v>
      </c>
    </row>
    <row r="6" spans="1:6">
      <c r="A6" s="134">
        <v>9.0129999999999999</v>
      </c>
      <c r="B6" s="134">
        <v>-0.27026024460792503</v>
      </c>
      <c r="C6" s="134">
        <v>0.1043</v>
      </c>
      <c r="D6" s="134" t="s">
        <v>734</v>
      </c>
      <c r="E6" s="134">
        <v>1113</v>
      </c>
      <c r="F6" s="134">
        <v>6.0882715999999995E-4</v>
      </c>
    </row>
    <row r="7" spans="1:6">
      <c r="A7" s="134">
        <v>9.032</v>
      </c>
      <c r="B7" s="134">
        <v>-0.26326024532318099</v>
      </c>
      <c r="C7" s="134">
        <v>0.1021</v>
      </c>
      <c r="D7" s="134" t="s">
        <v>733</v>
      </c>
      <c r="E7" s="134">
        <v>1114</v>
      </c>
      <c r="F7" s="134">
        <v>8.0964033000000002E-4</v>
      </c>
    </row>
    <row r="8" spans="1:6">
      <c r="A8" s="134">
        <v>9.1129999999999995</v>
      </c>
      <c r="B8" s="134">
        <v>-0.21526025235652901</v>
      </c>
      <c r="C8" s="134">
        <v>0.13059999999999999</v>
      </c>
      <c r="D8" s="134" t="s">
        <v>732</v>
      </c>
      <c r="E8" s="134">
        <v>1119</v>
      </c>
      <c r="F8" s="134">
        <v>3.3735012E-4</v>
      </c>
    </row>
    <row r="9" spans="1:6">
      <c r="A9" s="134">
        <v>9.1080000000000005</v>
      </c>
      <c r="B9" s="134">
        <v>-0.27126026153564398</v>
      </c>
      <c r="C9" s="134">
        <v>0.17710000000000001</v>
      </c>
      <c r="D9" s="134" t="s">
        <v>731</v>
      </c>
      <c r="E9" s="134">
        <v>1121</v>
      </c>
      <c r="F9" s="134">
        <v>7.9646567000000003E-4</v>
      </c>
    </row>
    <row r="10" spans="1:6">
      <c r="A10" s="134">
        <v>9.1590000000000007</v>
      </c>
      <c r="B10" s="134">
        <v>-0.32026025652885398</v>
      </c>
      <c r="C10" s="134">
        <v>0.25929999999999997</v>
      </c>
      <c r="D10" s="134" t="s">
        <v>730</v>
      </c>
      <c r="E10" s="134">
        <v>1122</v>
      </c>
      <c r="F10" s="134">
        <v>2.2516624E-4</v>
      </c>
    </row>
    <row r="11" spans="1:6">
      <c r="A11" s="134">
        <v>9.1430000000000007</v>
      </c>
      <c r="B11" s="134">
        <v>-0.30726024508476202</v>
      </c>
      <c r="C11" s="134">
        <v>0.23549999999999999</v>
      </c>
      <c r="D11" s="134" t="s">
        <v>729</v>
      </c>
      <c r="E11" s="134">
        <v>1123</v>
      </c>
      <c r="F11" s="134">
        <v>2.9423318000000001E-4</v>
      </c>
    </row>
    <row r="12" spans="1:6">
      <c r="A12" s="134">
        <v>9.0190000000000001</v>
      </c>
      <c r="B12" s="134">
        <v>-0.25426024198532099</v>
      </c>
      <c r="C12" s="134">
        <v>8.3970000000000003E-2</v>
      </c>
      <c r="D12" s="134" t="s">
        <v>728</v>
      </c>
      <c r="E12" s="134">
        <v>1124</v>
      </c>
      <c r="F12" s="135">
        <v>6.9865408999999996E-6</v>
      </c>
    </row>
    <row r="13" spans="1:6">
      <c r="A13" s="134">
        <v>9.1850000000000005</v>
      </c>
      <c r="B13" s="134">
        <v>-0.15226024389266901</v>
      </c>
      <c r="C13" s="134">
        <v>0.14080000000000001</v>
      </c>
      <c r="D13" s="134" t="s">
        <v>727</v>
      </c>
      <c r="E13" s="134">
        <v>1125</v>
      </c>
      <c r="F13" s="134">
        <v>4.3116939000000001E-5</v>
      </c>
    </row>
    <row r="14" spans="1:6">
      <c r="A14" s="134">
        <v>9.15</v>
      </c>
      <c r="B14" s="134">
        <v>-0.22926025092601701</v>
      </c>
      <c r="C14" s="134">
        <v>0.1739</v>
      </c>
      <c r="D14" s="134" t="s">
        <v>726</v>
      </c>
      <c r="E14" s="134">
        <v>1129</v>
      </c>
      <c r="F14" s="134">
        <v>1.1617619999999999E-4</v>
      </c>
    </row>
    <row r="15" spans="1:6">
      <c r="A15" s="134">
        <v>9.5549999999999997</v>
      </c>
      <c r="B15" s="134">
        <v>7.5739756226539598E-2</v>
      </c>
      <c r="C15" s="134">
        <v>0.28389999999999999</v>
      </c>
      <c r="D15" s="134" t="s">
        <v>725</v>
      </c>
      <c r="E15" s="134">
        <v>1131</v>
      </c>
      <c r="F15" s="134">
        <v>2.9343473000000001E-5</v>
      </c>
    </row>
    <row r="16" spans="1:6">
      <c r="A16" s="134">
        <v>9.1760000000000002</v>
      </c>
      <c r="B16" s="134">
        <v>-0.159260243177413</v>
      </c>
      <c r="C16" s="134">
        <v>0.12970000000000001</v>
      </c>
      <c r="D16" s="134" t="s">
        <v>724</v>
      </c>
      <c r="E16" s="134">
        <v>1132</v>
      </c>
      <c r="F16" s="134">
        <v>1.2575774E-5</v>
      </c>
    </row>
    <row r="17" spans="1:6">
      <c r="A17" s="134">
        <v>9.2539999999999996</v>
      </c>
      <c r="B17" s="134">
        <v>-0.150260239839553</v>
      </c>
      <c r="C17" s="134">
        <v>0.19520000000000001</v>
      </c>
      <c r="D17" s="134" t="s">
        <v>723</v>
      </c>
      <c r="E17" s="134">
        <v>1133</v>
      </c>
      <c r="F17" s="134">
        <v>4.1001017000000001E-4</v>
      </c>
    </row>
    <row r="18" spans="1:6">
      <c r="A18" s="134">
        <v>9.6430000000000007</v>
      </c>
      <c r="B18" s="134">
        <v>1.7397532938048001E-3</v>
      </c>
      <c r="C18" s="134">
        <v>0.46379999999999999</v>
      </c>
      <c r="D18" s="134" t="s">
        <v>722</v>
      </c>
      <c r="E18" s="134">
        <v>1141</v>
      </c>
      <c r="F18" s="134">
        <v>3.7328093E-5</v>
      </c>
    </row>
    <row r="19" spans="1:6">
      <c r="A19" s="134">
        <v>9.1790000000000003</v>
      </c>
      <c r="B19" s="134">
        <v>-0.194260239601135</v>
      </c>
      <c r="C19" s="134">
        <v>0.18129999999999999</v>
      </c>
      <c r="D19" s="134" t="s">
        <v>721</v>
      </c>
      <c r="E19" s="134">
        <v>1142</v>
      </c>
      <c r="F19" s="134">
        <v>1.0978851E-5</v>
      </c>
    </row>
    <row r="20" spans="1:6">
      <c r="A20" s="134">
        <v>9.0980000000000008</v>
      </c>
      <c r="B20" s="134">
        <v>-0.25526025891303999</v>
      </c>
      <c r="C20" s="134">
        <v>0.16400000000000001</v>
      </c>
      <c r="D20" s="134" t="s">
        <v>720</v>
      </c>
      <c r="E20" s="134">
        <v>1151</v>
      </c>
      <c r="F20" s="134">
        <v>1.0683419000000001E-3</v>
      </c>
    </row>
    <row r="21" spans="1:6">
      <c r="A21" s="134">
        <v>9.1780000000000008</v>
      </c>
      <c r="B21" s="134">
        <v>-0.18326024711132</v>
      </c>
      <c r="C21" s="134">
        <v>0.16220000000000001</v>
      </c>
      <c r="D21" s="134" t="s">
        <v>719</v>
      </c>
      <c r="E21" s="134">
        <v>1152</v>
      </c>
      <c r="F21" s="134">
        <v>1.612893E-4</v>
      </c>
    </row>
    <row r="22" spans="1:6">
      <c r="A22" s="134">
        <v>9.33</v>
      </c>
      <c r="B22" s="134">
        <v>-6.3260249793529497E-2</v>
      </c>
      <c r="C22" s="134">
        <v>0.19009999999999999</v>
      </c>
      <c r="D22" s="134" t="s">
        <v>718</v>
      </c>
      <c r="E22" s="134">
        <v>1153</v>
      </c>
      <c r="F22" s="134">
        <v>1.0340081E-4</v>
      </c>
    </row>
    <row r="23" spans="1:6">
      <c r="A23" s="134">
        <v>10.220000000000001</v>
      </c>
      <c r="B23" s="134">
        <v>0.38573974370956399</v>
      </c>
      <c r="C23" s="134">
        <v>0.62470000000000003</v>
      </c>
      <c r="D23" s="134" t="s">
        <v>717</v>
      </c>
      <c r="E23" s="134">
        <v>2111</v>
      </c>
      <c r="F23" s="134">
        <v>1.8069191E-3</v>
      </c>
    </row>
    <row r="24" spans="1:6">
      <c r="A24" s="134">
        <v>9.8719999999999999</v>
      </c>
      <c r="B24" s="134">
        <v>-0.119260244071483</v>
      </c>
      <c r="C24" s="134">
        <v>0.79600000000000004</v>
      </c>
      <c r="D24" s="134" t="s">
        <v>716</v>
      </c>
      <c r="E24" s="134">
        <v>2121</v>
      </c>
      <c r="F24" s="134">
        <v>7.3777873000000003E-4</v>
      </c>
    </row>
    <row r="25" spans="1:6">
      <c r="A25" s="134">
        <v>9.8930000000000007</v>
      </c>
      <c r="B25" s="134">
        <v>-2.7260245755314799E-2</v>
      </c>
      <c r="C25" s="134">
        <v>0.71660000000000001</v>
      </c>
      <c r="D25" s="134" t="s">
        <v>715</v>
      </c>
      <c r="E25" s="134">
        <v>2122</v>
      </c>
      <c r="F25" s="134">
        <v>4.6230940000000002E-4</v>
      </c>
    </row>
    <row r="26" spans="1:6">
      <c r="A26" s="134">
        <v>9.5359999999999996</v>
      </c>
      <c r="B26" s="134">
        <v>-7.7260248363017994E-2</v>
      </c>
      <c r="C26" s="134">
        <v>0.4073</v>
      </c>
      <c r="D26" s="134" t="s">
        <v>714</v>
      </c>
      <c r="E26" s="134">
        <v>2123</v>
      </c>
      <c r="F26" s="134">
        <v>8.8389724000000004E-4</v>
      </c>
    </row>
    <row r="27" spans="1:6">
      <c r="A27" s="134">
        <v>9.8409999999999993</v>
      </c>
      <c r="B27" s="134">
        <v>4.7397534362972E-3</v>
      </c>
      <c r="C27" s="134">
        <v>0.62529999999999997</v>
      </c>
      <c r="D27" s="134" t="s">
        <v>713</v>
      </c>
      <c r="E27" s="134">
        <v>2131</v>
      </c>
      <c r="F27" s="134">
        <v>3.0385465000000002E-3</v>
      </c>
    </row>
    <row r="28" spans="1:6">
      <c r="A28" s="134">
        <v>9.9860000000000007</v>
      </c>
      <c r="B28" s="134">
        <v>0.24073974788188901</v>
      </c>
      <c r="C28" s="134">
        <v>0.5444</v>
      </c>
      <c r="D28" s="134" t="s">
        <v>712</v>
      </c>
      <c r="E28" s="134">
        <v>2211</v>
      </c>
      <c r="F28" s="134">
        <v>5.5213635999999998E-3</v>
      </c>
    </row>
    <row r="29" spans="1:6">
      <c r="A29" s="134">
        <v>9.94</v>
      </c>
      <c r="B29" s="134">
        <v>0.224739760160446</v>
      </c>
      <c r="C29" s="134">
        <v>0.52449999999999997</v>
      </c>
      <c r="D29" s="134" t="s">
        <v>711</v>
      </c>
      <c r="E29" s="134">
        <v>2212</v>
      </c>
      <c r="F29" s="134">
        <v>1.3414159E-3</v>
      </c>
    </row>
    <row r="30" spans="1:6">
      <c r="A30" s="134">
        <v>9.5749999999999993</v>
      </c>
      <c r="B30" s="134">
        <v>5.7739753276109702E-2</v>
      </c>
      <c r="C30" s="134">
        <v>0.31559999999999999</v>
      </c>
      <c r="D30" s="134" t="s">
        <v>710</v>
      </c>
      <c r="E30" s="134">
        <v>2213</v>
      </c>
      <c r="F30" s="134">
        <v>2.0787953000000001E-3</v>
      </c>
    </row>
    <row r="31" spans="1:6">
      <c r="A31" s="134">
        <v>9.3989999999999991</v>
      </c>
      <c r="B31" s="134">
        <v>1.073975302279E-2</v>
      </c>
      <c r="C31" s="134">
        <v>0.1762</v>
      </c>
      <c r="D31" s="134" t="s">
        <v>709</v>
      </c>
      <c r="E31" s="134">
        <v>2361</v>
      </c>
      <c r="F31" s="134">
        <v>4.5711937999999997E-3</v>
      </c>
    </row>
    <row r="32" spans="1:6">
      <c r="A32" s="134">
        <v>9.6519999999999992</v>
      </c>
      <c r="B32" s="134">
        <v>0.116739749908447</v>
      </c>
      <c r="C32" s="134">
        <v>0.32919999999999999</v>
      </c>
      <c r="D32" s="134" t="s">
        <v>708</v>
      </c>
      <c r="E32" s="134">
        <v>2362</v>
      </c>
      <c r="F32" s="134">
        <v>6.2359868999999997E-3</v>
      </c>
    </row>
    <row r="33" spans="1:6">
      <c r="A33" s="134">
        <v>9.5960000000000001</v>
      </c>
      <c r="B33" s="134">
        <v>1.8739752471447001E-2</v>
      </c>
      <c r="C33" s="134">
        <v>0.3649</v>
      </c>
      <c r="D33" s="134" t="s">
        <v>707</v>
      </c>
      <c r="E33" s="134">
        <v>2371</v>
      </c>
      <c r="F33" s="134">
        <v>3.7200337E-3</v>
      </c>
    </row>
    <row r="34" spans="1:6">
      <c r="A34" s="134">
        <v>9.6310000000000002</v>
      </c>
      <c r="B34" s="134">
        <v>0.16773974895477201</v>
      </c>
      <c r="C34" s="134">
        <v>0.26729999999999998</v>
      </c>
      <c r="D34" s="134" t="s">
        <v>706</v>
      </c>
      <c r="E34" s="134">
        <v>2372</v>
      </c>
      <c r="F34" s="134">
        <v>3.3455551999999998E-4</v>
      </c>
    </row>
    <row r="35" spans="1:6">
      <c r="A35" s="134">
        <v>9.5039999999999996</v>
      </c>
      <c r="B35" s="134">
        <v>-3.2602467108517998E-3</v>
      </c>
      <c r="C35" s="134">
        <v>0.30109999999999998</v>
      </c>
      <c r="D35" s="134" t="s">
        <v>705</v>
      </c>
      <c r="E35" s="134">
        <v>2373</v>
      </c>
      <c r="F35" s="134">
        <v>4.4634015999999999E-3</v>
      </c>
    </row>
    <row r="36" spans="1:6">
      <c r="A36" s="134">
        <v>9.6489999999999991</v>
      </c>
      <c r="B36" s="134">
        <v>5.7739753276109702E-2</v>
      </c>
      <c r="C36" s="134">
        <v>0.3826</v>
      </c>
      <c r="D36" s="134" t="s">
        <v>704</v>
      </c>
      <c r="E36" s="134">
        <v>2379</v>
      </c>
      <c r="F36" s="134">
        <v>8.5395492999999995E-4</v>
      </c>
    </row>
    <row r="37" spans="1:6">
      <c r="A37" s="134">
        <v>9.3469999999999995</v>
      </c>
      <c r="B37" s="134">
        <v>-6.4260244369506794E-2</v>
      </c>
      <c r="C37" s="134">
        <v>0.19889999999999999</v>
      </c>
      <c r="D37" s="134" t="s">
        <v>703</v>
      </c>
      <c r="E37" s="134">
        <v>2381</v>
      </c>
      <c r="F37" s="134">
        <v>5.2738404000000003E-3</v>
      </c>
    </row>
    <row r="38" spans="1:6">
      <c r="A38" s="134">
        <v>9.5030000000000001</v>
      </c>
      <c r="B38" s="134">
        <v>5.5739752948284101E-2</v>
      </c>
      <c r="C38" s="134">
        <v>0.23719999999999999</v>
      </c>
      <c r="D38" s="134" t="s">
        <v>702</v>
      </c>
      <c r="E38" s="134">
        <v>2382</v>
      </c>
      <c r="F38" s="134">
        <v>1.6388428999999999E-2</v>
      </c>
    </row>
    <row r="39" spans="1:6">
      <c r="A39" s="134">
        <v>9.3239999999999998</v>
      </c>
      <c r="B39" s="134">
        <v>-6.7260242998600006E-2</v>
      </c>
      <c r="C39" s="134">
        <v>0.1825</v>
      </c>
      <c r="D39" s="134" t="s">
        <v>701</v>
      </c>
      <c r="E39" s="134">
        <v>2383</v>
      </c>
      <c r="F39" s="134">
        <v>4.9464712000000001E-3</v>
      </c>
    </row>
    <row r="40" spans="1:6">
      <c r="A40" s="134">
        <v>9.4090000000000007</v>
      </c>
      <c r="B40" s="134">
        <v>-4.9260247498750701E-2</v>
      </c>
      <c r="C40" s="134">
        <v>0.24629999999999999</v>
      </c>
      <c r="D40" s="134" t="s">
        <v>700</v>
      </c>
      <c r="E40" s="134">
        <v>2389</v>
      </c>
      <c r="F40" s="134">
        <v>4.4554169000000001E-3</v>
      </c>
    </row>
    <row r="41" spans="1:6">
      <c r="A41" s="134">
        <v>9.4540000000000006</v>
      </c>
      <c r="B41" s="134">
        <v>-0.122260250151157</v>
      </c>
      <c r="C41" s="134">
        <v>0.36449999999999999</v>
      </c>
      <c r="D41" s="134" t="s">
        <v>699</v>
      </c>
      <c r="E41" s="134">
        <v>3111</v>
      </c>
      <c r="F41" s="134">
        <v>5.2658556000000003E-4</v>
      </c>
    </row>
    <row r="42" spans="1:6">
      <c r="A42" s="134">
        <v>9.5820000000000007</v>
      </c>
      <c r="B42" s="134">
        <v>-7.3260247707366902E-2</v>
      </c>
      <c r="C42" s="134">
        <v>0.44919999999999999</v>
      </c>
      <c r="D42" s="134" t="s">
        <v>698</v>
      </c>
      <c r="E42" s="134">
        <v>3112</v>
      </c>
      <c r="F42" s="134">
        <v>6.6591717999999996E-4</v>
      </c>
    </row>
    <row r="43" spans="1:6">
      <c r="A43" s="134">
        <v>9.3949999999999996</v>
      </c>
      <c r="B43" s="134">
        <v>-0.14926025271415699</v>
      </c>
      <c r="C43" s="134">
        <v>0.3478</v>
      </c>
      <c r="D43" s="134" t="s">
        <v>697</v>
      </c>
      <c r="E43" s="134">
        <v>3113</v>
      </c>
      <c r="F43" s="134">
        <v>5.9445481999999999E-4</v>
      </c>
    </row>
    <row r="44" spans="1:6">
      <c r="A44" s="134">
        <v>9.2780000000000005</v>
      </c>
      <c r="B44" s="134">
        <v>-0.242260247468948</v>
      </c>
      <c r="C44" s="134">
        <v>0.3256</v>
      </c>
      <c r="D44" s="134" t="s">
        <v>696</v>
      </c>
      <c r="E44" s="134">
        <v>3114</v>
      </c>
      <c r="F44" s="134">
        <v>1.5741675E-3</v>
      </c>
    </row>
    <row r="45" spans="1:6">
      <c r="A45" s="134">
        <v>9.4570000000000007</v>
      </c>
      <c r="B45" s="134">
        <v>-0.159260243177413</v>
      </c>
      <c r="C45" s="134">
        <v>0.41170000000000001</v>
      </c>
      <c r="D45" s="134" t="s">
        <v>695</v>
      </c>
      <c r="E45" s="134">
        <v>3115</v>
      </c>
      <c r="F45" s="134">
        <v>1.4168704999999999E-3</v>
      </c>
    </row>
    <row r="46" spans="1:6">
      <c r="A46" s="134">
        <v>9.0690000000000008</v>
      </c>
      <c r="B46" s="134">
        <v>-0.43426024913787797</v>
      </c>
      <c r="C46" s="134">
        <v>0.29270000000000002</v>
      </c>
      <c r="D46" s="134" t="s">
        <v>694</v>
      </c>
      <c r="E46" s="134">
        <v>3116</v>
      </c>
      <c r="F46" s="134">
        <v>4.4234786E-3</v>
      </c>
    </row>
    <row r="47" spans="1:6">
      <c r="A47" s="134">
        <v>9.2260000000000009</v>
      </c>
      <c r="B47" s="134">
        <v>-0.231260240077972</v>
      </c>
      <c r="C47" s="134">
        <v>0.28100000000000003</v>
      </c>
      <c r="D47" s="134" t="s">
        <v>693</v>
      </c>
      <c r="E47" s="134">
        <v>3117</v>
      </c>
      <c r="F47" s="134">
        <v>2.4113547999999999E-4</v>
      </c>
    </row>
    <row r="48" spans="1:6">
      <c r="A48" s="134">
        <v>9.2170000000000005</v>
      </c>
      <c r="B48" s="134">
        <v>-0.25826025009155201</v>
      </c>
      <c r="C48" s="134">
        <v>0.28160000000000002</v>
      </c>
      <c r="D48" s="134" t="s">
        <v>692</v>
      </c>
      <c r="E48" s="134">
        <v>3118</v>
      </c>
      <c r="F48" s="134">
        <v>2.1394784999999999E-3</v>
      </c>
    </row>
    <row r="49" spans="1:6">
      <c r="A49" s="134">
        <v>9.3729999999999993</v>
      </c>
      <c r="B49" s="134">
        <v>-0.15726025402545901</v>
      </c>
      <c r="C49" s="134">
        <v>0.3261</v>
      </c>
      <c r="D49" s="134" t="s">
        <v>691</v>
      </c>
      <c r="E49" s="134">
        <v>3119</v>
      </c>
      <c r="F49" s="134">
        <v>1.7178905999999999E-3</v>
      </c>
    </row>
    <row r="50" spans="1:6">
      <c r="A50" s="134">
        <v>9.452</v>
      </c>
      <c r="B50" s="134">
        <v>-6.12602457404137E-2</v>
      </c>
      <c r="C50" s="134">
        <v>0.31019999999999998</v>
      </c>
      <c r="D50" s="134" t="s">
        <v>690</v>
      </c>
      <c r="E50" s="134">
        <v>3121</v>
      </c>
      <c r="F50" s="134">
        <v>1.8264813999999999E-3</v>
      </c>
    </row>
    <row r="51" spans="1:6">
      <c r="A51" s="134">
        <v>9.702</v>
      </c>
      <c r="B51" s="134">
        <v>-3.4260246902704197E-2</v>
      </c>
      <c r="C51" s="134">
        <v>0.53300000000000003</v>
      </c>
      <c r="D51" s="134" t="s">
        <v>689</v>
      </c>
      <c r="E51" s="134">
        <v>3122</v>
      </c>
      <c r="F51" s="134">
        <v>1.3454082E-4</v>
      </c>
    </row>
    <row r="52" spans="1:6">
      <c r="A52" s="134">
        <v>9.0570000000000004</v>
      </c>
      <c r="B52" s="134">
        <v>-0.39926025271415699</v>
      </c>
      <c r="C52" s="134">
        <v>0.24049999999999999</v>
      </c>
      <c r="D52" s="134" t="s">
        <v>688</v>
      </c>
      <c r="E52" s="134">
        <v>3131</v>
      </c>
      <c r="F52" s="134">
        <v>2.6748472000000001E-4</v>
      </c>
    </row>
    <row r="53" spans="1:6">
      <c r="A53" s="134">
        <v>9.1940000000000008</v>
      </c>
      <c r="B53" s="134">
        <v>-0.28226023912429798</v>
      </c>
      <c r="C53" s="134">
        <v>0.26989999999999997</v>
      </c>
      <c r="D53" s="134" t="s">
        <v>687</v>
      </c>
      <c r="E53" s="134">
        <v>3132</v>
      </c>
      <c r="F53" s="134">
        <v>5.2738405000000001E-4</v>
      </c>
    </row>
    <row r="54" spans="1:6">
      <c r="A54" s="134">
        <v>9.2189999999999994</v>
      </c>
      <c r="B54" s="134">
        <v>-0.208260253071785</v>
      </c>
      <c r="C54" s="134">
        <v>0.23250000000000001</v>
      </c>
      <c r="D54" s="134" t="s">
        <v>686</v>
      </c>
      <c r="E54" s="134">
        <v>3133</v>
      </c>
      <c r="F54" s="134">
        <v>2.8584934999999998E-4</v>
      </c>
    </row>
    <row r="55" spans="1:6">
      <c r="A55" s="134">
        <v>9.1349999999999998</v>
      </c>
      <c r="B55" s="134">
        <v>-0.32226026058196999</v>
      </c>
      <c r="C55" s="134">
        <v>0.24629999999999999</v>
      </c>
      <c r="D55" s="134" t="s">
        <v>685</v>
      </c>
      <c r="E55" s="134">
        <v>3141</v>
      </c>
      <c r="F55" s="134">
        <v>4.9704249000000005E-4</v>
      </c>
    </row>
    <row r="56" spans="1:6">
      <c r="A56" s="134">
        <v>9.0739999999999998</v>
      </c>
      <c r="B56" s="134">
        <v>-0.26126024127006497</v>
      </c>
      <c r="C56" s="134">
        <v>0.1351</v>
      </c>
      <c r="D56" s="134" t="s">
        <v>684</v>
      </c>
      <c r="E56" s="134">
        <v>3149</v>
      </c>
      <c r="F56" s="134">
        <v>4.9624406000000005E-4</v>
      </c>
    </row>
    <row r="57" spans="1:6">
      <c r="A57" s="134">
        <v>8.9819999999999993</v>
      </c>
      <c r="B57" s="134">
        <v>-0.36526024341583202</v>
      </c>
      <c r="C57" s="134">
        <v>0.14430000000000001</v>
      </c>
      <c r="D57" s="134" t="s">
        <v>683</v>
      </c>
      <c r="E57" s="134">
        <v>3151</v>
      </c>
      <c r="F57" s="134">
        <v>1.1018774E-4</v>
      </c>
    </row>
    <row r="58" spans="1:6">
      <c r="A58" s="134">
        <v>9.1219999999999999</v>
      </c>
      <c r="B58" s="134">
        <v>-0.194260239601135</v>
      </c>
      <c r="C58" s="134">
        <v>0.1434</v>
      </c>
      <c r="D58" s="134" t="s">
        <v>682</v>
      </c>
      <c r="E58" s="134">
        <v>3152</v>
      </c>
      <c r="F58" s="134">
        <v>7.3298793999999998E-4</v>
      </c>
    </row>
    <row r="59" spans="1:6">
      <c r="A59" s="134">
        <v>9.0719999999999992</v>
      </c>
      <c r="B59" s="134">
        <v>-0.25226023793220498</v>
      </c>
      <c r="C59" s="134">
        <v>0.13830000000000001</v>
      </c>
      <c r="D59" s="134" t="s">
        <v>681</v>
      </c>
      <c r="E59" s="134">
        <v>3159</v>
      </c>
      <c r="F59" s="134">
        <v>9.5016956000000001E-5</v>
      </c>
    </row>
    <row r="60" spans="1:6">
      <c r="A60" s="134">
        <v>9.2430000000000003</v>
      </c>
      <c r="B60" s="134">
        <v>-0.20926024019718101</v>
      </c>
      <c r="C60" s="134">
        <v>0.25790000000000002</v>
      </c>
      <c r="D60" s="134" t="s">
        <v>680</v>
      </c>
      <c r="E60" s="134">
        <v>3161</v>
      </c>
      <c r="F60" s="134">
        <v>3.5930781E-5</v>
      </c>
    </row>
    <row r="61" spans="1:6">
      <c r="A61" s="134">
        <v>9.0939999999999994</v>
      </c>
      <c r="B61" s="134">
        <v>-0.26426023244857699</v>
      </c>
      <c r="C61" s="134">
        <v>0.16220000000000001</v>
      </c>
      <c r="D61" s="134" t="s">
        <v>679</v>
      </c>
      <c r="E61" s="134">
        <v>3162</v>
      </c>
      <c r="F61" s="134">
        <v>1.2216467E-4</v>
      </c>
    </row>
    <row r="62" spans="1:6">
      <c r="A62" s="134">
        <v>9.0299999999999994</v>
      </c>
      <c r="B62" s="134">
        <v>-0.28126025199890098</v>
      </c>
      <c r="C62" s="134">
        <v>0.11840000000000001</v>
      </c>
      <c r="D62" s="134" t="s">
        <v>678</v>
      </c>
      <c r="E62" s="134">
        <v>3169</v>
      </c>
      <c r="F62" s="134">
        <v>8.8230030000000003E-5</v>
      </c>
    </row>
    <row r="63" spans="1:6">
      <c r="A63" s="134">
        <v>9.2520000000000007</v>
      </c>
      <c r="B63" s="134">
        <v>-0.20426024496555301</v>
      </c>
      <c r="C63" s="134">
        <v>0.24959999999999999</v>
      </c>
      <c r="D63" s="134" t="s">
        <v>677</v>
      </c>
      <c r="E63" s="134">
        <v>3211</v>
      </c>
      <c r="F63" s="134">
        <v>7.8608566999999999E-4</v>
      </c>
    </row>
    <row r="64" spans="1:6">
      <c r="A64" s="134">
        <v>9.2970000000000006</v>
      </c>
      <c r="B64" s="134">
        <v>-0.208260253071785</v>
      </c>
      <c r="C64" s="134">
        <v>0.29149999999999998</v>
      </c>
      <c r="D64" s="134" t="s">
        <v>676</v>
      </c>
      <c r="E64" s="134">
        <v>3212</v>
      </c>
      <c r="F64" s="134">
        <v>6.5234332999999998E-4</v>
      </c>
    </row>
    <row r="65" spans="1:6">
      <c r="A65" s="134">
        <v>9.1460000000000008</v>
      </c>
      <c r="B65" s="134">
        <v>-0.23926024138927399</v>
      </c>
      <c r="C65" s="134">
        <v>0.1757</v>
      </c>
      <c r="D65" s="134" t="s">
        <v>675</v>
      </c>
      <c r="E65" s="134">
        <v>3219</v>
      </c>
      <c r="F65" s="134">
        <v>1.7406468E-3</v>
      </c>
    </row>
    <row r="66" spans="1:6">
      <c r="A66" s="134">
        <v>9.7639999999999993</v>
      </c>
      <c r="B66" s="134">
        <v>3.7397532723843999E-3</v>
      </c>
      <c r="C66" s="134">
        <v>0.56100000000000005</v>
      </c>
      <c r="D66" s="134" t="s">
        <v>674</v>
      </c>
      <c r="E66" s="134">
        <v>3221</v>
      </c>
      <c r="F66" s="134">
        <v>1.2016850999999999E-3</v>
      </c>
    </row>
    <row r="67" spans="1:6">
      <c r="A67" s="134">
        <v>9.4350000000000005</v>
      </c>
      <c r="B67" s="134">
        <v>-0.13726024329662301</v>
      </c>
      <c r="C67" s="134">
        <v>0.37240000000000001</v>
      </c>
      <c r="D67" s="134" t="s">
        <v>673</v>
      </c>
      <c r="E67" s="134">
        <v>3222</v>
      </c>
      <c r="F67" s="134">
        <v>2.8513072E-3</v>
      </c>
    </row>
    <row r="68" spans="1:6">
      <c r="A68" s="134">
        <v>9.282</v>
      </c>
      <c r="B68" s="134">
        <v>-0.12726025283336601</v>
      </c>
      <c r="C68" s="134">
        <v>0.21629999999999999</v>
      </c>
      <c r="D68" s="134" t="s">
        <v>403</v>
      </c>
      <c r="E68" s="134">
        <v>3231</v>
      </c>
      <c r="F68" s="134">
        <v>4.219871E-3</v>
      </c>
    </row>
    <row r="69" spans="1:6">
      <c r="A69" s="134">
        <v>10.050000000000001</v>
      </c>
      <c r="B69" s="134">
        <v>0.219739750027656</v>
      </c>
      <c r="C69" s="134">
        <v>0.62139999999999995</v>
      </c>
      <c r="D69" s="134" t="s">
        <v>402</v>
      </c>
      <c r="E69" s="134">
        <v>3241</v>
      </c>
      <c r="F69" s="134">
        <v>1.3050857999999999E-3</v>
      </c>
    </row>
    <row r="70" spans="1:6">
      <c r="A70" s="134">
        <v>9.8919999999999995</v>
      </c>
      <c r="B70" s="134">
        <v>0.13573975861072499</v>
      </c>
      <c r="C70" s="134">
        <v>0.5454</v>
      </c>
      <c r="D70" s="134" t="s">
        <v>672</v>
      </c>
      <c r="E70" s="134">
        <v>3251</v>
      </c>
      <c r="F70" s="134">
        <v>1.6368468E-3</v>
      </c>
    </row>
    <row r="71" spans="1:6">
      <c r="A71" s="134">
        <v>9.7959999999999994</v>
      </c>
      <c r="B71" s="134">
        <v>6.1739753931760802E-2</v>
      </c>
      <c r="C71" s="134">
        <v>0.51980000000000004</v>
      </c>
      <c r="D71" s="134" t="s">
        <v>671</v>
      </c>
      <c r="E71" s="134">
        <v>3252</v>
      </c>
      <c r="F71" s="134">
        <v>1.0360043E-3</v>
      </c>
    </row>
    <row r="72" spans="1:6">
      <c r="A72" s="134">
        <v>9.7270000000000003</v>
      </c>
      <c r="B72" s="134">
        <v>5.2739754319191E-2</v>
      </c>
      <c r="C72" s="134">
        <v>0.46400000000000002</v>
      </c>
      <c r="D72" s="134" t="s">
        <v>670</v>
      </c>
      <c r="E72" s="134">
        <v>3253</v>
      </c>
      <c r="F72" s="134">
        <v>3.6609476000000002E-4</v>
      </c>
    </row>
    <row r="73" spans="1:6">
      <c r="A73" s="134">
        <v>9.9120000000000008</v>
      </c>
      <c r="B73" s="134">
        <v>0.21273975074291199</v>
      </c>
      <c r="C73" s="134">
        <v>0.49340000000000001</v>
      </c>
      <c r="D73" s="134" t="s">
        <v>669</v>
      </c>
      <c r="E73" s="134">
        <v>3254</v>
      </c>
      <c r="F73" s="134">
        <v>3.0589073000000001E-3</v>
      </c>
    </row>
    <row r="74" spans="1:6">
      <c r="A74" s="134">
        <v>9.5679999999999996</v>
      </c>
      <c r="B74" s="134">
        <v>1.7739754170179398E-2</v>
      </c>
      <c r="C74" s="134">
        <v>0.3493</v>
      </c>
      <c r="D74" s="134" t="s">
        <v>668</v>
      </c>
      <c r="E74" s="134">
        <v>3255</v>
      </c>
      <c r="F74" s="134">
        <v>6.0523406000000004E-4</v>
      </c>
    </row>
    <row r="75" spans="1:6">
      <c r="A75" s="134">
        <v>9.4990000000000006</v>
      </c>
      <c r="B75" s="134">
        <v>-3.9260245859622997E-2</v>
      </c>
      <c r="C75" s="134">
        <v>0.33939999999999998</v>
      </c>
      <c r="D75" s="134" t="s">
        <v>667</v>
      </c>
      <c r="E75" s="134">
        <v>3256</v>
      </c>
      <c r="F75" s="134">
        <v>1.0268218999999999E-3</v>
      </c>
    </row>
    <row r="76" spans="1:6">
      <c r="A76" s="134">
        <v>9.5549999999999997</v>
      </c>
      <c r="B76" s="134">
        <v>-2.4260247126221698E-2</v>
      </c>
      <c r="C76" s="134">
        <v>0.37959999999999999</v>
      </c>
      <c r="D76" s="134" t="s">
        <v>666</v>
      </c>
      <c r="E76" s="134">
        <v>3259</v>
      </c>
      <c r="F76" s="134">
        <v>8.5475342000000004E-4</v>
      </c>
    </row>
    <row r="77" spans="1:6">
      <c r="A77" s="134">
        <v>9.2919999999999998</v>
      </c>
      <c r="B77" s="134">
        <v>-0.19626024365425099</v>
      </c>
      <c r="C77" s="134">
        <v>0.28139999999999998</v>
      </c>
      <c r="D77" s="134" t="s">
        <v>665</v>
      </c>
      <c r="E77" s="134">
        <v>3261</v>
      </c>
      <c r="F77" s="134">
        <v>5.2818251E-3</v>
      </c>
    </row>
    <row r="78" spans="1:6">
      <c r="A78" s="134">
        <v>9.4269999999999996</v>
      </c>
      <c r="B78" s="134">
        <v>-0.17226023972034399</v>
      </c>
      <c r="C78" s="134">
        <v>0.38419999999999999</v>
      </c>
      <c r="D78" s="134" t="s">
        <v>664</v>
      </c>
      <c r="E78" s="134">
        <v>3262</v>
      </c>
      <c r="F78" s="134">
        <v>1.4116805E-3</v>
      </c>
    </row>
    <row r="79" spans="1:6">
      <c r="A79" s="134">
        <v>9.3490000000000002</v>
      </c>
      <c r="B79" s="134">
        <v>-0.154260247945785</v>
      </c>
      <c r="C79" s="134">
        <v>0.2994</v>
      </c>
      <c r="D79" s="134" t="s">
        <v>663</v>
      </c>
      <c r="E79" s="134">
        <v>3271</v>
      </c>
      <c r="F79" s="134">
        <v>3.952386E-4</v>
      </c>
    </row>
    <row r="80" spans="1:6">
      <c r="A80" s="134">
        <v>9.4269999999999996</v>
      </c>
      <c r="B80" s="134">
        <v>-0.164260253310203</v>
      </c>
      <c r="C80" s="134">
        <v>0.3891</v>
      </c>
      <c r="D80" s="134" t="s">
        <v>662</v>
      </c>
      <c r="E80" s="134">
        <v>3272</v>
      </c>
      <c r="F80" s="134">
        <v>8.4916414999999996E-4</v>
      </c>
    </row>
    <row r="81" spans="1:6">
      <c r="A81" s="134">
        <v>9.42</v>
      </c>
      <c r="B81" s="134">
        <v>-0.104260243475437</v>
      </c>
      <c r="C81" s="134">
        <v>0.31459999999999999</v>
      </c>
      <c r="D81" s="134" t="s">
        <v>661</v>
      </c>
      <c r="E81" s="134">
        <v>3273</v>
      </c>
      <c r="F81" s="134">
        <v>1.6991268000000001E-3</v>
      </c>
    </row>
    <row r="82" spans="1:6">
      <c r="A82" s="134">
        <v>9.5969999999999995</v>
      </c>
      <c r="B82" s="134">
        <v>-0.110260248184204</v>
      </c>
      <c r="C82" s="134">
        <v>0.49940000000000001</v>
      </c>
      <c r="D82" s="134" t="s">
        <v>660</v>
      </c>
      <c r="E82" s="134">
        <v>3274</v>
      </c>
      <c r="F82" s="134">
        <v>1.5849467E-4</v>
      </c>
    </row>
    <row r="83" spans="1:6">
      <c r="A83" s="134">
        <v>9.4139999999999997</v>
      </c>
      <c r="B83" s="134">
        <v>-0.110260248184204</v>
      </c>
      <c r="C83" s="134">
        <v>0.31459999999999999</v>
      </c>
      <c r="D83" s="134" t="s">
        <v>659</v>
      </c>
      <c r="E83" s="134">
        <v>3279</v>
      </c>
      <c r="F83" s="134">
        <v>6.8787484999999996E-4</v>
      </c>
    </row>
    <row r="84" spans="1:6">
      <c r="A84" s="134">
        <v>9.8219999999999992</v>
      </c>
      <c r="B84" s="134">
        <v>-4.0260247886180899E-2</v>
      </c>
      <c r="C84" s="134">
        <v>0.66100000000000003</v>
      </c>
      <c r="D84" s="134" t="s">
        <v>658</v>
      </c>
      <c r="E84" s="134">
        <v>3311</v>
      </c>
      <c r="F84" s="134">
        <v>9.8610041000000005E-4</v>
      </c>
    </row>
    <row r="85" spans="1:6">
      <c r="A85" s="134">
        <v>9.5259999999999998</v>
      </c>
      <c r="B85" s="134">
        <v>-0.111260250210762</v>
      </c>
      <c r="C85" s="134">
        <v>0.43180000000000002</v>
      </c>
      <c r="D85" s="134" t="s">
        <v>657</v>
      </c>
      <c r="E85" s="134">
        <v>3312</v>
      </c>
      <c r="F85" s="134">
        <v>6.0323794999999996E-4</v>
      </c>
    </row>
    <row r="86" spans="1:6">
      <c r="A86" s="134">
        <v>9.5459999999999994</v>
      </c>
      <c r="B86" s="134">
        <v>-0.15226024389266901</v>
      </c>
      <c r="C86" s="134">
        <v>0.49109999999999998</v>
      </c>
      <c r="D86" s="134" t="s">
        <v>656</v>
      </c>
      <c r="E86" s="134">
        <v>3313</v>
      </c>
      <c r="F86" s="134">
        <v>6.3078484000000002E-4</v>
      </c>
    </row>
    <row r="87" spans="1:6">
      <c r="A87" s="134">
        <v>9.5589999999999993</v>
      </c>
      <c r="B87" s="134">
        <v>-8.3260245621204404E-2</v>
      </c>
      <c r="C87" s="134">
        <v>0.44119999999999998</v>
      </c>
      <c r="D87" s="134" t="s">
        <v>655</v>
      </c>
      <c r="E87" s="134">
        <v>3314</v>
      </c>
      <c r="F87" s="134">
        <v>6.5913021999999995E-4</v>
      </c>
    </row>
    <row r="88" spans="1:6">
      <c r="A88" s="134">
        <v>9.3940000000000001</v>
      </c>
      <c r="B88" s="134">
        <v>-0.18026024103164601</v>
      </c>
      <c r="C88" s="134">
        <v>0.3755</v>
      </c>
      <c r="D88" s="134" t="s">
        <v>654</v>
      </c>
      <c r="E88" s="134">
        <v>3315</v>
      </c>
      <c r="F88" s="134">
        <v>1.2420074E-3</v>
      </c>
    </row>
    <row r="89" spans="1:6">
      <c r="A89" s="134">
        <v>9.3919999999999995</v>
      </c>
      <c r="B89" s="134">
        <v>-0.110260248184204</v>
      </c>
      <c r="C89" s="134">
        <v>0.30640000000000001</v>
      </c>
      <c r="D89" s="134" t="s">
        <v>653</v>
      </c>
      <c r="E89" s="134">
        <v>3321</v>
      </c>
      <c r="F89" s="134">
        <v>9.8649960000000004E-4</v>
      </c>
    </row>
    <row r="90" spans="1:6">
      <c r="A90" s="134">
        <v>9.3940000000000001</v>
      </c>
      <c r="B90" s="134">
        <v>-9.4260245561599704E-2</v>
      </c>
      <c r="C90" s="134">
        <v>0.30059999999999998</v>
      </c>
      <c r="D90" s="134" t="s">
        <v>652</v>
      </c>
      <c r="E90" s="134">
        <v>3322</v>
      </c>
      <c r="F90" s="134">
        <v>3.8765320999999998E-4</v>
      </c>
    </row>
    <row r="91" spans="1:6">
      <c r="A91" s="134">
        <v>9.3490000000000002</v>
      </c>
      <c r="B91" s="134">
        <v>-0.112260244786739</v>
      </c>
      <c r="C91" s="134">
        <v>0.25779999999999997</v>
      </c>
      <c r="D91" s="134" t="s">
        <v>651</v>
      </c>
      <c r="E91" s="134">
        <v>3323</v>
      </c>
      <c r="F91" s="134">
        <v>3.3343766999999998E-3</v>
      </c>
    </row>
    <row r="92" spans="1:6">
      <c r="A92" s="134">
        <v>9.5079999999999991</v>
      </c>
      <c r="B92" s="134">
        <v>-7.7260248363017994E-2</v>
      </c>
      <c r="C92" s="134">
        <v>0.38329999999999997</v>
      </c>
      <c r="D92" s="134" t="s">
        <v>650</v>
      </c>
      <c r="E92" s="134">
        <v>3324</v>
      </c>
      <c r="F92" s="134">
        <v>9.3260342999999996E-4</v>
      </c>
    </row>
    <row r="93" spans="1:6">
      <c r="A93" s="134">
        <v>9.3580000000000005</v>
      </c>
      <c r="B93" s="134">
        <v>-0.117260247468948</v>
      </c>
      <c r="C93" s="134">
        <v>0.2742</v>
      </c>
      <c r="D93" s="134" t="s">
        <v>649</v>
      </c>
      <c r="E93" s="134">
        <v>3325</v>
      </c>
      <c r="F93" s="134">
        <v>2.4153470999999999E-4</v>
      </c>
    </row>
    <row r="94" spans="1:6">
      <c r="A94" s="134">
        <v>9.2959999999999994</v>
      </c>
      <c r="B94" s="134">
        <v>-0.15326024591922699</v>
      </c>
      <c r="C94" s="134">
        <v>0.25069999999999998</v>
      </c>
      <c r="D94" s="134" t="s">
        <v>648</v>
      </c>
      <c r="E94" s="134">
        <v>3326</v>
      </c>
      <c r="F94" s="134">
        <v>4.1400245E-4</v>
      </c>
    </row>
    <row r="95" spans="1:6">
      <c r="A95" s="134">
        <v>9.3829999999999991</v>
      </c>
      <c r="B95" s="134">
        <v>-5.5260248482227298E-2</v>
      </c>
      <c r="C95" s="134">
        <v>0.24560000000000001</v>
      </c>
      <c r="D95" s="134" t="s">
        <v>647</v>
      </c>
      <c r="E95" s="134">
        <v>3327</v>
      </c>
      <c r="F95" s="134">
        <v>3.3531404999999999E-3</v>
      </c>
    </row>
    <row r="96" spans="1:6">
      <c r="A96" s="134">
        <v>9.2750000000000004</v>
      </c>
      <c r="B96" s="134">
        <v>-0.17526024580001801</v>
      </c>
      <c r="C96" s="134">
        <v>0.25409999999999999</v>
      </c>
      <c r="D96" s="134" t="s">
        <v>646</v>
      </c>
      <c r="E96" s="134">
        <v>3328</v>
      </c>
      <c r="F96" s="134">
        <v>1.2128635E-3</v>
      </c>
    </row>
    <row r="97" spans="1:6">
      <c r="A97" s="134">
        <v>9.4580000000000002</v>
      </c>
      <c r="B97" s="134">
        <v>-7.7260248363017994E-2</v>
      </c>
      <c r="C97" s="134">
        <v>0.33410000000000001</v>
      </c>
      <c r="D97" s="134" t="s">
        <v>645</v>
      </c>
      <c r="E97" s="134">
        <v>3329</v>
      </c>
      <c r="F97" s="134">
        <v>2.7003980000000001E-3</v>
      </c>
    </row>
    <row r="98" spans="1:6">
      <c r="A98" s="134">
        <v>9.5980000000000008</v>
      </c>
      <c r="B98" s="134">
        <v>-1.9260246306657802E-2</v>
      </c>
      <c r="C98" s="134">
        <v>0.4088</v>
      </c>
      <c r="D98" s="134" t="s">
        <v>644</v>
      </c>
      <c r="E98" s="134">
        <v>3331</v>
      </c>
      <c r="F98" s="134">
        <v>2.4604601999999999E-3</v>
      </c>
    </row>
    <row r="99" spans="1:6">
      <c r="A99" s="134">
        <v>9.641</v>
      </c>
      <c r="B99" s="134">
        <v>0.11773975193500499</v>
      </c>
      <c r="C99" s="134">
        <v>0.33200000000000002</v>
      </c>
      <c r="D99" s="134" t="s">
        <v>643</v>
      </c>
      <c r="E99" s="134">
        <v>3332</v>
      </c>
      <c r="F99" s="134">
        <v>1.1098620000000001E-3</v>
      </c>
    </row>
    <row r="100" spans="1:6">
      <c r="A100" s="134">
        <v>9.5570000000000004</v>
      </c>
      <c r="B100" s="134">
        <v>5.2739754319191E-2</v>
      </c>
      <c r="C100" s="134">
        <v>0.31209999999999999</v>
      </c>
      <c r="D100" s="134" t="s">
        <v>642</v>
      </c>
      <c r="E100" s="134">
        <v>3333</v>
      </c>
      <c r="F100" s="134">
        <v>9.3420036000000002E-4</v>
      </c>
    </row>
    <row r="101" spans="1:6">
      <c r="A101" s="134">
        <v>9.3510000000000009</v>
      </c>
      <c r="B101" s="134">
        <v>-0.14826025068759899</v>
      </c>
      <c r="C101" s="134">
        <v>0.29099999999999998</v>
      </c>
      <c r="D101" s="134" t="s">
        <v>641</v>
      </c>
      <c r="E101" s="134">
        <v>3334</v>
      </c>
      <c r="F101" s="134">
        <v>1.3154658999999999E-3</v>
      </c>
    </row>
    <row r="102" spans="1:6">
      <c r="A102" s="134">
        <v>9.4749999999999996</v>
      </c>
      <c r="B102" s="134">
        <v>2.7397533413022999E-3</v>
      </c>
      <c r="C102" s="134">
        <v>0.27410000000000001</v>
      </c>
      <c r="D102" s="134" t="s">
        <v>640</v>
      </c>
      <c r="E102" s="134">
        <v>3335</v>
      </c>
      <c r="F102" s="134">
        <v>1.7777752E-3</v>
      </c>
    </row>
    <row r="103" spans="1:6">
      <c r="A103" s="134">
        <v>9.6750000000000007</v>
      </c>
      <c r="B103" s="134">
        <v>5.1739752292633098E-2</v>
      </c>
      <c r="C103" s="134">
        <v>0.41980000000000001</v>
      </c>
      <c r="D103" s="134" t="s">
        <v>639</v>
      </c>
      <c r="E103" s="134">
        <v>3336</v>
      </c>
      <c r="F103" s="134">
        <v>1.0491789000000001E-3</v>
      </c>
    </row>
    <row r="104" spans="1:6">
      <c r="A104" s="134">
        <v>9.5359999999999996</v>
      </c>
      <c r="B104" s="134">
        <v>-3.2602467108517998E-3</v>
      </c>
      <c r="C104" s="134">
        <v>0.33839999999999998</v>
      </c>
      <c r="D104" s="134" t="s">
        <v>638</v>
      </c>
      <c r="E104" s="134">
        <v>3339</v>
      </c>
      <c r="F104" s="134">
        <v>2.6884208999999998E-3</v>
      </c>
    </row>
    <row r="105" spans="1:6">
      <c r="A105" s="134">
        <v>10.19</v>
      </c>
      <c r="B105" s="134">
        <v>0.48673975467681801</v>
      </c>
      <c r="C105" s="134">
        <v>0.52949999999999997</v>
      </c>
      <c r="D105" s="134" t="s">
        <v>637</v>
      </c>
      <c r="E105" s="134">
        <v>3341</v>
      </c>
      <c r="F105" s="134">
        <v>1.7917483E-3</v>
      </c>
    </row>
    <row r="106" spans="1:6">
      <c r="A106" s="134">
        <v>9.8810000000000002</v>
      </c>
      <c r="B106" s="134">
        <v>0.300739765167236</v>
      </c>
      <c r="C106" s="134">
        <v>0.40339999999999998</v>
      </c>
      <c r="D106" s="134" t="s">
        <v>636</v>
      </c>
      <c r="E106" s="134">
        <v>3342</v>
      </c>
      <c r="F106" s="134">
        <v>1.0615550000000001E-3</v>
      </c>
    </row>
    <row r="107" spans="1:6">
      <c r="A107" s="134">
        <v>9.6920000000000002</v>
      </c>
      <c r="B107" s="134">
        <v>0.17273975908756201</v>
      </c>
      <c r="C107" s="134">
        <v>0.33260000000000001</v>
      </c>
      <c r="D107" s="134" t="s">
        <v>635</v>
      </c>
      <c r="E107" s="134">
        <v>3343</v>
      </c>
      <c r="F107" s="134">
        <v>2.0879777999999999E-4</v>
      </c>
    </row>
    <row r="108" spans="1:6">
      <c r="A108" s="134">
        <v>9.7629999999999999</v>
      </c>
      <c r="B108" s="134">
        <v>0.176739752292633</v>
      </c>
      <c r="C108" s="134">
        <v>0.40479999999999999</v>
      </c>
      <c r="D108" s="134" t="s">
        <v>634</v>
      </c>
      <c r="E108" s="134">
        <v>3344</v>
      </c>
      <c r="F108" s="134">
        <v>4.0042860999999997E-3</v>
      </c>
    </row>
    <row r="109" spans="1:6">
      <c r="A109" s="134">
        <v>9.8260000000000005</v>
      </c>
      <c r="B109" s="134">
        <v>0.24273975193500499</v>
      </c>
      <c r="C109" s="134">
        <v>0.40200000000000002</v>
      </c>
      <c r="D109" s="134" t="s">
        <v>633</v>
      </c>
      <c r="E109" s="134">
        <v>3345</v>
      </c>
      <c r="F109" s="134">
        <v>4.3755709000000004E-3</v>
      </c>
    </row>
    <row r="110" spans="1:6">
      <c r="A110" s="134">
        <v>9.7279999999999998</v>
      </c>
      <c r="B110" s="134">
        <v>0.17373974621295901</v>
      </c>
      <c r="C110" s="134">
        <v>0.37780000000000002</v>
      </c>
      <c r="D110" s="134" t="s">
        <v>632</v>
      </c>
      <c r="E110" s="134">
        <v>3346</v>
      </c>
      <c r="F110" s="134">
        <v>1.8085161E-4</v>
      </c>
    </row>
    <row r="111" spans="1:6">
      <c r="A111" s="134">
        <v>9.4009999999999998</v>
      </c>
      <c r="B111" s="134">
        <v>-9.5260247588157695E-2</v>
      </c>
      <c r="C111" s="134">
        <v>0.30020000000000002</v>
      </c>
      <c r="D111" s="134" t="s">
        <v>631</v>
      </c>
      <c r="E111" s="134">
        <v>3351</v>
      </c>
      <c r="F111" s="134">
        <v>4.6550325000000001E-4</v>
      </c>
    </row>
    <row r="112" spans="1:6">
      <c r="A112" s="134">
        <v>9.3859999999999992</v>
      </c>
      <c r="B112" s="134">
        <v>-0.154260247945785</v>
      </c>
      <c r="C112" s="134">
        <v>0.32679999999999998</v>
      </c>
      <c r="D112" s="134" t="s">
        <v>630</v>
      </c>
      <c r="E112" s="134">
        <v>3352</v>
      </c>
      <c r="F112" s="134">
        <v>6.5833179000000005E-4</v>
      </c>
    </row>
    <row r="113" spans="1:6">
      <c r="A113" s="134">
        <v>9.5380000000000003</v>
      </c>
      <c r="B113" s="134">
        <v>-4.2602466419338998E-3</v>
      </c>
      <c r="C113" s="134">
        <v>0.34350000000000003</v>
      </c>
      <c r="D113" s="134" t="s">
        <v>629</v>
      </c>
      <c r="E113" s="134">
        <v>3353</v>
      </c>
      <c r="F113" s="134">
        <v>1.5154806E-3</v>
      </c>
    </row>
    <row r="114" spans="1:6">
      <c r="A114" s="134">
        <v>9.4809999999999999</v>
      </c>
      <c r="B114" s="134">
        <v>-7.3260247707366902E-2</v>
      </c>
      <c r="C114" s="134">
        <v>0.35639999999999999</v>
      </c>
      <c r="D114" s="134" t="s">
        <v>628</v>
      </c>
      <c r="E114" s="134">
        <v>3359</v>
      </c>
      <c r="F114" s="134">
        <v>1.3585829E-3</v>
      </c>
    </row>
    <row r="115" spans="1:6">
      <c r="A115" s="134">
        <v>9.7959999999999994</v>
      </c>
      <c r="B115" s="134">
        <v>3.4739755094051403E-2</v>
      </c>
      <c r="C115" s="134">
        <v>0.53969999999999996</v>
      </c>
      <c r="D115" s="134" t="s">
        <v>627</v>
      </c>
      <c r="E115" s="134">
        <v>3361</v>
      </c>
      <c r="F115" s="134">
        <v>2.2221194E-3</v>
      </c>
    </row>
    <row r="116" spans="1:6">
      <c r="A116" s="134">
        <v>9.3109999999999999</v>
      </c>
      <c r="B116" s="134">
        <v>-0.20626024901866899</v>
      </c>
      <c r="C116" s="134">
        <v>0.29499999999999998</v>
      </c>
      <c r="D116" s="134" t="s">
        <v>626</v>
      </c>
      <c r="E116" s="134">
        <v>3362</v>
      </c>
      <c r="F116" s="134">
        <v>1.2204488999999999E-3</v>
      </c>
    </row>
    <row r="117" spans="1:6">
      <c r="A117" s="134">
        <v>9.4339999999999993</v>
      </c>
      <c r="B117" s="134">
        <v>-0.169260248541832</v>
      </c>
      <c r="C117" s="134">
        <v>0.38440000000000002</v>
      </c>
      <c r="D117" s="134" t="s">
        <v>625</v>
      </c>
      <c r="E117" s="134">
        <v>3363</v>
      </c>
      <c r="F117" s="134">
        <v>5.5173714999999998E-3</v>
      </c>
    </row>
    <row r="118" spans="1:6">
      <c r="A118" s="134">
        <v>9.9109999999999996</v>
      </c>
      <c r="B118" s="134">
        <v>0.27773976325988697</v>
      </c>
      <c r="C118" s="134">
        <v>0.45879999999999999</v>
      </c>
      <c r="D118" s="134" t="s">
        <v>624</v>
      </c>
      <c r="E118" s="134">
        <v>3364</v>
      </c>
      <c r="F118" s="134">
        <v>5.6291557999999997E-3</v>
      </c>
    </row>
    <row r="119" spans="1:6">
      <c r="A119" s="134">
        <v>9.5690000000000008</v>
      </c>
      <c r="B119" s="134">
        <v>-8.6260244250297505E-2</v>
      </c>
      <c r="C119" s="134">
        <v>0.4471</v>
      </c>
      <c r="D119" s="134" t="s">
        <v>623</v>
      </c>
      <c r="E119" s="134">
        <v>3365</v>
      </c>
      <c r="F119" s="134">
        <v>2.5670548000000001E-4</v>
      </c>
    </row>
    <row r="120" spans="1:6">
      <c r="A120" s="134">
        <v>9.5109999999999992</v>
      </c>
      <c r="B120" s="134">
        <v>-8.4260247647762299E-2</v>
      </c>
      <c r="C120" s="134">
        <v>0.38840000000000002</v>
      </c>
      <c r="D120" s="134" t="s">
        <v>622</v>
      </c>
      <c r="E120" s="134">
        <v>3366</v>
      </c>
      <c r="F120" s="134">
        <v>1.3170628E-3</v>
      </c>
    </row>
    <row r="121" spans="1:6">
      <c r="A121" s="134">
        <v>9.4949999999999992</v>
      </c>
      <c r="B121" s="134">
        <v>-7.4260249733924893E-2</v>
      </c>
      <c r="C121" s="134">
        <v>0.36870000000000003</v>
      </c>
      <c r="D121" s="134" t="s">
        <v>621</v>
      </c>
      <c r="E121" s="134">
        <v>3369</v>
      </c>
      <c r="F121" s="134">
        <v>3.3934630000000002E-4</v>
      </c>
    </row>
    <row r="122" spans="1:6">
      <c r="A122" s="134">
        <v>9.1270000000000007</v>
      </c>
      <c r="B122" s="134">
        <v>-0.24526025354862199</v>
      </c>
      <c r="C122" s="134">
        <v>0.1623</v>
      </c>
      <c r="D122" s="134" t="s">
        <v>620</v>
      </c>
      <c r="E122" s="134">
        <v>3371</v>
      </c>
      <c r="F122" s="134">
        <v>2.041667E-3</v>
      </c>
    </row>
    <row r="123" spans="1:6">
      <c r="A123" s="134">
        <v>9.3119999999999994</v>
      </c>
      <c r="B123" s="134">
        <v>-0.126260250806808</v>
      </c>
      <c r="C123" s="134">
        <v>0.23899999999999999</v>
      </c>
      <c r="D123" s="134" t="s">
        <v>619</v>
      </c>
      <c r="E123" s="134">
        <v>3372</v>
      </c>
      <c r="F123" s="134">
        <v>1.0036665E-3</v>
      </c>
    </row>
    <row r="124" spans="1:6">
      <c r="A124" s="134">
        <v>9.1859999999999999</v>
      </c>
      <c r="B124" s="134">
        <v>-0.25026023387908902</v>
      </c>
      <c r="C124" s="134">
        <v>0.2359</v>
      </c>
      <c r="D124" s="134" t="s">
        <v>618</v>
      </c>
      <c r="E124" s="134">
        <v>3379</v>
      </c>
      <c r="F124" s="134">
        <v>3.2178012999999999E-4</v>
      </c>
    </row>
    <row r="125" spans="1:6">
      <c r="A125" s="134">
        <v>9.5180000000000007</v>
      </c>
      <c r="B125" s="134">
        <v>-1.12602468580008E-2</v>
      </c>
      <c r="C125" s="134">
        <v>0.33479999999999999</v>
      </c>
      <c r="D125" s="134" t="s">
        <v>617</v>
      </c>
      <c r="E125" s="134">
        <v>3391</v>
      </c>
      <c r="F125" s="134">
        <v>3.0764734999999999E-3</v>
      </c>
    </row>
    <row r="126" spans="1:6">
      <c r="A126" s="134">
        <v>9.3109999999999999</v>
      </c>
      <c r="B126" s="134">
        <v>-0.10726024955511</v>
      </c>
      <c r="C126" s="134">
        <v>0.21959999999999999</v>
      </c>
      <c r="D126" s="134" t="s">
        <v>616</v>
      </c>
      <c r="E126" s="134">
        <v>3399</v>
      </c>
      <c r="F126" s="134">
        <v>2.5227403E-3</v>
      </c>
    </row>
    <row r="127" spans="1:6">
      <c r="A127" s="134">
        <v>9.39</v>
      </c>
      <c r="B127" s="134">
        <v>-3.4260246902704197E-2</v>
      </c>
      <c r="C127" s="134">
        <v>0.2233</v>
      </c>
      <c r="D127" s="134" t="s">
        <v>615</v>
      </c>
      <c r="E127" s="134">
        <v>4231</v>
      </c>
      <c r="F127" s="134">
        <v>2.8465164E-3</v>
      </c>
    </row>
    <row r="128" spans="1:6">
      <c r="A128" s="134">
        <v>9.423</v>
      </c>
      <c r="B128" s="134">
        <v>8.7397536262870008E-3</v>
      </c>
      <c r="C128" s="134">
        <v>0.2172</v>
      </c>
      <c r="D128" s="134" t="s">
        <v>614</v>
      </c>
      <c r="E128" s="134">
        <v>4232</v>
      </c>
      <c r="F128" s="134">
        <v>9.0585497999999998E-4</v>
      </c>
    </row>
    <row r="129" spans="1:6">
      <c r="A129" s="134">
        <v>9.4239999999999995</v>
      </c>
      <c r="B129" s="134">
        <v>-2.3260246962308901E-2</v>
      </c>
      <c r="C129" s="134">
        <v>0.23830000000000001</v>
      </c>
      <c r="D129" s="134" t="s">
        <v>613</v>
      </c>
      <c r="E129" s="134">
        <v>4233</v>
      </c>
      <c r="F129" s="134">
        <v>1.8787807000000001E-3</v>
      </c>
    </row>
    <row r="130" spans="1:6">
      <c r="A130" s="134">
        <v>9.7880000000000003</v>
      </c>
      <c r="B130" s="134">
        <v>0.238739758729934</v>
      </c>
      <c r="C130" s="134">
        <v>0.3498</v>
      </c>
      <c r="D130" s="134" t="s">
        <v>612</v>
      </c>
      <c r="E130" s="134">
        <v>4234</v>
      </c>
      <c r="F130" s="134">
        <v>6.2838946000000001E-3</v>
      </c>
    </row>
    <row r="131" spans="1:6">
      <c r="A131" s="134">
        <v>9.4909999999999997</v>
      </c>
      <c r="B131" s="134">
        <v>-1.42602464184165E-2</v>
      </c>
      <c r="C131" s="134">
        <v>0.30349999999999999</v>
      </c>
      <c r="D131" s="134" t="s">
        <v>611</v>
      </c>
      <c r="E131" s="134">
        <v>4235</v>
      </c>
      <c r="F131" s="134">
        <v>1.2220459E-3</v>
      </c>
    </row>
    <row r="132" spans="1:6">
      <c r="A132" s="134">
        <v>9.6669999999999998</v>
      </c>
      <c r="B132" s="134">
        <v>0.166739746928215</v>
      </c>
      <c r="C132" s="134">
        <v>0.30270000000000002</v>
      </c>
      <c r="D132" s="134" t="s">
        <v>610</v>
      </c>
      <c r="E132" s="134">
        <v>4236</v>
      </c>
      <c r="F132" s="134">
        <v>3.2026303999999998E-3</v>
      </c>
    </row>
    <row r="133" spans="1:6">
      <c r="A133" s="134">
        <v>9.4770000000000003</v>
      </c>
      <c r="B133" s="134">
        <v>3.8739752024412197E-2</v>
      </c>
      <c r="C133" s="134">
        <v>0.23549999999999999</v>
      </c>
      <c r="D133" s="134" t="s">
        <v>609</v>
      </c>
      <c r="E133" s="134">
        <v>4237</v>
      </c>
      <c r="F133" s="134">
        <v>2.2939809E-3</v>
      </c>
    </row>
    <row r="134" spans="1:6">
      <c r="A134" s="134">
        <v>9.5470000000000006</v>
      </c>
      <c r="B134" s="134">
        <v>6.4739756286144298E-2</v>
      </c>
      <c r="C134" s="134">
        <v>0.27929999999999999</v>
      </c>
      <c r="D134" s="134" t="s">
        <v>608</v>
      </c>
      <c r="E134" s="134">
        <v>4238</v>
      </c>
      <c r="F134" s="134">
        <v>6.2679253000000002E-3</v>
      </c>
    </row>
    <row r="135" spans="1:6">
      <c r="A135" s="134">
        <v>9.3520000000000003</v>
      </c>
      <c r="B135" s="134">
        <v>-5.8260247111320503E-2</v>
      </c>
      <c r="C135" s="134">
        <v>0.21579999999999999</v>
      </c>
      <c r="D135" s="134" t="s">
        <v>607</v>
      </c>
      <c r="E135" s="134">
        <v>4239</v>
      </c>
      <c r="F135" s="134">
        <v>2.4197386E-3</v>
      </c>
    </row>
    <row r="136" spans="1:6">
      <c r="A136" s="134">
        <v>9.4819999999999993</v>
      </c>
      <c r="B136" s="134">
        <v>3.2739754766225801E-2</v>
      </c>
      <c r="C136" s="134">
        <v>0.25829999999999997</v>
      </c>
      <c r="D136" s="134" t="s">
        <v>606</v>
      </c>
      <c r="E136" s="134">
        <v>4241</v>
      </c>
      <c r="F136" s="134">
        <v>1.0547681E-3</v>
      </c>
    </row>
    <row r="137" spans="1:6">
      <c r="A137" s="134">
        <v>9.8879999999999999</v>
      </c>
      <c r="B137" s="134">
        <v>0.253739744424819</v>
      </c>
      <c r="C137" s="134">
        <v>0.42109999999999997</v>
      </c>
      <c r="D137" s="134" t="s">
        <v>605</v>
      </c>
      <c r="E137" s="134">
        <v>4242</v>
      </c>
      <c r="F137" s="134">
        <v>1.9498438E-3</v>
      </c>
    </row>
    <row r="138" spans="1:6">
      <c r="A138" s="134">
        <v>9.4469999999999992</v>
      </c>
      <c r="B138" s="134">
        <v>5.7739753276109702E-2</v>
      </c>
      <c r="C138" s="134">
        <v>0.214</v>
      </c>
      <c r="D138" s="134" t="s">
        <v>604</v>
      </c>
      <c r="E138" s="134">
        <v>4243</v>
      </c>
      <c r="F138" s="134">
        <v>1.1889095999999999E-3</v>
      </c>
    </row>
    <row r="139" spans="1:6">
      <c r="A139" s="134">
        <v>9.4160000000000004</v>
      </c>
      <c r="B139" s="134">
        <v>-8.6260244250297505E-2</v>
      </c>
      <c r="C139" s="134">
        <v>0.30220000000000002</v>
      </c>
      <c r="D139" s="134" t="s">
        <v>603</v>
      </c>
      <c r="E139" s="134">
        <v>4244</v>
      </c>
      <c r="F139" s="134">
        <v>6.6112638000000003E-3</v>
      </c>
    </row>
    <row r="140" spans="1:6">
      <c r="A140" s="134">
        <v>9.41</v>
      </c>
      <c r="B140" s="134">
        <v>-5.4260246455669403E-2</v>
      </c>
      <c r="C140" s="134">
        <v>0.2656</v>
      </c>
      <c r="D140" s="134" t="s">
        <v>602</v>
      </c>
      <c r="E140" s="134">
        <v>4245</v>
      </c>
      <c r="F140" s="134">
        <v>5.2578711999999995E-4</v>
      </c>
    </row>
    <row r="141" spans="1:6">
      <c r="A141" s="134">
        <v>9.6709999999999994</v>
      </c>
      <c r="B141" s="134">
        <v>0.113739751279354</v>
      </c>
      <c r="C141" s="134">
        <v>0.35170000000000001</v>
      </c>
      <c r="D141" s="134" t="s">
        <v>601</v>
      </c>
      <c r="E141" s="134">
        <v>4246</v>
      </c>
      <c r="F141" s="134">
        <v>1.2248404E-3</v>
      </c>
    </row>
    <row r="142" spans="1:6">
      <c r="A142" s="134">
        <v>9.5839999999999996</v>
      </c>
      <c r="B142" s="134">
        <v>2.67397537827492E-2</v>
      </c>
      <c r="C142" s="134">
        <v>0.3493</v>
      </c>
      <c r="D142" s="134" t="s">
        <v>600</v>
      </c>
      <c r="E142" s="134">
        <v>4247</v>
      </c>
      <c r="F142" s="134">
        <v>8.3678804000000004E-4</v>
      </c>
    </row>
    <row r="143" spans="1:6">
      <c r="A143" s="134">
        <v>9.5090000000000003</v>
      </c>
      <c r="B143" s="134">
        <v>8.7397536262870008E-3</v>
      </c>
      <c r="C143" s="134">
        <v>0.29530000000000001</v>
      </c>
      <c r="D143" s="134" t="s">
        <v>599</v>
      </c>
      <c r="E143" s="134">
        <v>4248</v>
      </c>
      <c r="F143" s="134">
        <v>1.8540284000000001E-3</v>
      </c>
    </row>
    <row r="144" spans="1:6">
      <c r="A144" s="134">
        <v>9.3480000000000008</v>
      </c>
      <c r="B144" s="134">
        <v>-4.5260246843099601E-2</v>
      </c>
      <c r="C144" s="134">
        <v>0.19850000000000001</v>
      </c>
      <c r="D144" s="134" t="s">
        <v>598</v>
      </c>
      <c r="E144" s="134">
        <v>4249</v>
      </c>
      <c r="F144" s="134">
        <v>2.5718456999999999E-3</v>
      </c>
    </row>
    <row r="145" spans="1:6">
      <c r="A145" s="134">
        <v>9.8309999999999995</v>
      </c>
      <c r="B145" s="134">
        <v>0.26973974704742398</v>
      </c>
      <c r="C145" s="134">
        <v>0.35749999999999998</v>
      </c>
      <c r="D145" s="134" t="s">
        <v>597</v>
      </c>
      <c r="E145" s="134">
        <v>4251</v>
      </c>
      <c r="F145" s="134">
        <v>7.0144873999999999E-3</v>
      </c>
    </row>
    <row r="146" spans="1:6">
      <c r="A146" s="134">
        <v>9.4480000000000004</v>
      </c>
      <c r="B146" s="134">
        <v>3.4739755094051403E-2</v>
      </c>
      <c r="C146" s="134">
        <v>0.21510000000000001</v>
      </c>
      <c r="D146" s="134" t="s">
        <v>596</v>
      </c>
      <c r="E146" s="134">
        <v>4411</v>
      </c>
      <c r="F146" s="134">
        <v>9.8610035999999995E-3</v>
      </c>
    </row>
    <row r="147" spans="1:6">
      <c r="A147" s="134">
        <v>9.26</v>
      </c>
      <c r="B147" s="134">
        <v>-5.8260247111320503E-2</v>
      </c>
      <c r="C147" s="134">
        <v>0.1132</v>
      </c>
      <c r="D147" s="134" t="s">
        <v>595</v>
      </c>
      <c r="E147" s="134">
        <v>4412</v>
      </c>
      <c r="F147" s="134">
        <v>1.1094627000000001E-3</v>
      </c>
    </row>
    <row r="148" spans="1:6">
      <c r="A148" s="134">
        <v>9.1340000000000003</v>
      </c>
      <c r="B148" s="134">
        <v>-0.169260248541832</v>
      </c>
      <c r="C148" s="134">
        <v>0.1105</v>
      </c>
      <c r="D148" s="134" t="s">
        <v>594</v>
      </c>
      <c r="E148" s="134">
        <v>4413</v>
      </c>
      <c r="F148" s="134">
        <v>3.6521645E-3</v>
      </c>
    </row>
    <row r="149" spans="1:6">
      <c r="A149" s="134">
        <v>9.2089999999999996</v>
      </c>
      <c r="B149" s="134">
        <v>-0.13226024806499401</v>
      </c>
      <c r="C149" s="134">
        <v>0.14879999999999999</v>
      </c>
      <c r="D149" s="134" t="s">
        <v>593</v>
      </c>
      <c r="E149" s="134">
        <v>4421</v>
      </c>
      <c r="F149" s="134">
        <v>1.5797567000000001E-3</v>
      </c>
    </row>
    <row r="150" spans="1:6">
      <c r="A150" s="134">
        <v>9.2780000000000005</v>
      </c>
      <c r="B150" s="134">
        <v>-3.5260245203971897E-2</v>
      </c>
      <c r="C150" s="134">
        <v>0.1206</v>
      </c>
      <c r="D150" s="134" t="s">
        <v>592</v>
      </c>
      <c r="E150" s="134">
        <v>4422</v>
      </c>
      <c r="F150" s="134">
        <v>1.3206559000000001E-3</v>
      </c>
    </row>
    <row r="151" spans="1:6">
      <c r="A151" s="134">
        <v>9.3539999999999992</v>
      </c>
      <c r="B151" s="134">
        <v>-4.8260245472192799E-2</v>
      </c>
      <c r="C151" s="134">
        <v>0.23019999999999999</v>
      </c>
      <c r="D151" s="134" t="s">
        <v>591</v>
      </c>
      <c r="E151" s="134">
        <v>4431</v>
      </c>
      <c r="F151" s="134">
        <v>3.6130399000000001E-3</v>
      </c>
    </row>
    <row r="152" spans="1:6">
      <c r="A152" s="134">
        <v>9.1219999999999999</v>
      </c>
      <c r="B152" s="134">
        <v>-0.15326024591922699</v>
      </c>
      <c r="C152" s="134">
        <v>8.6879999999999999E-2</v>
      </c>
      <c r="D152" s="134" t="s">
        <v>590</v>
      </c>
      <c r="E152" s="134">
        <v>4441</v>
      </c>
      <c r="F152" s="134">
        <v>7.4536413999999997E-3</v>
      </c>
    </row>
    <row r="153" spans="1:6">
      <c r="A153" s="134">
        <v>9.1180000000000003</v>
      </c>
      <c r="B153" s="134">
        <v>-0.140260249376297</v>
      </c>
      <c r="C153" s="134">
        <v>6.0490000000000002E-2</v>
      </c>
      <c r="D153" s="134" t="s">
        <v>589</v>
      </c>
      <c r="E153" s="134">
        <v>4442</v>
      </c>
      <c r="F153" s="134">
        <v>8.6712954000000002E-4</v>
      </c>
    </row>
    <row r="154" spans="1:6">
      <c r="A154" s="134">
        <v>9.0259999999999998</v>
      </c>
      <c r="B154" s="134">
        <v>-0.222260251641273</v>
      </c>
      <c r="C154" s="134">
        <v>6.6540000000000002E-2</v>
      </c>
      <c r="D154" s="134" t="s">
        <v>588</v>
      </c>
      <c r="E154" s="134">
        <v>4451</v>
      </c>
      <c r="F154" s="134">
        <v>1.3781452E-2</v>
      </c>
    </row>
    <row r="155" spans="1:6">
      <c r="A155" s="134">
        <v>9.0679999999999996</v>
      </c>
      <c r="B155" s="134">
        <v>-0.19126024842262199</v>
      </c>
      <c r="C155" s="134">
        <v>7.7499999999999999E-2</v>
      </c>
      <c r="D155" s="134" t="s">
        <v>587</v>
      </c>
      <c r="E155" s="134">
        <v>4452</v>
      </c>
      <c r="F155" s="134">
        <v>9.3020807000000001E-4</v>
      </c>
    </row>
    <row r="156" spans="1:6">
      <c r="A156" s="134">
        <v>9.0259999999999998</v>
      </c>
      <c r="B156" s="134">
        <v>-0.15226024389266901</v>
      </c>
      <c r="C156" s="134">
        <v>-9.4839999999999994E-3</v>
      </c>
      <c r="D156" s="134" t="s">
        <v>586</v>
      </c>
      <c r="E156" s="134">
        <v>4453</v>
      </c>
      <c r="F156" s="134">
        <v>6.6990946999999996E-4</v>
      </c>
    </row>
    <row r="157" spans="1:6">
      <c r="A157" s="134">
        <v>9.2360000000000007</v>
      </c>
      <c r="B157" s="134">
        <v>-6.4260244369506794E-2</v>
      </c>
      <c r="C157" s="134">
        <v>0.1158</v>
      </c>
      <c r="D157" s="134" t="s">
        <v>585</v>
      </c>
      <c r="E157" s="134">
        <v>4461</v>
      </c>
      <c r="F157" s="134">
        <v>6.3477717000000001E-3</v>
      </c>
    </row>
    <row r="158" spans="1:6">
      <c r="A158" s="134">
        <v>8.8949999999999996</v>
      </c>
      <c r="B158" s="134">
        <v>-0.35426023602485601</v>
      </c>
      <c r="C158" s="134">
        <v>4.8980000000000003E-2</v>
      </c>
      <c r="D158" s="134" t="s">
        <v>584</v>
      </c>
      <c r="E158" s="134">
        <v>4471</v>
      </c>
      <c r="F158" s="134">
        <v>3.7439875E-3</v>
      </c>
    </row>
    <row r="159" spans="1:6">
      <c r="A159" s="134">
        <v>9.1679999999999993</v>
      </c>
      <c r="B159" s="134">
        <v>-0.121260248124599</v>
      </c>
      <c r="C159" s="134">
        <v>0.1295</v>
      </c>
      <c r="D159" s="134" t="s">
        <v>583</v>
      </c>
      <c r="E159" s="134">
        <v>4481</v>
      </c>
      <c r="F159" s="134">
        <v>3.1774788999999999E-3</v>
      </c>
    </row>
    <row r="160" spans="1:6">
      <c r="A160" s="134">
        <v>9.1590000000000007</v>
      </c>
      <c r="B160" s="134">
        <v>-0.14826025068759899</v>
      </c>
      <c r="C160" s="134">
        <v>0.14680000000000001</v>
      </c>
      <c r="D160" s="134" t="s">
        <v>582</v>
      </c>
      <c r="E160" s="134">
        <v>4482</v>
      </c>
      <c r="F160" s="134">
        <v>6.4555642999999995E-4</v>
      </c>
    </row>
    <row r="161" spans="1:6">
      <c r="A161" s="134">
        <v>9.282</v>
      </c>
      <c r="B161" s="134">
        <v>-3.7260245531797402E-2</v>
      </c>
      <c r="C161" s="134">
        <v>0.14249999999999999</v>
      </c>
      <c r="D161" s="134" t="s">
        <v>581</v>
      </c>
      <c r="E161" s="134">
        <v>4483</v>
      </c>
      <c r="F161" s="134">
        <v>7.7969796000000005E-4</v>
      </c>
    </row>
    <row r="162" spans="1:6">
      <c r="A162" s="134">
        <v>9.0419999999999998</v>
      </c>
      <c r="B162" s="134">
        <v>-0.15626025199890101</v>
      </c>
      <c r="C162" s="134">
        <v>1.8970000000000001E-2</v>
      </c>
      <c r="D162" s="134" t="s">
        <v>580</v>
      </c>
      <c r="E162" s="134">
        <v>4511</v>
      </c>
      <c r="F162" s="134">
        <v>1.9909645999999998E-3</v>
      </c>
    </row>
    <row r="163" spans="1:6">
      <c r="A163" s="134">
        <v>9.01</v>
      </c>
      <c r="B163" s="134">
        <v>-0.208260253071785</v>
      </c>
      <c r="C163" s="134">
        <v>4.6339999999999999E-2</v>
      </c>
      <c r="D163" s="134" t="s">
        <v>579</v>
      </c>
      <c r="E163" s="134">
        <v>4512</v>
      </c>
      <c r="F163" s="134">
        <v>3.6050550999999997E-4</v>
      </c>
    </row>
    <row r="164" spans="1:6">
      <c r="A164" s="134">
        <v>8.9789999999999992</v>
      </c>
      <c r="B164" s="134">
        <v>-0.25426024198532099</v>
      </c>
      <c r="C164" s="134">
        <v>6.7349999999999993E-2</v>
      </c>
      <c r="E164" s="134">
        <v>4521</v>
      </c>
      <c r="F164" s="134">
        <v>6.5433946000000003E-3</v>
      </c>
    </row>
    <row r="165" spans="1:6">
      <c r="A165" s="134">
        <v>8.9469999999999992</v>
      </c>
      <c r="B165" s="134">
        <v>-0.30126023292541498</v>
      </c>
      <c r="C165" s="134">
        <v>5.1529999999999999E-2</v>
      </c>
      <c r="E165" s="134">
        <v>4529</v>
      </c>
      <c r="F165" s="134">
        <v>1.0902996E-2</v>
      </c>
    </row>
    <row r="166" spans="1:6">
      <c r="A166" s="134">
        <v>8.9</v>
      </c>
      <c r="B166" s="134">
        <v>-0.22126024961471499</v>
      </c>
      <c r="C166" s="134">
        <v>-6.3539999999999999E-2</v>
      </c>
      <c r="D166" s="134" t="s">
        <v>578</v>
      </c>
      <c r="E166" s="134">
        <v>4531</v>
      </c>
      <c r="F166" s="134">
        <v>2.3115470000000001E-4</v>
      </c>
    </row>
    <row r="167" spans="1:6">
      <c r="A167" s="134">
        <v>9.1539999999999999</v>
      </c>
      <c r="B167" s="134">
        <v>-0.135260239243507</v>
      </c>
      <c r="C167" s="134">
        <v>0.1105</v>
      </c>
      <c r="D167" s="134" t="s">
        <v>577</v>
      </c>
      <c r="E167" s="134">
        <v>4532</v>
      </c>
      <c r="F167" s="134">
        <v>1.2795351000000001E-3</v>
      </c>
    </row>
    <row r="168" spans="1:6">
      <c r="A168" s="134">
        <v>8.8919999999999995</v>
      </c>
      <c r="B168" s="134">
        <v>-0.32526025176048201</v>
      </c>
      <c r="C168" s="134">
        <v>2.4590000000000001E-2</v>
      </c>
      <c r="D168" s="134" t="s">
        <v>576</v>
      </c>
      <c r="E168" s="134">
        <v>4533</v>
      </c>
      <c r="F168" s="134">
        <v>6.4595562000000005E-4</v>
      </c>
    </row>
    <row r="169" spans="1:6">
      <c r="A169" s="134">
        <v>9.1170000000000009</v>
      </c>
      <c r="B169" s="134">
        <v>-0.155260249972343</v>
      </c>
      <c r="C169" s="134">
        <v>8.5169999999999996E-2</v>
      </c>
      <c r="D169" s="134" t="s">
        <v>575</v>
      </c>
      <c r="E169" s="134">
        <v>4539</v>
      </c>
      <c r="F169" s="134">
        <v>1.5226668E-3</v>
      </c>
    </row>
    <row r="170" spans="1:6">
      <c r="A170" s="134">
        <v>9.4540000000000006</v>
      </c>
      <c r="B170" s="134">
        <v>1.57397538423538E-2</v>
      </c>
      <c r="C170" s="134">
        <v>0.2424</v>
      </c>
      <c r="D170" s="134" t="s">
        <v>574</v>
      </c>
      <c r="E170" s="134">
        <v>4541</v>
      </c>
      <c r="F170" s="134">
        <v>2.5658569999999999E-3</v>
      </c>
    </row>
    <row r="171" spans="1:6">
      <c r="A171" s="134">
        <v>9.0960000000000001</v>
      </c>
      <c r="B171" s="134">
        <v>-0.23826023936271601</v>
      </c>
      <c r="C171" s="134">
        <v>0.13489999999999999</v>
      </c>
      <c r="D171" s="134" t="s">
        <v>573</v>
      </c>
      <c r="E171" s="134">
        <v>4542</v>
      </c>
      <c r="F171" s="134">
        <v>2.7427164999999998E-4</v>
      </c>
    </row>
    <row r="172" spans="1:6">
      <c r="A172" s="134">
        <v>9.359</v>
      </c>
      <c r="B172" s="134">
        <v>-6.7260242998600006E-2</v>
      </c>
      <c r="C172" s="134">
        <v>0.22919999999999999</v>
      </c>
      <c r="D172" s="134" t="s">
        <v>572</v>
      </c>
      <c r="E172" s="134">
        <v>4543</v>
      </c>
      <c r="F172" s="134">
        <v>1.0871057999999999E-3</v>
      </c>
    </row>
    <row r="173" spans="1:6">
      <c r="A173" s="134">
        <v>9.6270000000000007</v>
      </c>
      <c r="B173" s="134">
        <v>0.24973975121974901</v>
      </c>
      <c r="C173" s="134">
        <v>0.1883</v>
      </c>
      <c r="D173" s="134" t="s">
        <v>571</v>
      </c>
      <c r="E173" s="134">
        <v>4811</v>
      </c>
      <c r="F173" s="134">
        <v>4.2438246000000004E-3</v>
      </c>
    </row>
    <row r="174" spans="1:6">
      <c r="A174" s="134">
        <v>9.7449999999999992</v>
      </c>
      <c r="B174" s="134">
        <v>0.24673976004123599</v>
      </c>
      <c r="C174" s="134">
        <v>0.29260000000000003</v>
      </c>
      <c r="D174" s="134" t="s">
        <v>570</v>
      </c>
      <c r="E174" s="134">
        <v>4812</v>
      </c>
      <c r="F174" s="134">
        <v>3.7288167999999998E-4</v>
      </c>
    </row>
    <row r="175" spans="1:6">
      <c r="A175" s="134">
        <v>9.4849999999999994</v>
      </c>
      <c r="B175" s="134">
        <v>-1.0260246694088E-2</v>
      </c>
      <c r="C175" s="134">
        <v>0.3382</v>
      </c>
      <c r="D175" s="134" t="s">
        <v>569</v>
      </c>
      <c r="E175" s="134">
        <v>4821</v>
      </c>
      <c r="F175" s="134">
        <v>1.0779235000000001E-5</v>
      </c>
    </row>
    <row r="176" spans="1:6">
      <c r="A176" s="134">
        <v>9.7460000000000004</v>
      </c>
      <c r="B176" s="134">
        <v>0.181739747524261</v>
      </c>
      <c r="C176" s="134">
        <v>0.3775</v>
      </c>
      <c r="D176" s="134" t="s">
        <v>568</v>
      </c>
      <c r="E176" s="134">
        <v>4831</v>
      </c>
      <c r="F176" s="134">
        <v>4.0362246000000002E-4</v>
      </c>
    </row>
    <row r="177" spans="1:6">
      <c r="A177" s="134">
        <v>9.7059999999999995</v>
      </c>
      <c r="B177" s="134">
        <v>7.3739752173423795E-2</v>
      </c>
      <c r="C177" s="134">
        <v>0.42880000000000001</v>
      </c>
      <c r="D177" s="134" t="s">
        <v>567</v>
      </c>
      <c r="E177" s="134">
        <v>4832</v>
      </c>
      <c r="F177" s="134">
        <v>2.5670548000000001E-4</v>
      </c>
    </row>
    <row r="178" spans="1:6">
      <c r="A178" s="134">
        <v>9.375</v>
      </c>
      <c r="B178" s="134">
        <v>-0.119260244071483</v>
      </c>
      <c r="C178" s="134">
        <v>0.2863</v>
      </c>
      <c r="D178" s="134" t="s">
        <v>566</v>
      </c>
      <c r="E178" s="134">
        <v>4841</v>
      </c>
      <c r="F178" s="134">
        <v>8.3359414999999992E-3</v>
      </c>
    </row>
    <row r="179" spans="1:6">
      <c r="A179" s="134">
        <v>9.3670000000000009</v>
      </c>
      <c r="B179" s="134">
        <v>-0.126260250806808</v>
      </c>
      <c r="C179" s="134">
        <v>0.28539999999999999</v>
      </c>
      <c r="D179" s="134" t="s">
        <v>565</v>
      </c>
      <c r="E179" s="134">
        <v>4842</v>
      </c>
      <c r="F179" s="134">
        <v>3.4250020999999999E-3</v>
      </c>
    </row>
    <row r="180" spans="1:6">
      <c r="A180" s="134">
        <v>9.6020000000000003</v>
      </c>
      <c r="B180" s="134">
        <v>2.5739753618836399E-2</v>
      </c>
      <c r="C180" s="134">
        <v>0.39500000000000002</v>
      </c>
      <c r="D180" s="134" t="s">
        <v>564</v>
      </c>
      <c r="E180" s="134">
        <v>4851</v>
      </c>
      <c r="F180" s="134">
        <v>2.5319224E-3</v>
      </c>
    </row>
    <row r="181" spans="1:6">
      <c r="A181" s="134">
        <v>9.2759999999999998</v>
      </c>
      <c r="B181" s="134">
        <v>-0.17626024782657601</v>
      </c>
      <c r="C181" s="134">
        <v>0.2626</v>
      </c>
      <c r="D181" s="134" t="s">
        <v>563</v>
      </c>
      <c r="E181" s="134">
        <v>4852</v>
      </c>
      <c r="F181" s="134">
        <v>1.924293E-4</v>
      </c>
    </row>
    <row r="182" spans="1:6">
      <c r="A182" s="134">
        <v>9.077</v>
      </c>
      <c r="B182" s="134">
        <v>-0.18126024305820401</v>
      </c>
      <c r="C182" s="134">
        <v>6.6350000000000006E-2</v>
      </c>
      <c r="D182" s="134" t="s">
        <v>562</v>
      </c>
      <c r="E182" s="134">
        <v>4853</v>
      </c>
      <c r="F182" s="134">
        <v>4.2797555000000001E-4</v>
      </c>
    </row>
    <row r="183" spans="1:6">
      <c r="A183" s="134">
        <v>9.0540000000000003</v>
      </c>
      <c r="B183" s="134">
        <v>-0.16626024246215801</v>
      </c>
      <c r="C183" s="134">
        <v>2.444E-2</v>
      </c>
      <c r="D183" s="134" t="s">
        <v>561</v>
      </c>
      <c r="E183" s="134">
        <v>4854</v>
      </c>
      <c r="F183" s="134">
        <v>1.4324406000000001E-3</v>
      </c>
    </row>
    <row r="184" spans="1:6">
      <c r="A184" s="134">
        <v>9.1150000000000002</v>
      </c>
      <c r="B184" s="134">
        <v>-0.184260249137878</v>
      </c>
      <c r="C184" s="134">
        <v>0.1173</v>
      </c>
      <c r="D184" s="134" t="s">
        <v>560</v>
      </c>
      <c r="E184" s="134">
        <v>4855</v>
      </c>
      <c r="F184" s="134">
        <v>1.7246776000000001E-4</v>
      </c>
    </row>
    <row r="185" spans="1:6">
      <c r="A185" s="134">
        <v>9.0030000000000001</v>
      </c>
      <c r="B185" s="134">
        <v>-0.284260243177413</v>
      </c>
      <c r="C185" s="134">
        <v>0.1007</v>
      </c>
      <c r="D185" s="134" t="s">
        <v>559</v>
      </c>
      <c r="E185" s="134">
        <v>4859</v>
      </c>
      <c r="F185" s="134">
        <v>6.0802866999999997E-4</v>
      </c>
    </row>
    <row r="186" spans="1:6">
      <c r="A186" s="134">
        <v>10.17</v>
      </c>
      <c r="B186" s="134">
        <v>0.29873976111411998</v>
      </c>
      <c r="C186" s="134">
        <v>0.64870000000000005</v>
      </c>
      <c r="D186" s="134" t="s">
        <v>558</v>
      </c>
      <c r="E186" s="134">
        <v>4861</v>
      </c>
      <c r="F186" s="134">
        <v>1.1298234999999999E-4</v>
      </c>
    </row>
    <row r="187" spans="1:6">
      <c r="A187" s="134">
        <v>10.050000000000001</v>
      </c>
      <c r="B187" s="134">
        <v>0.26673975586891102</v>
      </c>
      <c r="C187" s="134">
        <v>0.5706</v>
      </c>
      <c r="D187" s="134" t="s">
        <v>557</v>
      </c>
      <c r="E187" s="134">
        <v>4862</v>
      </c>
      <c r="F187" s="134">
        <v>3.2138088000000002E-4</v>
      </c>
    </row>
    <row r="188" spans="1:6">
      <c r="A188" s="134">
        <v>10.07</v>
      </c>
      <c r="B188" s="134">
        <v>0.244739755988121</v>
      </c>
      <c r="C188" s="134">
        <v>0.60499999999999998</v>
      </c>
      <c r="D188" s="134" t="s">
        <v>556</v>
      </c>
      <c r="E188" s="134">
        <v>4869</v>
      </c>
      <c r="F188" s="134">
        <v>8.3439263000000005E-5</v>
      </c>
    </row>
    <row r="189" spans="1:6">
      <c r="A189" s="134">
        <v>9.2029999999999994</v>
      </c>
      <c r="B189" s="134">
        <v>-0.119260244071483</v>
      </c>
      <c r="C189" s="134">
        <v>0.14399999999999999</v>
      </c>
      <c r="D189" s="134" t="s">
        <v>555</v>
      </c>
      <c r="E189" s="134">
        <v>4871</v>
      </c>
      <c r="F189" s="134">
        <v>7.6253105000000004E-5</v>
      </c>
    </row>
    <row r="190" spans="1:6">
      <c r="A190" s="134">
        <v>9.1890000000000001</v>
      </c>
      <c r="B190" s="134">
        <v>-4.3260246515273999E-2</v>
      </c>
      <c r="C190" s="134">
        <v>5.466E-2</v>
      </c>
      <c r="D190" s="134" t="s">
        <v>554</v>
      </c>
      <c r="E190" s="134">
        <v>4872</v>
      </c>
      <c r="F190" s="134">
        <v>6.7070795999999997E-5</v>
      </c>
    </row>
    <row r="191" spans="1:6">
      <c r="A191" s="134">
        <v>9.3889999999999993</v>
      </c>
      <c r="B191" s="134">
        <v>1.073975302279E-2</v>
      </c>
      <c r="C191" s="134">
        <v>0.1734</v>
      </c>
      <c r="D191" s="134" t="s">
        <v>553</v>
      </c>
      <c r="E191" s="134">
        <v>4879</v>
      </c>
      <c r="F191" s="134">
        <v>1.8963468000000001E-5</v>
      </c>
    </row>
    <row r="192" spans="1:6">
      <c r="A192" s="134">
        <v>9.4209999999999994</v>
      </c>
      <c r="B192" s="134">
        <v>-3.7260245531797402E-2</v>
      </c>
      <c r="C192" s="134">
        <v>0.26119999999999999</v>
      </c>
      <c r="D192" s="134" t="s">
        <v>552</v>
      </c>
      <c r="E192" s="134">
        <v>4881</v>
      </c>
      <c r="F192" s="134">
        <v>1.7709882999999999E-3</v>
      </c>
    </row>
    <row r="193" spans="1:6">
      <c r="A193" s="134">
        <v>9.4030000000000005</v>
      </c>
      <c r="B193" s="134">
        <v>-0.15626025199890101</v>
      </c>
      <c r="C193" s="134">
        <v>0.34910000000000002</v>
      </c>
      <c r="D193" s="134" t="s">
        <v>551</v>
      </c>
      <c r="E193" s="134">
        <v>4882</v>
      </c>
      <c r="F193" s="134">
        <v>2.7347317999999997E-4</v>
      </c>
    </row>
    <row r="194" spans="1:6">
      <c r="A194" s="134">
        <v>9.7629999999999999</v>
      </c>
      <c r="B194" s="134">
        <v>0.13773974776268</v>
      </c>
      <c r="C194" s="134">
        <v>0.42699999999999999</v>
      </c>
      <c r="D194" s="134" t="s">
        <v>550</v>
      </c>
      <c r="E194" s="134">
        <v>4883</v>
      </c>
      <c r="F194" s="134">
        <v>7.6053489000000001E-4</v>
      </c>
    </row>
    <row r="195" spans="1:6">
      <c r="A195" s="134">
        <v>9.2539999999999996</v>
      </c>
      <c r="B195" s="134">
        <v>-0.159260243177413</v>
      </c>
      <c r="C195" s="134">
        <v>0.2077</v>
      </c>
      <c r="D195" s="134" t="s">
        <v>549</v>
      </c>
      <c r="E195" s="134">
        <v>4884</v>
      </c>
      <c r="F195" s="134">
        <v>8.3479186000000002E-4</v>
      </c>
    </row>
    <row r="196" spans="1:6">
      <c r="A196" s="134">
        <v>9.4480000000000004</v>
      </c>
      <c r="B196" s="134">
        <v>-1.2602466158569E-3</v>
      </c>
      <c r="C196" s="134">
        <v>0.24790000000000001</v>
      </c>
      <c r="D196" s="134" t="s">
        <v>548</v>
      </c>
      <c r="E196" s="134">
        <v>4885</v>
      </c>
      <c r="F196" s="134">
        <v>1.8316714999999999E-3</v>
      </c>
    </row>
    <row r="197" spans="1:6">
      <c r="A197" s="134">
        <v>9.2609999999999992</v>
      </c>
      <c r="B197" s="134">
        <v>-0.169260248541832</v>
      </c>
      <c r="C197" s="134">
        <v>0.2263</v>
      </c>
      <c r="D197" s="134" t="s">
        <v>547</v>
      </c>
      <c r="E197" s="134">
        <v>4889</v>
      </c>
      <c r="F197" s="134">
        <v>2.3634470000000001E-4</v>
      </c>
    </row>
    <row r="198" spans="1:6">
      <c r="A198" s="134">
        <v>9.1379999999999999</v>
      </c>
      <c r="B198" s="134">
        <v>-0.25026023387908902</v>
      </c>
      <c r="C198" s="134">
        <v>0.18049999999999999</v>
      </c>
      <c r="D198" s="134" t="s">
        <v>546</v>
      </c>
      <c r="E198" s="134">
        <v>4911</v>
      </c>
      <c r="F198" s="134">
        <v>2.9543087E-5</v>
      </c>
    </row>
    <row r="199" spans="1:6">
      <c r="A199" s="134">
        <v>9.4719999999999995</v>
      </c>
      <c r="B199" s="134">
        <v>0.11273975670337601</v>
      </c>
      <c r="C199" s="134">
        <v>0.1522</v>
      </c>
      <c r="D199" s="134" t="s">
        <v>545</v>
      </c>
      <c r="E199" s="134">
        <v>4921</v>
      </c>
      <c r="F199" s="134">
        <v>4.2238631E-3</v>
      </c>
    </row>
    <row r="200" spans="1:6">
      <c r="A200" s="134">
        <v>9.1379999999999999</v>
      </c>
      <c r="B200" s="134">
        <v>-0.223260253667831</v>
      </c>
      <c r="C200" s="134">
        <v>0.153</v>
      </c>
      <c r="D200" s="134" t="s">
        <v>544</v>
      </c>
      <c r="E200" s="134">
        <v>4922</v>
      </c>
      <c r="F200" s="134">
        <v>3.5252089999999997E-4</v>
      </c>
    </row>
    <row r="201" spans="1:6">
      <c r="A201" s="134">
        <v>9.2100000000000009</v>
      </c>
      <c r="B201" s="134">
        <v>-0.22126024961471499</v>
      </c>
      <c r="C201" s="134">
        <v>0.22259999999999999</v>
      </c>
      <c r="D201" s="134" t="s">
        <v>543</v>
      </c>
      <c r="E201" s="134">
        <v>4931</v>
      </c>
      <c r="F201" s="134">
        <v>6.7709563000000004E-3</v>
      </c>
    </row>
    <row r="202" spans="1:6">
      <c r="A202" s="134">
        <v>9.5180000000000007</v>
      </c>
      <c r="B202" s="134">
        <v>7.2739750146865803E-2</v>
      </c>
      <c r="C202" s="134">
        <v>0.27</v>
      </c>
      <c r="D202" s="134" t="s">
        <v>542</v>
      </c>
      <c r="E202" s="134">
        <v>5111</v>
      </c>
      <c r="F202" s="134">
        <v>3.7423905000000001E-3</v>
      </c>
    </row>
    <row r="203" spans="1:6">
      <c r="A203" s="134">
        <v>10.15</v>
      </c>
      <c r="B203" s="134">
        <v>0.48973974585533098</v>
      </c>
      <c r="C203" s="134">
        <v>0.45450000000000002</v>
      </c>
      <c r="D203" s="134" t="s">
        <v>541</v>
      </c>
      <c r="E203" s="134">
        <v>5112</v>
      </c>
      <c r="F203" s="134">
        <v>3.2928567000000001E-3</v>
      </c>
    </row>
    <row r="204" spans="1:6">
      <c r="A204" s="134">
        <v>9.7490000000000006</v>
      </c>
      <c r="B204" s="134">
        <v>0.27473974227905201</v>
      </c>
      <c r="C204" s="134">
        <v>0.29459999999999997</v>
      </c>
      <c r="D204" s="134" t="s">
        <v>540</v>
      </c>
      <c r="E204" s="134">
        <v>5121</v>
      </c>
      <c r="F204" s="134">
        <v>1.7186891000000001E-3</v>
      </c>
    </row>
    <row r="205" spans="1:6">
      <c r="A205" s="134">
        <v>9.6170000000000009</v>
      </c>
      <c r="B205" s="134">
        <v>0.190739750862121</v>
      </c>
      <c r="C205" s="134">
        <v>0.2477</v>
      </c>
      <c r="D205" s="134" t="s">
        <v>539</v>
      </c>
      <c r="E205" s="134">
        <v>5122</v>
      </c>
      <c r="F205" s="134">
        <v>1.3613775E-4</v>
      </c>
    </row>
    <row r="206" spans="1:6">
      <c r="A206" s="134">
        <v>9.65</v>
      </c>
      <c r="B206" s="134">
        <v>0.19873975217342299</v>
      </c>
      <c r="C206" s="134">
        <v>0.25569999999999998</v>
      </c>
      <c r="D206" s="134" t="s">
        <v>538</v>
      </c>
      <c r="E206" s="134">
        <v>5151</v>
      </c>
      <c r="F206" s="134">
        <v>1.9111184E-3</v>
      </c>
    </row>
    <row r="207" spans="1:6">
      <c r="A207" s="134">
        <v>9.766</v>
      </c>
      <c r="B207" s="134">
        <v>0.17073975503444599</v>
      </c>
      <c r="C207" s="134">
        <v>0.41089999999999999</v>
      </c>
      <c r="D207" s="134" t="s">
        <v>537</v>
      </c>
      <c r="E207" s="134">
        <v>5152</v>
      </c>
      <c r="F207" s="134">
        <v>7.0104952000000001E-4</v>
      </c>
    </row>
    <row r="208" spans="1:6">
      <c r="A208" s="134">
        <v>9.7460000000000004</v>
      </c>
      <c r="B208" s="134">
        <v>5.2739754319191E-2</v>
      </c>
      <c r="C208" s="134">
        <v>0.48899999999999999</v>
      </c>
      <c r="E208" s="134">
        <v>5171</v>
      </c>
      <c r="F208" s="134">
        <v>6.3517638000000001E-3</v>
      </c>
    </row>
    <row r="209" spans="1:6">
      <c r="A209" s="134">
        <v>9.6609999999999996</v>
      </c>
      <c r="B209" s="134">
        <v>1.57397538423538E-2</v>
      </c>
      <c r="C209" s="134">
        <v>0.45750000000000002</v>
      </c>
      <c r="E209" s="134">
        <v>5172</v>
      </c>
      <c r="F209" s="134">
        <v>1.4559950999999999E-3</v>
      </c>
    </row>
    <row r="210" spans="1:6">
      <c r="A210" s="134">
        <v>9.8729999999999993</v>
      </c>
      <c r="B210" s="134">
        <v>0.25973975658416698</v>
      </c>
      <c r="C210" s="134">
        <v>0.42849999999999999</v>
      </c>
      <c r="D210" s="134" t="s">
        <v>536</v>
      </c>
      <c r="E210" s="134">
        <v>5174</v>
      </c>
      <c r="F210" s="134">
        <v>1.0100543E-4</v>
      </c>
    </row>
    <row r="211" spans="1:6">
      <c r="A211" s="134">
        <v>9.7650000000000006</v>
      </c>
      <c r="B211" s="134">
        <v>0.156739756464958</v>
      </c>
      <c r="C211" s="134">
        <v>0.42070000000000002</v>
      </c>
      <c r="D211" s="134" t="s">
        <v>535</v>
      </c>
      <c r="E211" s="134">
        <v>5179</v>
      </c>
      <c r="F211" s="134">
        <v>9.0385879999999995E-4</v>
      </c>
    </row>
    <row r="212" spans="1:6">
      <c r="A212" s="134">
        <v>9.8059999999999992</v>
      </c>
      <c r="B212" s="134">
        <v>0.24573975801467901</v>
      </c>
      <c r="C212" s="134">
        <v>0.35139999999999999</v>
      </c>
      <c r="D212" s="134" t="s">
        <v>534</v>
      </c>
      <c r="E212" s="134">
        <v>5182</v>
      </c>
      <c r="F212" s="134">
        <v>2.8006049999999998E-3</v>
      </c>
    </row>
    <row r="213" spans="1:6">
      <c r="A213" s="134">
        <v>9.875</v>
      </c>
      <c r="B213" s="134">
        <v>0.28973975777625999</v>
      </c>
      <c r="C213" s="134">
        <v>0.39129999999999998</v>
      </c>
      <c r="D213" s="134" t="s">
        <v>533</v>
      </c>
      <c r="E213" s="134">
        <v>5191</v>
      </c>
      <c r="F213" s="134">
        <v>2.9028080999999998E-3</v>
      </c>
    </row>
    <row r="214" spans="1:6">
      <c r="A214" s="134">
        <v>10.029999999999999</v>
      </c>
      <c r="B214" s="134">
        <v>0.425739765167236</v>
      </c>
      <c r="C214" s="134">
        <v>0.4103</v>
      </c>
      <c r="D214" s="134" t="s">
        <v>532</v>
      </c>
      <c r="E214" s="134">
        <v>5211</v>
      </c>
      <c r="F214" s="134">
        <v>2.1478624E-4</v>
      </c>
    </row>
    <row r="215" spans="1:6">
      <c r="A215" s="134">
        <v>9.4930000000000003</v>
      </c>
      <c r="B215" s="134">
        <v>4.4739753007888801E-2</v>
      </c>
      <c r="C215" s="134">
        <v>0.25569999999999998</v>
      </c>
      <c r="D215" s="134" t="s">
        <v>531</v>
      </c>
      <c r="E215" s="134">
        <v>5221</v>
      </c>
      <c r="F215" s="134">
        <v>1.7111036999999999E-2</v>
      </c>
    </row>
    <row r="216" spans="1:6">
      <c r="A216" s="134">
        <v>9.6630000000000003</v>
      </c>
      <c r="B216" s="134">
        <v>0.120739750564098</v>
      </c>
      <c r="C216" s="134">
        <v>0.33150000000000002</v>
      </c>
      <c r="D216" s="134" t="s">
        <v>530</v>
      </c>
      <c r="E216" s="134">
        <v>5222</v>
      </c>
      <c r="F216" s="134">
        <v>5.7369485000000001E-3</v>
      </c>
    </row>
    <row r="217" spans="1:6">
      <c r="A217" s="134">
        <v>9.6020000000000003</v>
      </c>
      <c r="B217" s="134">
        <v>8.9739754796028096E-2</v>
      </c>
      <c r="C217" s="134">
        <v>0.30609999999999998</v>
      </c>
      <c r="D217" s="134" t="s">
        <v>529</v>
      </c>
      <c r="E217" s="134">
        <v>5223</v>
      </c>
      <c r="F217" s="134">
        <v>2.6664634000000001E-3</v>
      </c>
    </row>
    <row r="218" spans="1:6">
      <c r="A218" s="134">
        <v>10.27</v>
      </c>
      <c r="B218" s="134">
        <v>0.66373974084854104</v>
      </c>
      <c r="C218" s="134">
        <v>0.4219</v>
      </c>
      <c r="D218" s="134" t="s">
        <v>528</v>
      </c>
      <c r="E218" s="134">
        <v>5231</v>
      </c>
      <c r="F218" s="134">
        <v>4.7668171999999997E-3</v>
      </c>
    </row>
    <row r="219" spans="1:6">
      <c r="A219" s="134">
        <v>10.34</v>
      </c>
      <c r="B219" s="134">
        <v>0.64373975992202703</v>
      </c>
      <c r="C219" s="134">
        <v>0.51080000000000003</v>
      </c>
      <c r="D219" s="134" t="s">
        <v>527</v>
      </c>
      <c r="E219" s="134">
        <v>5232</v>
      </c>
      <c r="F219" s="134">
        <v>7.2260794999999997E-5</v>
      </c>
    </row>
    <row r="220" spans="1:6">
      <c r="A220" s="134">
        <v>10.15</v>
      </c>
      <c r="B220" s="134">
        <v>0.52173978090286199</v>
      </c>
      <c r="C220" s="134">
        <v>0.4254</v>
      </c>
      <c r="D220" s="134" t="s">
        <v>526</v>
      </c>
      <c r="E220" s="134">
        <v>5239</v>
      </c>
      <c r="F220" s="134">
        <v>4.0681631999999997E-3</v>
      </c>
    </row>
    <row r="221" spans="1:6">
      <c r="A221" s="134">
        <v>9.718</v>
      </c>
      <c r="B221" s="134">
        <v>0.14373975992202701</v>
      </c>
      <c r="C221" s="134">
        <v>0.36849999999999999</v>
      </c>
      <c r="D221" s="134" t="s">
        <v>525</v>
      </c>
      <c r="E221" s="134">
        <v>5241</v>
      </c>
      <c r="F221" s="134">
        <v>1.275942E-2</v>
      </c>
    </row>
    <row r="222" spans="1:6">
      <c r="A222" s="134">
        <v>9.5530000000000008</v>
      </c>
      <c r="B222" s="134">
        <v>9.7739756107330295E-2</v>
      </c>
      <c r="C222" s="134">
        <v>0.2487</v>
      </c>
      <c r="D222" s="134" t="s">
        <v>524</v>
      </c>
      <c r="E222" s="134">
        <v>5242</v>
      </c>
      <c r="F222" s="134">
        <v>8.9268031999999997E-3</v>
      </c>
    </row>
    <row r="223" spans="1:6">
      <c r="A223" s="134">
        <v>9.6189999999999998</v>
      </c>
      <c r="B223" s="134">
        <v>0.14473974704742401</v>
      </c>
      <c r="C223" s="134">
        <v>0.32400000000000001</v>
      </c>
      <c r="D223" s="134" t="s">
        <v>523</v>
      </c>
      <c r="E223" s="134">
        <v>5251</v>
      </c>
      <c r="F223" s="134">
        <v>2.6988011000000001E-4</v>
      </c>
    </row>
    <row r="224" spans="1:6">
      <c r="A224" s="134">
        <v>9.9640000000000004</v>
      </c>
      <c r="B224" s="134">
        <v>0.37073975801467901</v>
      </c>
      <c r="C224" s="134">
        <v>0.43030000000000002</v>
      </c>
      <c r="D224" s="134" t="s">
        <v>522</v>
      </c>
      <c r="E224" s="134">
        <v>5259</v>
      </c>
      <c r="F224" s="134">
        <v>1.5170774999999999E-4</v>
      </c>
    </row>
    <row r="225" spans="1:6">
      <c r="A225" s="134">
        <v>9.3330000000000002</v>
      </c>
      <c r="B225" s="134">
        <v>-5.6260246783494901E-2</v>
      </c>
      <c r="C225" s="134">
        <v>0.20169999999999999</v>
      </c>
      <c r="D225" s="134" t="s">
        <v>521</v>
      </c>
      <c r="E225" s="134">
        <v>5311</v>
      </c>
      <c r="F225" s="134">
        <v>4.1879322000000002E-3</v>
      </c>
    </row>
    <row r="226" spans="1:6">
      <c r="A226" s="134">
        <v>9.4779999999999998</v>
      </c>
      <c r="B226" s="134">
        <v>8.2739755511283902E-2</v>
      </c>
      <c r="C226" s="134">
        <v>0.1956</v>
      </c>
      <c r="D226" s="134" t="s">
        <v>520</v>
      </c>
      <c r="E226" s="134">
        <v>5312</v>
      </c>
      <c r="F226" s="134">
        <v>1.9630184000000001E-3</v>
      </c>
    </row>
    <row r="227" spans="1:6">
      <c r="A227" s="134">
        <v>9.39</v>
      </c>
      <c r="B227" s="134">
        <v>-2.22602467983961E-2</v>
      </c>
      <c r="C227" s="134">
        <v>0.21290000000000001</v>
      </c>
      <c r="D227" s="134" t="s">
        <v>519</v>
      </c>
      <c r="E227" s="134">
        <v>5313</v>
      </c>
      <c r="F227" s="134">
        <v>4.7588324999999999E-3</v>
      </c>
    </row>
    <row r="228" spans="1:6">
      <c r="A228" s="134">
        <v>9.3480000000000008</v>
      </c>
      <c r="B228" s="134">
        <v>-8.7260246276855497E-2</v>
      </c>
      <c r="C228" s="134">
        <v>0.2475</v>
      </c>
      <c r="D228" s="134" t="s">
        <v>518</v>
      </c>
      <c r="E228" s="134">
        <v>5321</v>
      </c>
      <c r="F228" s="134">
        <v>1.374552E-3</v>
      </c>
    </row>
    <row r="229" spans="1:6">
      <c r="A229" s="134">
        <v>9.1989999999999998</v>
      </c>
      <c r="B229" s="134">
        <v>-0.19526024162769301</v>
      </c>
      <c r="C229" s="134">
        <v>0.19950000000000001</v>
      </c>
      <c r="D229" s="134" t="s">
        <v>517</v>
      </c>
      <c r="E229" s="134">
        <v>5322</v>
      </c>
      <c r="F229" s="134">
        <v>1.1262304999999999E-3</v>
      </c>
    </row>
    <row r="230" spans="1:6">
      <c r="A230" s="134">
        <v>9.3610000000000007</v>
      </c>
      <c r="B230" s="134">
        <v>-5.5260248482227298E-2</v>
      </c>
      <c r="C230" s="134">
        <v>0.21579999999999999</v>
      </c>
      <c r="D230" s="134" t="s">
        <v>516</v>
      </c>
      <c r="E230" s="134">
        <v>5323</v>
      </c>
      <c r="F230" s="134">
        <v>3.1419473999999998E-4</v>
      </c>
    </row>
    <row r="231" spans="1:6">
      <c r="A231" s="134">
        <v>9.6180000000000003</v>
      </c>
      <c r="B231" s="134">
        <v>4.1739754378795603E-2</v>
      </c>
      <c r="C231" s="134">
        <v>0.35980000000000001</v>
      </c>
      <c r="D231" s="134" t="s">
        <v>515</v>
      </c>
      <c r="E231" s="134">
        <v>5324</v>
      </c>
      <c r="F231" s="134">
        <v>1.2479959000000001E-3</v>
      </c>
    </row>
    <row r="232" spans="1:6">
      <c r="A232" s="134">
        <v>9.8000000000000007</v>
      </c>
      <c r="B232" s="134">
        <v>0.30473974347114502</v>
      </c>
      <c r="C232" s="134">
        <v>0.30259999999999998</v>
      </c>
      <c r="D232" s="134" t="s">
        <v>514</v>
      </c>
      <c r="E232" s="134">
        <v>5331</v>
      </c>
      <c r="F232" s="134">
        <v>2.155847E-4</v>
      </c>
    </row>
    <row r="233" spans="1:6">
      <c r="A233" s="134">
        <v>9.7240000000000002</v>
      </c>
      <c r="B233" s="134">
        <v>0.22373975813388799</v>
      </c>
      <c r="C233" s="134">
        <v>0.30859999999999999</v>
      </c>
      <c r="D233" s="134" t="s">
        <v>513</v>
      </c>
      <c r="E233" s="134">
        <v>5411</v>
      </c>
      <c r="F233" s="134">
        <v>1.0427911999999999E-2</v>
      </c>
    </row>
    <row r="234" spans="1:6">
      <c r="A234" s="134">
        <v>9.6479999999999997</v>
      </c>
      <c r="B234" s="134">
        <v>0.20673975348472601</v>
      </c>
      <c r="C234" s="134">
        <v>0.25480000000000003</v>
      </c>
      <c r="D234" s="134" t="s">
        <v>512</v>
      </c>
      <c r="E234" s="134">
        <v>5412</v>
      </c>
      <c r="F234" s="134">
        <v>7.6133338999999998E-3</v>
      </c>
    </row>
    <row r="235" spans="1:6">
      <c r="A235" s="134">
        <v>9.7910000000000004</v>
      </c>
      <c r="B235" s="134">
        <v>0.24073974788188901</v>
      </c>
      <c r="C235" s="134">
        <v>0.3528</v>
      </c>
      <c r="D235" s="134" t="s">
        <v>511</v>
      </c>
      <c r="E235" s="134">
        <v>5413</v>
      </c>
      <c r="F235" s="134">
        <v>1.3314351E-2</v>
      </c>
    </row>
    <row r="236" spans="1:6">
      <c r="A236" s="134">
        <v>9.57</v>
      </c>
      <c r="B236" s="134">
        <v>0.156739756464958</v>
      </c>
      <c r="C236" s="134">
        <v>0.22070000000000001</v>
      </c>
      <c r="D236" s="134" t="s">
        <v>510</v>
      </c>
      <c r="E236" s="134">
        <v>5414</v>
      </c>
      <c r="F236" s="134">
        <v>1.0487796000000001E-3</v>
      </c>
    </row>
    <row r="237" spans="1:6">
      <c r="A237" s="134">
        <v>9.9600000000000009</v>
      </c>
      <c r="B237" s="134">
        <v>0.377739757299423</v>
      </c>
      <c r="C237" s="134">
        <v>0.37469999999999998</v>
      </c>
      <c r="D237" s="134" t="s">
        <v>509</v>
      </c>
      <c r="E237" s="134">
        <v>5415</v>
      </c>
      <c r="F237" s="134">
        <v>1.7570153000000002E-2</v>
      </c>
    </row>
    <row r="238" spans="1:6">
      <c r="A238" s="134">
        <v>9.7959999999999994</v>
      </c>
      <c r="B238" s="134">
        <v>0.272739768028259</v>
      </c>
      <c r="C238" s="134">
        <v>0.32200000000000001</v>
      </c>
      <c r="D238" s="134" t="s">
        <v>508</v>
      </c>
      <c r="E238" s="134">
        <v>5416</v>
      </c>
      <c r="F238" s="134">
        <v>1.0232288000000001E-2</v>
      </c>
    </row>
    <row r="239" spans="1:6">
      <c r="A239" s="134">
        <v>10.01</v>
      </c>
      <c r="B239" s="134">
        <v>0.37273976206779402</v>
      </c>
      <c r="C239" s="134">
        <v>0.44579999999999997</v>
      </c>
      <c r="D239" s="134" t="s">
        <v>507</v>
      </c>
      <c r="E239" s="134">
        <v>5417</v>
      </c>
      <c r="F239" s="134">
        <v>6.7869256999999999E-3</v>
      </c>
    </row>
    <row r="240" spans="1:6">
      <c r="A240" s="134">
        <v>9.7070000000000007</v>
      </c>
      <c r="B240" s="134">
        <v>0.25673976540565402</v>
      </c>
      <c r="C240" s="134">
        <v>0.27329999999999999</v>
      </c>
      <c r="D240" s="134" t="s">
        <v>506</v>
      </c>
      <c r="E240" s="134">
        <v>5418</v>
      </c>
      <c r="F240" s="134">
        <v>3.801876E-3</v>
      </c>
    </row>
    <row r="241" spans="1:6">
      <c r="A241" s="134">
        <v>9.3719999999999999</v>
      </c>
      <c r="B241" s="134">
        <v>2.67397537827492E-2</v>
      </c>
      <c r="C241" s="134">
        <v>0.14710000000000001</v>
      </c>
      <c r="D241" s="134" t="s">
        <v>505</v>
      </c>
      <c r="E241" s="134">
        <v>5419</v>
      </c>
      <c r="F241" s="134">
        <v>4.4554169000000001E-3</v>
      </c>
    </row>
    <row r="242" spans="1:6">
      <c r="A242" s="134">
        <v>9.7210000000000001</v>
      </c>
      <c r="B242" s="134">
        <v>0.18473975360393499</v>
      </c>
      <c r="C242" s="134">
        <v>0.33679999999999999</v>
      </c>
      <c r="D242" s="134" t="s">
        <v>384</v>
      </c>
      <c r="E242" s="134">
        <v>5511</v>
      </c>
      <c r="F242" s="134">
        <v>2.1634324E-2</v>
      </c>
    </row>
    <row r="243" spans="1:6">
      <c r="A243" s="134">
        <v>9.6129999999999995</v>
      </c>
      <c r="B243" s="134">
        <v>0.127739757299423</v>
      </c>
      <c r="C243" s="134">
        <v>0.28029999999999999</v>
      </c>
      <c r="D243" s="134" t="s">
        <v>504</v>
      </c>
      <c r="E243" s="134">
        <v>5611</v>
      </c>
      <c r="F243" s="134">
        <v>3.8601637E-3</v>
      </c>
    </row>
    <row r="244" spans="1:6">
      <c r="A244" s="134">
        <v>9.3640000000000008</v>
      </c>
      <c r="B244" s="134">
        <v>-0.16626024246215801</v>
      </c>
      <c r="C244" s="134">
        <v>0.33400000000000002</v>
      </c>
      <c r="D244" s="134" t="s">
        <v>503</v>
      </c>
      <c r="E244" s="134">
        <v>5612</v>
      </c>
      <c r="F244" s="134">
        <v>1.1402036E-3</v>
      </c>
    </row>
    <row r="245" spans="1:6">
      <c r="A245" s="134">
        <v>9.1929999999999996</v>
      </c>
      <c r="B245" s="134">
        <v>-0.136260241270065</v>
      </c>
      <c r="C245" s="134">
        <v>0.13969999999999999</v>
      </c>
      <c r="D245" s="134" t="s">
        <v>502</v>
      </c>
      <c r="E245" s="134">
        <v>5613</v>
      </c>
      <c r="F245" s="134">
        <v>1.2751436E-2</v>
      </c>
    </row>
    <row r="246" spans="1:6">
      <c r="A246" s="134">
        <v>9.2040000000000006</v>
      </c>
      <c r="B246" s="134">
        <v>-0.17726024985313399</v>
      </c>
      <c r="C246" s="134">
        <v>0.18559999999999999</v>
      </c>
      <c r="D246" s="134" t="s">
        <v>501</v>
      </c>
      <c r="E246" s="134">
        <v>5614</v>
      </c>
      <c r="F246" s="134">
        <v>6.0443561999999999E-3</v>
      </c>
    </row>
    <row r="247" spans="1:6">
      <c r="A247" s="134">
        <v>9.4090000000000007</v>
      </c>
      <c r="B247" s="134">
        <v>-5.2602468058466998E-3</v>
      </c>
      <c r="C247" s="134">
        <v>0.21479999999999999</v>
      </c>
      <c r="D247" s="134" t="s">
        <v>500</v>
      </c>
      <c r="E247" s="134">
        <v>5615</v>
      </c>
      <c r="F247" s="134">
        <v>1.663196E-3</v>
      </c>
    </row>
    <row r="248" spans="1:6">
      <c r="A248" s="134">
        <v>9.0739999999999998</v>
      </c>
      <c r="B248" s="134">
        <v>-0.236260250210762</v>
      </c>
      <c r="C248" s="134">
        <v>0.1348</v>
      </c>
      <c r="D248" s="134" t="s">
        <v>499</v>
      </c>
      <c r="E248" s="134">
        <v>5616</v>
      </c>
      <c r="F248" s="134">
        <v>5.2219405999999998E-3</v>
      </c>
    </row>
    <row r="249" spans="1:6">
      <c r="A249" s="134">
        <v>9.06</v>
      </c>
      <c r="B249" s="134">
        <v>-0.25326025485992398</v>
      </c>
      <c r="C249" s="134">
        <v>0.1125</v>
      </c>
      <c r="D249" s="134" t="s">
        <v>498</v>
      </c>
      <c r="E249" s="134">
        <v>5617</v>
      </c>
      <c r="F249" s="134">
        <v>9.8210806000000005E-3</v>
      </c>
    </row>
    <row r="250" spans="1:6">
      <c r="A250" s="134">
        <v>9.3849999999999998</v>
      </c>
      <c r="B250" s="134">
        <v>-4.2260248214006403E-2</v>
      </c>
      <c r="C250" s="134">
        <v>0.22439999999999999</v>
      </c>
      <c r="D250" s="134" t="s">
        <v>497</v>
      </c>
      <c r="E250" s="134">
        <v>5619</v>
      </c>
      <c r="F250" s="134">
        <v>1.9071261999999999E-3</v>
      </c>
    </row>
    <row r="251" spans="1:6">
      <c r="A251" s="134">
        <v>9.41</v>
      </c>
      <c r="B251" s="134">
        <v>-0.136260241270065</v>
      </c>
      <c r="C251" s="134">
        <v>0.3337</v>
      </c>
      <c r="D251" s="134" t="s">
        <v>496</v>
      </c>
      <c r="E251" s="134">
        <v>5621</v>
      </c>
      <c r="F251" s="134">
        <v>1.4703674999999999E-3</v>
      </c>
    </row>
    <row r="252" spans="1:6">
      <c r="A252" s="134">
        <v>9.6120000000000001</v>
      </c>
      <c r="B252" s="134">
        <v>8.7397536262870008E-3</v>
      </c>
      <c r="C252" s="134">
        <v>0.40289999999999998</v>
      </c>
      <c r="D252" s="134" t="s">
        <v>495</v>
      </c>
      <c r="E252" s="134">
        <v>5622</v>
      </c>
      <c r="F252" s="134">
        <v>1.2671589000000001E-3</v>
      </c>
    </row>
    <row r="253" spans="1:6">
      <c r="A253" s="134">
        <v>9.4649999999999999</v>
      </c>
      <c r="B253" s="134">
        <v>-5.8260247111320503E-2</v>
      </c>
      <c r="C253" s="134">
        <v>0.31950000000000001</v>
      </c>
      <c r="D253" s="134" t="s">
        <v>494</v>
      </c>
      <c r="E253" s="134">
        <v>5629</v>
      </c>
      <c r="F253" s="134">
        <v>1.0795204E-3</v>
      </c>
    </row>
    <row r="254" spans="1:6">
      <c r="A254" s="134">
        <v>9.3580000000000005</v>
      </c>
      <c r="B254" s="134">
        <v>2.0739752799272499E-2</v>
      </c>
      <c r="C254" s="134">
        <v>0.13239999999999999</v>
      </c>
      <c r="D254" s="134" t="s">
        <v>493</v>
      </c>
      <c r="E254" s="134">
        <v>6111</v>
      </c>
      <c r="F254" s="134">
        <v>7.2180948999999994E-2</v>
      </c>
    </row>
    <row r="255" spans="1:6">
      <c r="A255" s="134">
        <v>9.4190000000000005</v>
      </c>
      <c r="B255" s="134">
        <v>0.14973975718021301</v>
      </c>
      <c r="C255" s="134">
        <v>7.51E-2</v>
      </c>
      <c r="D255" s="134" t="s">
        <v>492</v>
      </c>
      <c r="E255" s="134">
        <v>6112</v>
      </c>
      <c r="F255" s="134">
        <v>4.4713862999999996E-3</v>
      </c>
    </row>
    <row r="256" spans="1:6">
      <c r="A256" s="134">
        <v>9.5419999999999998</v>
      </c>
      <c r="B256" s="134">
        <v>0.20173975825309701</v>
      </c>
      <c r="C256" s="134">
        <v>0.1421</v>
      </c>
      <c r="D256" s="134" t="s">
        <v>491</v>
      </c>
      <c r="E256" s="134">
        <v>6113</v>
      </c>
      <c r="F256" s="134">
        <v>2.4420956000000001E-2</v>
      </c>
    </row>
    <row r="257" spans="1:6">
      <c r="A257" s="134">
        <v>9.5709999999999997</v>
      </c>
      <c r="B257" s="134">
        <v>0.13573975861072499</v>
      </c>
      <c r="C257" s="134">
        <v>0.24049999999999999</v>
      </c>
      <c r="D257" s="134" t="s">
        <v>490</v>
      </c>
      <c r="E257" s="134">
        <v>6114</v>
      </c>
      <c r="F257" s="134">
        <v>5.7968327999999996E-4</v>
      </c>
    </row>
    <row r="258" spans="1:6">
      <c r="A258" s="134">
        <v>9.359</v>
      </c>
      <c r="B258" s="134">
        <v>-2.1260246634483299E-2</v>
      </c>
      <c r="C258" s="134">
        <v>0.18729999999999999</v>
      </c>
      <c r="D258" s="134" t="s">
        <v>489</v>
      </c>
      <c r="E258" s="134">
        <v>6115</v>
      </c>
      <c r="F258" s="134">
        <v>1.0324111E-3</v>
      </c>
    </row>
    <row r="259" spans="1:6">
      <c r="A259" s="134">
        <v>9.2059999999999995</v>
      </c>
      <c r="B259" s="134">
        <v>-2.9260246083140401E-2</v>
      </c>
      <c r="C259" s="134">
        <v>4.9779999999999998E-2</v>
      </c>
      <c r="D259" s="134" t="s">
        <v>488</v>
      </c>
      <c r="E259" s="134">
        <v>6116</v>
      </c>
      <c r="F259" s="134">
        <v>1.2755428E-3</v>
      </c>
    </row>
    <row r="260" spans="1:6">
      <c r="A260" s="134">
        <v>9.4640000000000004</v>
      </c>
      <c r="B260" s="134">
        <v>7.5739756226539598E-2</v>
      </c>
      <c r="C260" s="134">
        <v>0.18609999999999999</v>
      </c>
      <c r="D260" s="134" t="s">
        <v>487</v>
      </c>
      <c r="E260" s="134">
        <v>6117</v>
      </c>
      <c r="F260" s="134">
        <v>1.0212327E-3</v>
      </c>
    </row>
    <row r="261" spans="1:6">
      <c r="A261" s="134">
        <v>9.5190000000000001</v>
      </c>
      <c r="B261" s="134">
        <v>9.5739752054214505E-2</v>
      </c>
      <c r="C261" s="134">
        <v>0.21890000000000001</v>
      </c>
      <c r="D261" s="134" t="s">
        <v>486</v>
      </c>
      <c r="E261" s="134">
        <v>6211</v>
      </c>
      <c r="F261" s="134">
        <v>2.1526529999999999E-2</v>
      </c>
    </row>
    <row r="262" spans="1:6">
      <c r="A262" s="134">
        <v>9.2780000000000005</v>
      </c>
      <c r="B262" s="134">
        <v>-5.0260245800018297E-2</v>
      </c>
      <c r="C262" s="134">
        <v>0.12920000000000001</v>
      </c>
      <c r="D262" s="134" t="s">
        <v>485</v>
      </c>
      <c r="E262" s="134">
        <v>6212</v>
      </c>
      <c r="F262" s="134">
        <v>6.9585949999999997E-3</v>
      </c>
    </row>
    <row r="263" spans="1:6">
      <c r="A263" s="134">
        <v>9.2780000000000005</v>
      </c>
      <c r="B263" s="134">
        <v>-3.8260247558355297E-2</v>
      </c>
      <c r="C263" s="134">
        <v>0.1087</v>
      </c>
      <c r="D263" s="134" t="s">
        <v>484</v>
      </c>
      <c r="E263" s="134">
        <v>6213</v>
      </c>
      <c r="F263" s="134">
        <v>5.2219405999999998E-3</v>
      </c>
    </row>
    <row r="264" spans="1:6">
      <c r="A264" s="134">
        <v>9.4380000000000006</v>
      </c>
      <c r="B264" s="134">
        <v>-1.8260246142745001E-2</v>
      </c>
      <c r="C264" s="134">
        <v>0.249</v>
      </c>
      <c r="D264" s="134" t="s">
        <v>483</v>
      </c>
      <c r="E264" s="134">
        <v>6214</v>
      </c>
      <c r="F264" s="134">
        <v>6.7070797000000001E-3</v>
      </c>
    </row>
    <row r="265" spans="1:6">
      <c r="A265" s="134">
        <v>9.43</v>
      </c>
      <c r="B265" s="134">
        <v>-4.2260248214006403E-2</v>
      </c>
      <c r="C265" s="134">
        <v>0.2712</v>
      </c>
      <c r="D265" s="134" t="s">
        <v>482</v>
      </c>
      <c r="E265" s="134">
        <v>6215</v>
      </c>
      <c r="F265" s="134">
        <v>2.3187330999999999E-3</v>
      </c>
    </row>
    <row r="266" spans="1:6">
      <c r="A266" s="134">
        <v>9.1999999999999993</v>
      </c>
      <c r="B266" s="134">
        <v>-0.14826025068759899</v>
      </c>
      <c r="C266" s="134">
        <v>0.14249999999999999</v>
      </c>
      <c r="D266" s="134" t="s">
        <v>481</v>
      </c>
      <c r="E266" s="134">
        <v>6216</v>
      </c>
      <c r="F266" s="134">
        <v>5.9804791E-3</v>
      </c>
    </row>
    <row r="267" spans="1:6">
      <c r="A267" s="134">
        <v>9.3109999999999999</v>
      </c>
      <c r="B267" s="134">
        <v>-0.104260243475437</v>
      </c>
      <c r="C267" s="134">
        <v>0.21909999999999999</v>
      </c>
      <c r="D267" s="134" t="s">
        <v>480</v>
      </c>
      <c r="E267" s="134">
        <v>6219</v>
      </c>
      <c r="F267" s="134">
        <v>2.1937738999999999E-3</v>
      </c>
    </row>
    <row r="268" spans="1:6">
      <c r="A268" s="134">
        <v>9.4870000000000001</v>
      </c>
      <c r="B268" s="134">
        <v>5.1739752292633098E-2</v>
      </c>
      <c r="C268" s="134">
        <v>0.2382</v>
      </c>
      <c r="D268" s="134" t="s">
        <v>479</v>
      </c>
      <c r="E268" s="134">
        <v>6221</v>
      </c>
      <c r="F268" s="134">
        <v>5.0822098000000003E-2</v>
      </c>
    </row>
    <row r="269" spans="1:6">
      <c r="A269" s="134">
        <v>9.3409999999999993</v>
      </c>
      <c r="B269" s="134">
        <v>-9.9260248243808705E-2</v>
      </c>
      <c r="C269" s="134">
        <v>0.24679999999999999</v>
      </c>
      <c r="D269" s="134" t="s">
        <v>478</v>
      </c>
      <c r="E269" s="134">
        <v>6222</v>
      </c>
      <c r="F269" s="134">
        <v>2.1474632000000001E-3</v>
      </c>
    </row>
    <row r="270" spans="1:6">
      <c r="A270" s="134">
        <v>9.5359999999999996</v>
      </c>
      <c r="B270" s="134">
        <v>7.8739754855632796E-2</v>
      </c>
      <c r="C270" s="134">
        <v>0.25979999999999998</v>
      </c>
      <c r="D270" s="134" t="s">
        <v>477</v>
      </c>
      <c r="E270" s="134">
        <v>6223</v>
      </c>
      <c r="F270" s="134">
        <v>2.3275162E-3</v>
      </c>
    </row>
    <row r="271" spans="1:6">
      <c r="A271" s="134">
        <v>9.0739999999999998</v>
      </c>
      <c r="B271" s="134">
        <v>-0.28126025199890098</v>
      </c>
      <c r="C271" s="134">
        <v>0.16300000000000001</v>
      </c>
      <c r="D271" s="134" t="s">
        <v>476</v>
      </c>
      <c r="E271" s="134">
        <v>6231</v>
      </c>
      <c r="F271" s="134">
        <v>1.1893089000000001E-2</v>
      </c>
    </row>
    <row r="272" spans="1:6">
      <c r="A272" s="134">
        <v>9.06</v>
      </c>
      <c r="B272" s="134">
        <v>-0.28626024723052901</v>
      </c>
      <c r="C272" s="134">
        <v>0.1578</v>
      </c>
      <c r="D272" s="134" t="s">
        <v>475</v>
      </c>
      <c r="E272" s="134">
        <v>6232</v>
      </c>
      <c r="F272" s="134">
        <v>4.9464712000000001E-3</v>
      </c>
    </row>
    <row r="273" spans="1:6">
      <c r="A273" s="134">
        <v>8.9719999999999995</v>
      </c>
      <c r="B273" s="134">
        <v>-0.333260238170623</v>
      </c>
      <c r="C273" s="134">
        <v>0.11260000000000001</v>
      </c>
      <c r="D273" s="134" t="s">
        <v>474</v>
      </c>
      <c r="E273" s="134">
        <v>6233</v>
      </c>
      <c r="F273" s="134">
        <v>4.8666246999999998E-3</v>
      </c>
    </row>
    <row r="274" spans="1:6">
      <c r="A274" s="134">
        <v>9.0730000000000004</v>
      </c>
      <c r="B274" s="134">
        <v>-0.25926023721694902</v>
      </c>
      <c r="C274" s="134">
        <v>0.1434</v>
      </c>
      <c r="D274" s="134" t="s">
        <v>473</v>
      </c>
      <c r="E274" s="134">
        <v>6239</v>
      </c>
      <c r="F274" s="134">
        <v>1.2563798E-3</v>
      </c>
    </row>
    <row r="275" spans="1:6">
      <c r="A275" s="134">
        <v>9.0809999999999995</v>
      </c>
      <c r="B275" s="134">
        <v>-0.23526024818420399</v>
      </c>
      <c r="C275" s="134">
        <v>0.11899999999999999</v>
      </c>
      <c r="D275" s="134" t="s">
        <v>472</v>
      </c>
      <c r="E275" s="134">
        <v>6241</v>
      </c>
      <c r="F275" s="134">
        <v>9.3819265999999998E-3</v>
      </c>
    </row>
    <row r="276" spans="1:6">
      <c r="A276" s="134">
        <v>9.1829999999999998</v>
      </c>
      <c r="B276" s="134">
        <v>-0.13926024734973899</v>
      </c>
      <c r="C276" s="134">
        <v>0.12939999999999999</v>
      </c>
      <c r="D276" s="134" t="s">
        <v>471</v>
      </c>
      <c r="E276" s="134">
        <v>6242</v>
      </c>
      <c r="F276" s="134">
        <v>1.1370097E-3</v>
      </c>
    </row>
    <row r="277" spans="1:6">
      <c r="A277" s="134">
        <v>9.0120000000000005</v>
      </c>
      <c r="B277" s="134">
        <v>-0.28826025128364502</v>
      </c>
      <c r="C277" s="134">
        <v>0.1119</v>
      </c>
      <c r="D277" s="134" t="s">
        <v>470</v>
      </c>
      <c r="E277" s="134">
        <v>6243</v>
      </c>
      <c r="F277" s="134">
        <v>2.1698199999999998E-3</v>
      </c>
    </row>
    <row r="278" spans="1:6">
      <c r="A278" s="134">
        <v>8.827</v>
      </c>
      <c r="B278" s="134">
        <v>-0.37526023387908902</v>
      </c>
      <c r="C278" s="134">
        <v>1.376E-2</v>
      </c>
      <c r="D278" s="134" t="s">
        <v>469</v>
      </c>
      <c r="E278" s="134">
        <v>6244</v>
      </c>
      <c r="F278" s="134">
        <v>4.5432481000000002E-3</v>
      </c>
    </row>
    <row r="279" spans="1:6">
      <c r="A279" s="134">
        <v>9.3740000000000006</v>
      </c>
      <c r="B279" s="134">
        <v>6.07397519052029E-2</v>
      </c>
      <c r="C279" s="134">
        <v>0.13400000000000001</v>
      </c>
      <c r="D279" s="134" t="s">
        <v>468</v>
      </c>
      <c r="E279" s="134">
        <v>7111</v>
      </c>
      <c r="F279" s="134">
        <v>5.5812486000000004E-4</v>
      </c>
    </row>
    <row r="280" spans="1:6">
      <c r="A280" s="134">
        <v>9.6560000000000006</v>
      </c>
      <c r="B280" s="134">
        <v>0.27973976731300298</v>
      </c>
      <c r="C280" s="134">
        <v>0.1925</v>
      </c>
      <c r="D280" s="134" t="s">
        <v>467</v>
      </c>
      <c r="E280" s="134">
        <v>7112</v>
      </c>
      <c r="F280" s="134">
        <v>6.9426256E-4</v>
      </c>
    </row>
    <row r="281" spans="1:6">
      <c r="A281" s="134">
        <v>9.4819999999999993</v>
      </c>
      <c r="B281" s="134">
        <v>0.120739750564098</v>
      </c>
      <c r="C281" s="134">
        <v>0.16969999999999999</v>
      </c>
      <c r="D281" s="134" t="s">
        <v>466</v>
      </c>
      <c r="E281" s="134">
        <v>7113</v>
      </c>
      <c r="F281" s="134">
        <v>5.0063558999999995E-4</v>
      </c>
    </row>
    <row r="282" spans="1:6">
      <c r="A282" s="134">
        <v>9.7240000000000002</v>
      </c>
      <c r="B282" s="134">
        <v>0.349739760160446</v>
      </c>
      <c r="C282" s="134">
        <v>0.2215</v>
      </c>
      <c r="D282" s="134" t="s">
        <v>465</v>
      </c>
      <c r="E282" s="134">
        <v>7114</v>
      </c>
      <c r="F282" s="134">
        <v>1.6767698999999999E-4</v>
      </c>
    </row>
    <row r="283" spans="1:6">
      <c r="A283" s="134">
        <v>9.5760000000000005</v>
      </c>
      <c r="B283" s="134">
        <v>0.15473975241184201</v>
      </c>
      <c r="C283" s="134">
        <v>0.2306</v>
      </c>
      <c r="D283" s="134" t="s">
        <v>464</v>
      </c>
      <c r="E283" s="134">
        <v>7115</v>
      </c>
      <c r="F283" s="134">
        <v>2.5071700999999998E-4</v>
      </c>
    </row>
    <row r="284" spans="1:6">
      <c r="A284" s="134">
        <v>9.3230000000000004</v>
      </c>
      <c r="B284" s="134">
        <v>-1.2602466158569E-3</v>
      </c>
      <c r="C284" s="134">
        <v>0.13780000000000001</v>
      </c>
      <c r="D284" s="134" t="s">
        <v>463</v>
      </c>
      <c r="E284" s="134">
        <v>7121</v>
      </c>
      <c r="F284" s="134">
        <v>1.4599875E-3</v>
      </c>
    </row>
    <row r="285" spans="1:6">
      <c r="A285" s="134">
        <v>9.1370000000000005</v>
      </c>
      <c r="B285" s="134">
        <v>-0.106260247528553</v>
      </c>
      <c r="C285" s="134">
        <v>6.046E-2</v>
      </c>
      <c r="D285" s="134" t="s">
        <v>462</v>
      </c>
      <c r="E285" s="134">
        <v>7131</v>
      </c>
      <c r="F285" s="134">
        <v>8.5116032000000002E-4</v>
      </c>
    </row>
    <row r="286" spans="1:6">
      <c r="A286" s="134">
        <v>9.0649999999999995</v>
      </c>
      <c r="B286" s="134">
        <v>-0.29226025938987699</v>
      </c>
      <c r="C286" s="134">
        <v>0.16700000000000001</v>
      </c>
      <c r="D286" s="134" t="s">
        <v>461</v>
      </c>
      <c r="E286" s="134">
        <v>7132</v>
      </c>
      <c r="F286" s="134">
        <v>2.2245147000000002E-3</v>
      </c>
    </row>
    <row r="287" spans="1:6">
      <c r="A287" s="134">
        <v>9.1989999999999998</v>
      </c>
      <c r="B287" s="134">
        <v>-7.5260244309902205E-2</v>
      </c>
      <c r="C287" s="134">
        <v>8.6629999999999999E-2</v>
      </c>
      <c r="D287" s="134" t="s">
        <v>460</v>
      </c>
      <c r="E287" s="134">
        <v>7139</v>
      </c>
      <c r="F287" s="134">
        <v>4.8386790000000002E-3</v>
      </c>
    </row>
    <row r="288" spans="1:6">
      <c r="A288" s="134">
        <v>9.0719999999999992</v>
      </c>
      <c r="B288" s="134">
        <v>-0.24926024675369199</v>
      </c>
      <c r="C288" s="134">
        <v>0.12770000000000001</v>
      </c>
      <c r="D288" s="134" t="s">
        <v>459</v>
      </c>
      <c r="E288" s="134">
        <v>7211</v>
      </c>
      <c r="F288" s="134">
        <v>1.1457927999999999E-2</v>
      </c>
    </row>
    <row r="289" spans="1:6">
      <c r="A289" s="134">
        <v>9.0709999999999997</v>
      </c>
      <c r="B289" s="134">
        <v>-0.130260244011879</v>
      </c>
      <c r="C289" s="134">
        <v>4.6759999999999996E-3</v>
      </c>
      <c r="D289" s="134" t="s">
        <v>458</v>
      </c>
      <c r="E289" s="134">
        <v>7212</v>
      </c>
      <c r="F289" s="134">
        <v>2.0001468999999999E-4</v>
      </c>
    </row>
    <row r="290" spans="1:6">
      <c r="A290" s="134">
        <v>9.0269999999999992</v>
      </c>
      <c r="B290" s="134">
        <v>-0.27426025271415699</v>
      </c>
      <c r="C290" s="134">
        <v>0.1114</v>
      </c>
      <c r="D290" s="134" t="s">
        <v>457</v>
      </c>
      <c r="E290" s="134">
        <v>7213</v>
      </c>
      <c r="F290" s="134">
        <v>5.0303097000000001E-5</v>
      </c>
    </row>
    <row r="291" spans="1:6">
      <c r="A291" s="134">
        <v>9.0190000000000001</v>
      </c>
      <c r="B291" s="134">
        <v>-0.266260236501693</v>
      </c>
      <c r="C291" s="134">
        <v>8.9760000000000006E-2</v>
      </c>
      <c r="D291" s="134" t="s">
        <v>456</v>
      </c>
      <c r="E291" s="134">
        <v>7223</v>
      </c>
      <c r="F291" s="134">
        <v>2.9315526999999998E-3</v>
      </c>
    </row>
    <row r="292" spans="1:6">
      <c r="A292" s="134">
        <v>8.8849999999999998</v>
      </c>
      <c r="B292" s="134">
        <v>-0.23026025295257499</v>
      </c>
      <c r="C292" s="134">
        <v>-8.727E-2</v>
      </c>
      <c r="D292" s="134" t="s">
        <v>455</v>
      </c>
      <c r="E292" s="134">
        <v>7224</v>
      </c>
      <c r="F292" s="134">
        <v>9.9807732999999997E-4</v>
      </c>
    </row>
    <row r="293" spans="1:6">
      <c r="A293" s="134">
        <v>8.8960000000000008</v>
      </c>
      <c r="B293" s="134">
        <v>-0.28826025128364502</v>
      </c>
      <c r="C293" s="135">
        <v>3.3489999999999999E-11</v>
      </c>
      <c r="D293" s="134" t="s">
        <v>454</v>
      </c>
      <c r="E293" s="134">
        <v>7225</v>
      </c>
      <c r="F293" s="134">
        <v>2.6628703E-2</v>
      </c>
    </row>
    <row r="294" spans="1:6">
      <c r="A294" s="134">
        <v>9.2240000000000002</v>
      </c>
      <c r="B294" s="134">
        <v>-9.8260246217250796E-2</v>
      </c>
      <c r="C294" s="134">
        <v>0.12189999999999999</v>
      </c>
      <c r="D294" s="134" t="s">
        <v>453</v>
      </c>
      <c r="E294" s="134">
        <v>8111</v>
      </c>
      <c r="F294" s="134">
        <v>6.0243947000000004E-3</v>
      </c>
    </row>
    <row r="295" spans="1:6">
      <c r="A295" s="134">
        <v>9.4580000000000002</v>
      </c>
      <c r="B295" s="134">
        <v>1.1739753186702701E-2</v>
      </c>
      <c r="C295" s="134">
        <v>0.2495</v>
      </c>
      <c r="D295" s="134" t="s">
        <v>452</v>
      </c>
      <c r="E295" s="134">
        <v>8112</v>
      </c>
      <c r="F295" s="134">
        <v>8.6792803E-4</v>
      </c>
    </row>
    <row r="296" spans="1:6">
      <c r="A296" s="134">
        <v>9.4939999999999998</v>
      </c>
      <c r="B296" s="134">
        <v>6.7397532984613999E-3</v>
      </c>
      <c r="C296" s="134">
        <v>0.28079999999999999</v>
      </c>
      <c r="D296" s="134" t="s">
        <v>451</v>
      </c>
      <c r="E296" s="134">
        <v>8113</v>
      </c>
      <c r="F296" s="134">
        <v>1.685553E-3</v>
      </c>
    </row>
    <row r="297" spans="1:6">
      <c r="A297" s="134">
        <v>9.1560000000000006</v>
      </c>
      <c r="B297" s="134">
        <v>-0.12526024878024999</v>
      </c>
      <c r="C297" s="134">
        <v>8.4769999999999998E-2</v>
      </c>
      <c r="D297" s="134" t="s">
        <v>450</v>
      </c>
      <c r="E297" s="134">
        <v>8114</v>
      </c>
      <c r="F297" s="134">
        <v>4.4234786999999999E-4</v>
      </c>
    </row>
    <row r="298" spans="1:6">
      <c r="A298" s="134">
        <v>8.9480000000000004</v>
      </c>
      <c r="B298" s="134">
        <v>-0.227260246872901</v>
      </c>
      <c r="C298" s="134">
        <v>-1.4829999999999999E-2</v>
      </c>
      <c r="D298" s="134" t="s">
        <v>449</v>
      </c>
      <c r="E298" s="134">
        <v>8121</v>
      </c>
      <c r="F298" s="134">
        <v>2.8964203999999999E-3</v>
      </c>
    </row>
    <row r="299" spans="1:6">
      <c r="A299" s="134">
        <v>9.3119999999999994</v>
      </c>
      <c r="B299" s="134">
        <v>-4.2602466419338998E-3</v>
      </c>
      <c r="C299" s="134">
        <v>0.1236</v>
      </c>
      <c r="D299" s="134" t="s">
        <v>448</v>
      </c>
      <c r="E299" s="134">
        <v>8122</v>
      </c>
      <c r="F299" s="134">
        <v>7.3817797000000004E-4</v>
      </c>
    </row>
    <row r="300" spans="1:6">
      <c r="A300" s="134">
        <v>9.0109999999999992</v>
      </c>
      <c r="B300" s="134">
        <v>-0.332260251045227</v>
      </c>
      <c r="C300" s="134">
        <v>0.1444</v>
      </c>
      <c r="D300" s="134" t="s">
        <v>447</v>
      </c>
      <c r="E300" s="134">
        <v>8123</v>
      </c>
      <c r="F300" s="134">
        <v>1.7689921999999999E-3</v>
      </c>
    </row>
    <row r="301" spans="1:6">
      <c r="A301" s="134">
        <v>9.0340000000000007</v>
      </c>
      <c r="B301" s="134">
        <v>-0.208260253071785</v>
      </c>
      <c r="C301" s="134">
        <v>5.9020000000000003E-2</v>
      </c>
      <c r="D301" s="134" t="s">
        <v>446</v>
      </c>
      <c r="E301" s="134">
        <v>8129</v>
      </c>
      <c r="F301" s="134">
        <v>1.3438113E-3</v>
      </c>
    </row>
    <row r="302" spans="1:6">
      <c r="A302" s="134">
        <v>9.1489999999999991</v>
      </c>
      <c r="B302" s="134">
        <v>-5.1260247826576198E-2</v>
      </c>
      <c r="C302" s="134">
        <v>2.7720000000000002E-2</v>
      </c>
      <c r="D302" s="134" t="s">
        <v>445</v>
      </c>
      <c r="E302" s="134">
        <v>8131</v>
      </c>
      <c r="F302" s="134">
        <v>9.4777421E-4</v>
      </c>
    </row>
    <row r="303" spans="1:6">
      <c r="A303" s="134">
        <v>9.577</v>
      </c>
      <c r="B303" s="134">
        <v>0.16373975574970201</v>
      </c>
      <c r="C303" s="134">
        <v>0.2235</v>
      </c>
      <c r="D303" s="134" t="s">
        <v>444</v>
      </c>
      <c r="E303" s="134">
        <v>8132</v>
      </c>
      <c r="F303" s="134">
        <v>1.1601650999999999E-3</v>
      </c>
    </row>
    <row r="304" spans="1:6">
      <c r="A304" s="134">
        <v>9.3510000000000009</v>
      </c>
      <c r="B304" s="134">
        <v>-3.2602467108517998E-3</v>
      </c>
      <c r="C304" s="134">
        <v>0.1646</v>
      </c>
      <c r="D304" s="134" t="s">
        <v>443</v>
      </c>
      <c r="E304" s="134">
        <v>8133</v>
      </c>
      <c r="F304" s="134">
        <v>1.6005167E-3</v>
      </c>
    </row>
    <row r="305" spans="1:6">
      <c r="A305" s="134">
        <v>9.173</v>
      </c>
      <c r="B305" s="134">
        <v>-9.7260244190692902E-2</v>
      </c>
      <c r="C305" s="134">
        <v>9.0289999999999995E-2</v>
      </c>
      <c r="D305" s="134" t="s">
        <v>442</v>
      </c>
      <c r="E305" s="134">
        <v>8134</v>
      </c>
      <c r="F305" s="134">
        <v>1.2527866000000001E-3</v>
      </c>
    </row>
    <row r="306" spans="1:6">
      <c r="A306" s="134">
        <v>9.6240000000000006</v>
      </c>
      <c r="B306" s="134">
        <v>0.14873975515365601</v>
      </c>
      <c r="C306" s="134">
        <v>0.28520000000000001</v>
      </c>
      <c r="D306" s="134" t="s">
        <v>441</v>
      </c>
      <c r="E306" s="134">
        <v>8139</v>
      </c>
      <c r="F306" s="134">
        <v>3.0804658E-3</v>
      </c>
    </row>
    <row r="307" spans="1:6">
      <c r="A307" s="134">
        <v>9.0749999999999993</v>
      </c>
      <c r="B307" s="134">
        <v>-0.30726024508476202</v>
      </c>
      <c r="C307" s="134">
        <v>0.20610000000000001</v>
      </c>
      <c r="D307" s="134" t="s">
        <v>440</v>
      </c>
      <c r="E307" s="134">
        <v>8141</v>
      </c>
      <c r="F307" s="134">
        <v>6.7509948999999996E-4</v>
      </c>
    </row>
    <row r="308" spans="1:6">
      <c r="A308" s="134">
        <v>9.4510000000000005</v>
      </c>
      <c r="B308" s="134">
        <v>-2.22602467983961E-2</v>
      </c>
      <c r="C308" s="134">
        <v>0.26800000000000002</v>
      </c>
      <c r="D308" s="134" t="s">
        <v>439</v>
      </c>
      <c r="E308" s="134">
        <v>9211</v>
      </c>
      <c r="F308" s="134">
        <v>2.6612733E-2</v>
      </c>
    </row>
    <row r="309" spans="1:6">
      <c r="A309" s="134">
        <v>9.516</v>
      </c>
      <c r="B309" s="134">
        <v>-1.12602468580008E-2</v>
      </c>
      <c r="C309" s="134">
        <v>0.32350000000000001</v>
      </c>
      <c r="D309" s="134" t="s">
        <v>438</v>
      </c>
      <c r="E309" s="134">
        <v>9221</v>
      </c>
      <c r="F309" s="134">
        <v>1.6903438E-2</v>
      </c>
    </row>
    <row r="310" spans="1:6">
      <c r="A310" s="134">
        <v>9.4280000000000008</v>
      </c>
      <c r="B310" s="134">
        <v>-7.2602466680110004E-3</v>
      </c>
      <c r="C310" s="134">
        <v>0.24249999999999999</v>
      </c>
      <c r="D310" s="134" t="s">
        <v>437</v>
      </c>
      <c r="E310" s="134">
        <v>9231</v>
      </c>
      <c r="F310" s="134">
        <v>6.3158329999999999E-3</v>
      </c>
    </row>
    <row r="311" spans="1:6">
      <c r="A311" s="134">
        <v>9.5150000000000006</v>
      </c>
      <c r="B311" s="134">
        <v>7.1739755570888505E-2</v>
      </c>
      <c r="C311" s="134">
        <v>0.24660000000000001</v>
      </c>
      <c r="D311" s="134" t="s">
        <v>436</v>
      </c>
      <c r="E311" s="134">
        <v>9241</v>
      </c>
      <c r="F311" s="134">
        <v>2.0728068999999998E-3</v>
      </c>
    </row>
    <row r="312" spans="1:6">
      <c r="A312" s="134">
        <v>9.4329999999999998</v>
      </c>
      <c r="B312" s="134">
        <v>-1.12602468580008E-2</v>
      </c>
      <c r="C312" s="134">
        <v>0.25109999999999999</v>
      </c>
      <c r="D312" s="134" t="s">
        <v>435</v>
      </c>
      <c r="E312" s="134">
        <v>9251</v>
      </c>
      <c r="F312" s="134">
        <v>7.9127570000000005E-4</v>
      </c>
    </row>
    <row r="313" spans="1:6">
      <c r="A313" s="134">
        <v>9.4749999999999996</v>
      </c>
      <c r="B313" s="134">
        <v>3.7739753723144497E-2</v>
      </c>
      <c r="C313" s="134">
        <v>0.24460000000000001</v>
      </c>
      <c r="D313" s="134" t="s">
        <v>434</v>
      </c>
      <c r="E313" s="134">
        <v>9261</v>
      </c>
      <c r="F313" s="134">
        <v>3.7663445999999998E-3</v>
      </c>
    </row>
    <row r="314" spans="1:6">
      <c r="A314" s="134">
        <v>9.2669999999999995</v>
      </c>
      <c r="B314" s="134">
        <v>-0.126260250806808</v>
      </c>
      <c r="C314" s="134">
        <v>0.19270000000000001</v>
      </c>
      <c r="D314" s="134" t="s">
        <v>433</v>
      </c>
      <c r="E314" s="134">
        <v>9281</v>
      </c>
      <c r="F314" s="134">
        <v>1.6168853E-4</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11</vt:i4>
      </vt:variant>
    </vt:vector>
  </HeadingPairs>
  <TitlesOfParts>
    <vt:vector size="36" baseType="lpstr">
      <vt:lpstr>Table 1</vt:lpstr>
      <vt:lpstr>table2</vt:lpstr>
      <vt:lpstr>table3</vt:lpstr>
      <vt:lpstr>Table4</vt:lpstr>
      <vt:lpstr>Table5</vt:lpstr>
      <vt:lpstr>Table6</vt:lpstr>
      <vt:lpstr>Table7</vt:lpstr>
      <vt:lpstr>Table8</vt:lpstr>
      <vt:lpstr>tab A-1</vt:lpstr>
      <vt:lpstr>tabA-2</vt:lpstr>
      <vt:lpstr>tab A-3</vt:lpstr>
      <vt:lpstr>T7-8calcs</vt:lpstr>
      <vt:lpstr>disclosed1-1</vt:lpstr>
      <vt:lpstr>disclosed1-5</vt:lpstr>
      <vt:lpstr>disclosed1-9a</vt:lpstr>
      <vt:lpstr>disclosed1-9b</vt:lpstr>
      <vt:lpstr>disclosed1-12</vt:lpstr>
      <vt:lpstr>disclosed2-1</vt:lpstr>
      <vt:lpstr>disclosed2-4</vt:lpstr>
      <vt:lpstr>L3disclosure7-2</vt:lpstr>
      <vt:lpstr>t2</vt:lpstr>
      <vt:lpstr>t3</vt:lpstr>
      <vt:lpstr>t4</vt:lpstr>
      <vt:lpstr>t6</vt:lpstr>
      <vt:lpstr>apptab2</vt:lpstr>
      <vt:lpstr>'tab A-1'!Print_Area</vt:lpstr>
      <vt:lpstr>'tab A-3'!Print_Area</vt:lpstr>
      <vt:lpstr>'tabA-2'!Print_Area</vt:lpstr>
      <vt:lpstr>'Table 1'!Print_Area</vt:lpstr>
      <vt:lpstr>table2!Print_Area</vt:lpstr>
      <vt:lpstr>table3!Print_Area</vt:lpstr>
      <vt:lpstr>Table4!Print_Area</vt:lpstr>
      <vt:lpstr>Table5!Print_Area</vt:lpstr>
      <vt:lpstr>Table6!Print_Area</vt:lpstr>
      <vt:lpstr>Table7!Print_Area</vt:lpstr>
      <vt:lpstr>Table8!Print_Area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Rothstein</dc:creator>
  <cp:lastModifiedBy>Jesse Rothstein</cp:lastModifiedBy>
  <cp:lastPrinted>2023-10-06T21:33:39Z</cp:lastPrinted>
  <dcterms:created xsi:type="dcterms:W3CDTF">2022-10-02T21:58:31Z</dcterms:created>
  <dcterms:modified xsi:type="dcterms:W3CDTF">2023-10-06T21:55:12Z</dcterms:modified>
</cp:coreProperties>
</file>